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BETÃO DE LIMPEZA " sheetId="2" state="visible" r:id="rId4"/>
    <sheet name="FUNDAÇÕES" sheetId="3" state="visible" r:id="rId5"/>
    <sheet name="PAREDE BETÃO" sheetId="4" state="visible" r:id="rId6"/>
    <sheet name="VIGAS DE FUNDAÇÃO" sheetId="5" state="visible" r:id="rId7"/>
    <sheet name="POÇOS DE FUNDAÇÃO" sheetId="6" state="visible" r:id="rId8"/>
    <sheet name="LAJES" sheetId="7" state="visible" r:id="rId9"/>
    <sheet name="LAJES ALIGEIRADAS" sheetId="8" state="visible" r:id="rId10"/>
    <sheet name="MURETES" sheetId="9" state="visible" r:id="rId11"/>
    <sheet name="PILARES" sheetId="10" state="visible" r:id="rId12"/>
    <sheet name="PAREDES" sheetId="11" state="visible" r:id="rId13"/>
    <sheet name="VIGAS E PLATIBANDAS" sheetId="12" state="visible" r:id="rId14"/>
    <sheet name="CRITÉRIOS E FONTES" sheetId="13" state="visible" r:id="rId15"/>
    <sheet name="DISCREPÂNCIAS" sheetId="14" state="visible" r:id="rId16"/>
  </sheets>
  <definedNames>
    <definedName function="false" hidden="false" name="_xlfn_XLOOKUP" vbProcedure="false">none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Ângela Oliveira
Comprimento sapata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Angela Oliveira
afastamento do ferro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Angela Oliveira
n.º sapatas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Angela Oliveira
n.º ferros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Angela Oliveira
Diâmetro do ferro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Angela Oliveira
comprimento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Angela Oliveira:
Nº partes iguais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Angela Oliveira:
FI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131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<sst xmlns="http://schemas.openxmlformats.org/spreadsheetml/2006/main" count="3191" uniqueCount="811">
  <si>
    <t xml:space="preserve">050.24 - LAR DE S. JORGE, GMR </t>
  </si>
  <si>
    <t xml:space="preserve">MEDIÇÃO R01 (DWFx 22128.ES.EXE.PD.R00)</t>
  </si>
  <si>
    <t xml:space="preserve">CONFORME MQT E CCS</t>
  </si>
  <si>
    <t xml:space="preserve">MQT − MEDIÇÃO</t>
  </si>
  <si>
    <t xml:space="preserve">ARTIGO</t>
  </si>
  <si>
    <t xml:space="preserve">DESCRITIVO</t>
  </si>
  <si>
    <t xml:space="preserve">BETÃO (m3 ou m2)</t>
  </si>
  <si>
    <t xml:space="preserve">AÇO s/ EMP. (kg)</t>
  </si>
  <si>
    <t xml:space="preserve">AÇO c/ EMP. (kg)</t>
  </si>
  <si>
    <t xml:space="preserve">COFRAGEM (m2)</t>
  </si>
  <si>
    <t xml:space="preserve">AÇO (kg)</t>
  </si>
  <si>
    <t xml:space="preserve">AÇO s/emp. x N4 (kg)</t>
  </si>
  <si>
    <t xml:space="preserve">BETÃO MODELO BIM (m3)</t>
  </si>
  <si>
    <t xml:space="preserve">OBSERVAÇÕES</t>
  </si>
  <si>
    <t xml:space="preserve">20.2.1.1.1</t>
  </si>
  <si>
    <t xml:space="preserve">Sapatas Contínuas</t>
  </si>
  <si>
    <t xml:space="preserve">20.2.1.1.1.1</t>
  </si>
  <si>
    <t xml:space="preserve">(Zona E)</t>
  </si>
  <si>
    <t xml:space="preserve">SMS1.1 a SMS1.4 (ES0401). Volume = modelo; armadura conforme det. 3-5.</t>
  </si>
  <si>
    <t xml:space="preserve">20.2.1.1.2</t>
  </si>
  <si>
    <t xml:space="preserve">Sapatas Isoladas</t>
  </si>
  <si>
    <t xml:space="preserve">20.2.1.1.2.1</t>
  </si>
  <si>
    <t xml:space="preserve">(Zona A)</t>
  </si>
  <si>
    <t xml:space="preserve">S6-S11 (ES0101). S10 medida com H=0.60 do quadro (modelo tem 0.50). Inclui esperas dos pilares.</t>
  </si>
  <si>
    <t xml:space="preserve">20.2.1.1.2.2</t>
  </si>
  <si>
    <t xml:space="preserve">(Zona B)</t>
  </si>
  <si>
    <t xml:space="preserve">S1 x5 e S5 x4 (ES0201). Inclui esperas.</t>
  </si>
  <si>
    <t xml:space="preserve">20.2.1.1.2.3</t>
  </si>
  <si>
    <t xml:space="preserve">(Zona C)</t>
  </si>
  <si>
    <t xml:space="preserve">S2 x4, S3 x9, S4 x2 (ES0301). Inclui esperas.</t>
  </si>
  <si>
    <t xml:space="preserve">20.2.1.1.2.4</t>
  </si>
  <si>
    <t xml:space="preserve">(Zona D)</t>
  </si>
  <si>
    <t xml:space="preserve">SE1 (ES0401 rotula como Zona E).</t>
  </si>
  <si>
    <t xml:space="preserve">20.2.1.1.2.5</t>
  </si>
  <si>
    <t xml:space="preserve">(Zona F)</t>
  </si>
  <si>
    <t xml:space="preserve">Ensoleiramento LMFelev 3.15x2.74x0.50 (ES0501).</t>
  </si>
  <si>
    <t xml:space="preserve">20.2.1.1.3</t>
  </si>
  <si>
    <t xml:space="preserve">Vigas de Equilíbrio e Vigas Lintel de Fundação</t>
  </si>
  <si>
    <t xml:space="preserve">20.2.1.1.3.1</t>
  </si>
  <si>
    <t xml:space="preserve">(Zona B) </t>
  </si>
  <si>
    <t xml:space="preserve">VE1 x2 (ES0201).</t>
  </si>
  <si>
    <t xml:space="preserve">20.2.1.1.3.2</t>
  </si>
  <si>
    <t xml:space="preserve">VL1 - 11 tramos (ES0302).</t>
  </si>
  <si>
    <t xml:space="preserve">20.2.1.2.1</t>
  </si>
  <si>
    <t xml:space="preserve">Limpeza</t>
  </si>
  <si>
    <t xml:space="preserve">20.2.1.2.1.1</t>
  </si>
  <si>
    <t xml:space="preserve">-</t>
  </si>
  <si>
    <t xml:space="preserve">Área (m2) com sobrelargura 0.05 m/lado.</t>
  </si>
  <si>
    <t xml:space="preserve">20.2.1.2.1.2</t>
  </si>
  <si>
    <t xml:space="preserve">Inclui VE1; exclui S5 sobre poços PF1 (PB7, PB9).</t>
  </si>
  <si>
    <t xml:space="preserve">20.2.1.2.1.3</t>
  </si>
  <si>
    <t xml:space="preserve">Inclui VL1.</t>
  </si>
  <si>
    <t xml:space="preserve">20.2.1.2.1.4</t>
  </si>
  <si>
    <t xml:space="preserve">SE1.</t>
  </si>
  <si>
    <t xml:space="preserve">20.2.1.2.1.5</t>
  </si>
  <si>
    <t xml:space="preserve">SMS1.1-1.4.</t>
  </si>
  <si>
    <t xml:space="preserve">20.2.1.2.1.6</t>
  </si>
  <si>
    <t xml:space="preserve">LMFelev.</t>
  </si>
  <si>
    <t xml:space="preserve">20.2.1.3.1</t>
  </si>
  <si>
    <t xml:space="preserve">Poços de Fundação</t>
  </si>
  <si>
    <t xml:space="preserve">20.2.1.3.1.1</t>
  </si>
  <si>
    <t xml:space="preserve">MQT 25.34 m3 vs geometria 4xπx0.6²x4.50 = 20.36 m3 (ver DISCREPÂNCIAS).</t>
  </si>
  <si>
    <t xml:space="preserve">20.3.1.2.1.1</t>
  </si>
  <si>
    <t xml:space="preserve">Muros de Suporte de Betão Armado à Vista</t>
  </si>
  <si>
    <t xml:space="preserve">20.3.1.2.1.1.1</t>
  </si>
  <si>
    <t xml:space="preserve">(Zona E) </t>
  </si>
  <si>
    <t xml:space="preserve">MS1.1-MS1.4: área de face do modelo x 0.25; cofragem 2 faces.</t>
  </si>
  <si>
    <t xml:space="preserve">20.4.1.1.1.1</t>
  </si>
  <si>
    <t xml:space="preserve">Lajes Maciças</t>
  </si>
  <si>
    <t xml:space="preserve">20.4.1.1.1.1.1</t>
  </si>
  <si>
    <t xml:space="preserve">(Zona A) </t>
  </si>
  <si>
    <t xml:space="preserve">20.4.1.1.1.1.2</t>
  </si>
  <si>
    <t xml:space="preserve">20.4.1.1.1.1.3</t>
  </si>
  <si>
    <t xml:space="preserve">20.4.1.1.1.1.4</t>
  </si>
  <si>
    <t xml:space="preserve">(Zona D) </t>
  </si>
  <si>
    <t xml:space="preserve">20.4.1.1.1.1.5</t>
  </si>
  <si>
    <t xml:space="preserve">20.4.1.1.2</t>
  </si>
  <si>
    <t xml:space="preserve">Muretes</t>
  </si>
  <si>
    <t xml:space="preserve">6.4.1.1.2.1</t>
  </si>
  <si>
    <t xml:space="preserve">Código do artigo "6.4.1.1.2.1" mantido do original (provável 20.4.1.1.2.1).</t>
  </si>
  <si>
    <t xml:space="preserve">20.4.1.1.3</t>
  </si>
  <si>
    <t xml:space="preserve">Paredes</t>
  </si>
  <si>
    <t xml:space="preserve">20.4.1.1.3.1</t>
  </si>
  <si>
    <t xml:space="preserve">(Zona F) </t>
  </si>
  <si>
    <t xml:space="preserve">NUCelev 0.25 x2.</t>
  </si>
  <si>
    <t xml:space="preserve">20.4.1.1.3.2</t>
  </si>
  <si>
    <t xml:space="preserve">NUCelev 0.15 (cofragem 1 face).</t>
  </si>
  <si>
    <t xml:space="preserve">20.4.1.1.4</t>
  </si>
  <si>
    <t xml:space="preserve">Pilares</t>
  </si>
  <si>
    <t xml:space="preserve">20.4.1.1.4.1</t>
  </si>
  <si>
    <t xml:space="preserve">Exclui "Pexistente" (pilar existente modelado).</t>
  </si>
  <si>
    <t xml:space="preserve">20.4.1.1.4.2</t>
  </si>
  <si>
    <t xml:space="preserve">20.4.1.1.4.3</t>
  </si>
  <si>
    <t xml:space="preserve">(Zona C) </t>
  </si>
  <si>
    <t xml:space="preserve">20.4.1.1.4.4</t>
  </si>
  <si>
    <t xml:space="preserve">PE1 (ES0401 rotula como Zona E).</t>
  </si>
  <si>
    <t xml:space="preserve">20.4.1.1.4.5</t>
  </si>
  <si>
    <t xml:space="preserve">(Zona G)</t>
  </si>
  <si>
    <t xml:space="preserve">PT 0.20x0.20 x8 (ES0601).</t>
  </si>
  <si>
    <t xml:space="preserve">20.4.1.1.5</t>
  </si>
  <si>
    <t xml:space="preserve">Vigas e Platibandas</t>
  </si>
  <si>
    <t xml:space="preserve">20.4.1.1.5.1</t>
  </si>
  <si>
    <t xml:space="preserve">20.4.1.1.5.2</t>
  </si>
  <si>
    <t xml:space="preserve">20.4.1.1.5.3</t>
  </si>
  <si>
    <t xml:space="preserve">20.4.1.1.5.4</t>
  </si>
  <si>
    <t xml:space="preserve">20.4.1.1.5.5</t>
  </si>
  <si>
    <t xml:space="preserve">VT 0.20x0.20 - 9 tramos (ES0601).</t>
  </si>
  <si>
    <t xml:space="preserve">20.4.1.2.1.1</t>
  </si>
  <si>
    <t xml:space="preserve">Lajes Aligeiradas</t>
  </si>
  <si>
    <t xml:space="preserve">20.4.1.2.1.1.1</t>
  </si>
  <si>
    <t xml:space="preserve">D = área (m2); aço inclui malhasol AR46 (peso a confirmar).</t>
  </si>
  <si>
    <t xml:space="preserve">TOTAIS (betão em m3) =</t>
  </si>
  <si>
    <t xml:space="preserve">Betão de limpeza (m2) =</t>
  </si>
  <si>
    <t xml:space="preserve">Lajes aligeiradas (m2) =</t>
  </si>
  <si>
    <t xml:space="preserve">Notas: E = aço sem empalmes; F = aço incluindo empalmes/sobreposições (50Ø); L = E x N4 (critério anterior). P/Q/R = MQT − medição (valor negativo = medição superior ao MQT). Ver folhas CRITÉRIOS E FONTES e DISCREPÂNCIAS.</t>
  </si>
  <si>
    <t xml:space="preserve">MEDIÇÕES DE BETÃO ARMADO</t>
  </si>
  <si>
    <t xml:space="preserve">Obra: </t>
  </si>
  <si>
    <t xml:space="preserve">050.24 - LAR DE S. JORGE, GMR</t>
  </si>
  <si>
    <t xml:space="preserve">Executou: </t>
  </si>
  <si>
    <t xml:space="preserve">Local: </t>
  </si>
  <si>
    <t xml:space="preserve">Pevidém, Guimarães</t>
  </si>
  <si>
    <t xml:space="preserve">Data:</t>
  </si>
  <si>
    <t xml:space="preserve">ARTº</t>
  </si>
  <si>
    <t xml:space="preserve">Designação</t>
  </si>
  <si>
    <t xml:space="preserve">BETÃO</t>
  </si>
  <si>
    <t xml:space="preserve">ÁREA</t>
  </si>
  <si>
    <t xml:space="preserve">AÇO SEM EMPALMES</t>
  </si>
  <si>
    <t xml:space="preserve">DIÃMETROS</t>
  </si>
  <si>
    <t xml:space="preserve">AÇO EMPALMES</t>
  </si>
  <si>
    <t xml:space="preserve">REDE ELECTROS.</t>
  </si>
  <si>
    <t xml:space="preserve">ZONA</t>
  </si>
  <si>
    <t xml:space="preserve">AÇO EMP. (kg)</t>
  </si>
  <si>
    <t xml:space="preserve">FONTE / OBSERVAÇÕES</t>
  </si>
  <si>
    <t xml:space="preserve">ESTADO</t>
  </si>
  <si>
    <t xml:space="preserve">Nº</t>
  </si>
  <si>
    <t xml:space="preserve">C (BX)</t>
  </si>
  <si>
    <t xml:space="preserve">L (BY)</t>
  </si>
  <si>
    <t xml:space="preserve">H</t>
  </si>
  <si>
    <t xml:space="preserve">BETÃO LIMPEZA M3</t>
  </si>
  <si>
    <t xml:space="preserve">(m2)</t>
  </si>
  <si>
    <t xml:space="preserve">L</t>
  </si>
  <si>
    <t xml:space="preserve">P</t>
  </si>
  <si>
    <t xml:space="preserve">Nº (PI)</t>
  </si>
  <si>
    <t xml:space="preserve">QUANT.</t>
  </si>
  <si>
    <t xml:space="preserve">Ø</t>
  </si>
  <si>
    <t xml:space="preserve">COMP.</t>
  </si>
  <si>
    <t xml:space="preserve">Ø 6</t>
  </si>
  <si>
    <t xml:space="preserve">Ø 8</t>
  </si>
  <si>
    <t xml:space="preserve">Ø 10</t>
  </si>
  <si>
    <t xml:space="preserve">Ø 12</t>
  </si>
  <si>
    <t xml:space="preserve">Ø 16</t>
  </si>
  <si>
    <t xml:space="preserve">Ø 20</t>
  </si>
  <si>
    <t xml:space="preserve">Ø 25</t>
  </si>
  <si>
    <t xml:space="preserve">Ø 32</t>
  </si>
  <si>
    <t xml:space="preserve">nº varões</t>
  </si>
  <si>
    <t xml:space="preserve">nº empalmes</t>
  </si>
  <si>
    <t xml:space="preserve">ɸ</t>
  </si>
  <si>
    <t xml:space="preserve">(kg)</t>
  </si>
  <si>
    <t xml:space="preserve">ZONA A - BETÃO DE LIMPEZA C16/20 (e=0.10; sobrelargura 0.05 m por lado)</t>
  </si>
  <si>
    <t xml:space="preserve">S6 (PA1, PA2)</t>
  </si>
  <si>
    <t xml:space="preserve">A</t>
  </si>
  <si>
    <t xml:space="preserve">ES0101 pormenor tipo de sapatas (5 cm por lado, 10 cm)</t>
  </si>
  <si>
    <t xml:space="preserve">Calculado</t>
  </si>
  <si>
    <t xml:space="preserve">S7 (PA4, PA5)</t>
  </si>
  <si>
    <t xml:space="preserve">S8 (PA7, PA8)</t>
  </si>
  <si>
    <t xml:space="preserve">S9 (PA9)</t>
  </si>
  <si>
    <t xml:space="preserve">S10 (PA10)</t>
  </si>
  <si>
    <t xml:space="preserve">S11 (PA11, PA12)</t>
  </si>
  <si>
    <t xml:space="preserve">ZONA B - BETÃO DE LIMPEZA C16/20 (e=0.10; sobrelargura 0.05 m por lado)</t>
  </si>
  <si>
    <t xml:space="preserve">S1 (PB1 a PB5)</t>
  </si>
  <si>
    <t xml:space="preserve">B</t>
  </si>
  <si>
    <t xml:space="preserve">S5 sob PB6 e PB8 (PB7/PB9 assentam nos poços PF1)</t>
  </si>
  <si>
    <t xml:space="preserve">ES0201 pormenor de poços: sapata sobre betão ciclópico sem betão de limpeza</t>
  </si>
  <si>
    <t xml:space="preserve">Interpretado</t>
  </si>
  <si>
    <t xml:space="preserve">VE1 (b+0.10) x Lcut</t>
  </si>
  <si>
    <t xml:space="preserve">ES0201 det. 4 VE1: "Betão de Limpeza [h=0.10]"</t>
  </si>
  <si>
    <t xml:space="preserve">ZONA C - BETÃO DE LIMPEZA C16/20 (e=0.10; sobrelargura 0.05 m por lado)</t>
  </si>
  <si>
    <t xml:space="preserve">S2 (PC2, PC4, PC5, PC7)</t>
  </si>
  <si>
    <t xml:space="preserve">C</t>
  </si>
  <si>
    <t xml:space="preserve">S3 (PC1, PC3, PC6, PC8, PC9, PC10, PC13 + 2 PL1)</t>
  </si>
  <si>
    <t xml:space="preserve">S4 (PL1 em CE)</t>
  </si>
  <si>
    <t xml:space="preserve">VL1 (b+0.10) x ΣLcut (11 tramos)</t>
  </si>
  <si>
    <t xml:space="preserve">ES0302 det. 3 VL1: "Betão Limpeza"</t>
  </si>
  <si>
    <t xml:space="preserve">ZONA D - BETÃO DE LIMPEZA C16/20 (e=0.10; sobrelargura 0.05 m por lado)</t>
  </si>
  <si>
    <t xml:space="preserve">SE1 (PE1)</t>
  </si>
  <si>
    <t xml:space="preserve">D</t>
  </si>
  <si>
    <t xml:space="preserve">ZONA F - BETÃO DE LIMPEZA C16/20 (e=0.10; sobrelargura 0.05 m por lado)</t>
  </si>
  <si>
    <t xml:space="preserve">LMFelev - ensoleiramento do elevador</t>
  </si>
  <si>
    <t xml:space="preserve">F</t>
  </si>
  <si>
    <t xml:space="preserve">ZONA E - BETÃO DE LIMPEZA SOB SAPATAS CONTÍNUAS DO MURO</t>
  </si>
  <si>
    <t xml:space="preserve">SMS1.1 (sob MS1.1)</t>
  </si>
  <si>
    <t xml:space="preserve">E</t>
  </si>
  <si>
    <t xml:space="preserve">ES0401 det. 3-5 (limpeza 0.10)</t>
  </si>
  <si>
    <t xml:space="preserve">SMS1.2 (sob MS1.2)</t>
  </si>
  <si>
    <t xml:space="preserve">SMS1.3 (sob MS1.3)</t>
  </si>
  <si>
    <t xml:space="preserve">SMS1.4 (sob MS1.4)</t>
  </si>
  <si>
    <t xml:space="preserve">TOTAL BETÃO (m3)</t>
  </si>
  <si>
    <t xml:space="preserve">TOTAL (kg/Ø)</t>
  </si>
  <si>
    <t xml:space="preserve">OBS :</t>
  </si>
  <si>
    <t xml:space="preserve">TOTAL COFRAGEM (m2)</t>
  </si>
  <si>
    <t xml:space="preserve">TOTAL (Kg)</t>
  </si>
  <si>
    <t xml:space="preserve">DENS. COFRAGEM (m2/m3)</t>
  </si>
  <si>
    <t xml:space="preserve">DENS. TOTAL (Kg/m3)</t>
  </si>
  <si>
    <t xml:space="preserve">DENS. EMPALMES (Kg/m3)</t>
  </si>
  <si>
    <t xml:space="preserve">% EMPALMES/kg</t>
  </si>
  <si>
    <t xml:space="preserve">COFRAGEM</t>
  </si>
  <si>
    <t xml:space="preserve">PARCIAL</t>
  </si>
  <si>
    <t xml:space="preserve">ZONA A - SAPATAS ISOLADAS</t>
  </si>
  <si>
    <t xml:space="preserve">ES0101 quadro sapatas Zona A; Revit 1374132</t>
  </si>
  <si>
    <t xml:space="preserve">Extraído</t>
  </si>
  <si>
    <t xml:space="preserve">AS inf xx Ø16//0.125</t>
  </si>
  <si>
    <t xml:space="preserve">varão em U (abas até à face oposta); recobrimento 5 cm (ES0101 pormenor tipo de sapatas)</t>
  </si>
  <si>
    <t xml:space="preserve">AS inf yy Ø16//0.125</t>
  </si>
  <si>
    <t xml:space="preserve">AS sup xx Ø16//0.125</t>
  </si>
  <si>
    <t xml:space="preserve">AS sup yy Ø16//0.125</t>
  </si>
  <si>
    <t xml:space="preserve">AS vd 4Ø16 (cintas perimetrais)</t>
  </si>
  <si>
    <t xml:space="preserve">interpretado: ASvd = cintas horizontais no contorno; 1 emenda 50Ø por cinta</t>
  </si>
  <si>
    <t xml:space="preserve">Esperas PA1, PA2 - 4Ø20</t>
  </si>
  <si>
    <t xml:space="preserve">amarração 50Ø na sapata + sobreposição 50Ø acima do topo (ES0101 pormenor tipo; notas emendas)</t>
  </si>
  <si>
    <t xml:space="preserve">ES0101 quadro sapatas Zona A; Revit 1374101</t>
  </si>
  <si>
    <t xml:space="preserve">AS inf xx Ø12//0.10</t>
  </si>
  <si>
    <t xml:space="preserve">AS inf yy Ø12//0.10</t>
  </si>
  <si>
    <t xml:space="preserve">AS sup xx Ø12//0.10</t>
  </si>
  <si>
    <t xml:space="preserve">AS sup yy Ø12//0.10</t>
  </si>
  <si>
    <t xml:space="preserve">AS vd 4Ø12 (cintas perimetrais)</t>
  </si>
  <si>
    <t xml:space="preserve">Esperas PA4, PA5 - 4Ø20</t>
  </si>
  <si>
    <t xml:space="preserve">ES0101 quadro sapatas Zona A; Revit 1374092</t>
  </si>
  <si>
    <t xml:space="preserve">Esperas PA8 - 4Ø20</t>
  </si>
  <si>
    <t xml:space="preserve">Esperas PA7 - 4Ø16</t>
  </si>
  <si>
    <t xml:space="preserve">Esperas PA7 - 2Ø12</t>
  </si>
  <si>
    <t xml:space="preserve">ES0101 quadro sapatas Zona A; Revit 1222165</t>
  </si>
  <si>
    <t xml:space="preserve">Esperas PA9 - 4Ø20</t>
  </si>
  <si>
    <t xml:space="preserve">ES0101 quadro/planta H=0.60; modelo Revit 1222239 com H=0.50 (V=0.975) - ver DISCREPÂNCIAS D01</t>
  </si>
  <si>
    <t xml:space="preserve">Extraído (quadro) ≠ modelo</t>
  </si>
  <si>
    <t xml:space="preserve">Esperas PA10 - 4Ø20</t>
  </si>
  <si>
    <t xml:space="preserve">ES0101 quadro sapatas Zona A; Revit 1374089</t>
  </si>
  <si>
    <t xml:space="preserve">Esperas PA11, PA12 - 4Ø20</t>
  </si>
  <si>
    <t xml:space="preserve">ZONA B - SAPATAS ISOLADAS</t>
  </si>
  <si>
    <t xml:space="preserve">ES0201 quadro sapatas Zona B; Revit 5 un.</t>
  </si>
  <si>
    <t xml:space="preserve">AS inf xx Ø12//0.15</t>
  </si>
  <si>
    <t xml:space="preserve">AS inf yy Ø12//0.15</t>
  </si>
  <si>
    <t xml:space="preserve">AS sup xx Ø12//0.15</t>
  </si>
  <si>
    <t xml:space="preserve">AS sup yy Ø12//0.15</t>
  </si>
  <si>
    <t xml:space="preserve">Esperas PB1..PB4 - 4Ø16</t>
  </si>
  <si>
    <t xml:space="preserve">Esperas PB1..PB4 - 2Ø12</t>
  </si>
  <si>
    <t xml:space="preserve">Esperas PB5 - 4Ø16</t>
  </si>
  <si>
    <t xml:space="preserve">S5 (PB6 a PB9)</t>
  </si>
  <si>
    <t xml:space="preserve">ES0201 quadro sapatas Zona B; Revit 4 un.</t>
  </si>
  <si>
    <t xml:space="preserve">AS sup xx Ø16//0.20</t>
  </si>
  <si>
    <t xml:space="preserve">AS sup yy Ø16//0.20</t>
  </si>
  <si>
    <t xml:space="preserve">Esperas PB6..PB9 - 6Ø20</t>
  </si>
  <si>
    <t xml:space="preserve">ZONA C - SAPATAS ISOLADAS</t>
  </si>
  <si>
    <t xml:space="preserve">ES0301 quadro sapatas Zona C; Revit 4 un.</t>
  </si>
  <si>
    <t xml:space="preserve">AS inf xx Ø12//0.20</t>
  </si>
  <si>
    <t xml:space="preserve">AS inf yy Ø12//0.20</t>
  </si>
  <si>
    <t xml:space="preserve">AS sup xx Ø12//0.20</t>
  </si>
  <si>
    <t xml:space="preserve">AS sup yy Ø12//0.20</t>
  </si>
  <si>
    <t xml:space="preserve">AS vd 5Ø12 (cintas perimetrais)</t>
  </si>
  <si>
    <t xml:space="preserve">Esperas PC2, PC4, PC5, PC7 - 4Ø20</t>
  </si>
  <si>
    <t xml:space="preserve">Esperas PC2, PC4, PC5, PC7 - 6Ø16</t>
  </si>
  <si>
    <t xml:space="preserve">ES0301 quadro sapatas Zona C; Revit 9 un. (2 sob plintos PL1 em CD)</t>
  </si>
  <si>
    <t xml:space="preserve">Esperas PC1,3,6,8,9,10,13 - 4Ø16</t>
  </si>
  <si>
    <t xml:space="preserve">Esperas PC1,3,6,8,9,10,13 - 4Ø12</t>
  </si>
  <si>
    <t xml:space="preserve">ES0301 quadro sapatas Zona C; Revit 2 un.</t>
  </si>
  <si>
    <t xml:space="preserve">ZONA D (varanda - SE1) - SAPATAS ISOLADAS</t>
  </si>
  <si>
    <t xml:space="preserve">ES0401 "Zona E - Pormenor de fundação" Ø12//0.15 (MQT classifica em Zona D); Revit 1221753</t>
  </si>
  <si>
    <t xml:space="preserve">Esperas PE1 - 4Ø16</t>
  </si>
  <si>
    <t xml:space="preserve">ZONA F - ENSOLEIRAMENTO DO POÇO DO ELEVADOR (MQT: sapatas isoladas)</t>
  </si>
  <si>
    <t xml:space="preserve">ES0501 Pormenor Fundação Zona F (Ø12//0.15 sup. e inf.); Revit 1246972</t>
  </si>
  <si>
    <t xml:space="preserve">ZONA E - SAPATAS CONTÍNUAS DO MURO MS1 (SMS1.1 a SMS1.4)</t>
  </si>
  <si>
    <t xml:space="preserve">ES0401 alçado/det. 3-5; Revit 1287085 (L modelo 1.19; L equivalente = V/(W.H))</t>
  </si>
  <si>
    <t xml:space="preserve">Transv. Ø12//0.15 (cinta fechada)</t>
  </si>
  <si>
    <t xml:space="preserve">ES0401 det. 3/4/5</t>
  </si>
  <si>
    <t xml:space="preserve">Long. Ø12//0.15 (sup. + inf.)</t>
  </si>
  <si>
    <t xml:space="preserve">ES0401 alçado/det. 3-5; Revit 1287096 (L modelo 4.45; L equivalente = V/(W.H))</t>
  </si>
  <si>
    <t xml:space="preserve">ES0401 alçado/det. 3-5; Revit 1287651; ES0401 det. 4: + 2Ø12</t>
  </si>
  <si>
    <t xml:space="preserve">Long. adicionais 2Ø12</t>
  </si>
  <si>
    <t xml:space="preserve">ES0401 det. 4</t>
  </si>
  <si>
    <t xml:space="preserve">ES0401 alçado/det. 3-5; Revit 1287954</t>
  </si>
  <si>
    <t xml:space="preserve">ZONA E - MURO DE SUPORTE MS1 EM BETÃO ARMADO À VISTA (esp. 0.25)</t>
  </si>
  <si>
    <t xml:space="preserve">MS1.1</t>
  </si>
  <si>
    <t xml:space="preserve">ES0401 det. 3 (MS1.1=MS1.2); Revit 1236766; área de face do modelo 2.7563 m2 (altura média = A/L)</t>
  </si>
  <si>
    <t xml:space="preserve">Vertical Ø12//0.125 (2 faces)</t>
  </si>
  <si>
    <t xml:space="preserve">altura média + amarração na sapata com patilha 0.30 + fecho no topo</t>
  </si>
  <si>
    <t xml:space="preserve">Horizontal Ø12//0.125 (2 faces)</t>
  </si>
  <si>
    <t xml:space="preserve">dobras de 0.15 nos topos</t>
  </si>
  <si>
    <t xml:space="preserve">MS1.2</t>
  </si>
  <si>
    <t xml:space="preserve">ES0401 det. 3 (MS1.1=MS1.2); Revit 1236494; área de face do modelo 8.896 m2 (altura média = A/L)</t>
  </si>
  <si>
    <t xml:space="preserve">MS1.3</t>
  </si>
  <si>
    <t xml:space="preserve">ES0401 det. 4; Revit 1287622; área de face do modelo 5.8946 m2 (altura média = A/L)</t>
  </si>
  <si>
    <t xml:space="preserve">Vertical Ø12//0.15 (2 faces)</t>
  </si>
  <si>
    <t xml:space="preserve">MS1.4</t>
  </si>
  <si>
    <t xml:space="preserve">ES0401 det. 5; Revit 1287014; área de face do modelo 3.4786 m2 (altura média = A/L)</t>
  </si>
  <si>
    <t xml:space="preserve">ZONA B - VIGAS DE EQUILÍBRIO VE1</t>
  </si>
  <si>
    <t xml:space="preserve">VE1 (0.40x0.50)</t>
  </si>
  <si>
    <t xml:space="preserve">ES0201 det. 4; Revit 1371446/1371651 (2 estribos/secção - modelo); comprimento = V modelo/(b.h) = Lcut; cofragem: 2 faces (sem fundo)</t>
  </si>
  <si>
    <t xml:space="preserve">Sup. 5Ø20</t>
  </si>
  <si>
    <t xml:space="preserve">Lcut + amarração 50Ø em cada extremo (ES0102 pormenores tipo de amarrações)</t>
  </si>
  <si>
    <t xml:space="preserve">Inf. 5Ø20</t>
  </si>
  <si>
    <t xml:space="preserve">Estribo exterior Ø8//0.15</t>
  </si>
  <si>
    <t xml:space="preserve">2 estribos por secção (5 varões em largura; modelo Revit com 2 conjuntos)</t>
  </si>
  <si>
    <t xml:space="preserve">Estribo interior Ø8//0.15</t>
  </si>
  <si>
    <t xml:space="preserve">ZONA C - VIGA LINTEL DE FUNDAÇÃO VL1 (0.24x0.50) - 11 tramos</t>
  </si>
  <si>
    <t xml:space="preserve">VL1 tramo 1</t>
  </si>
  <si>
    <t xml:space="preserve">ES0302 det. 3; Revit 1318373 (Lcut 7.0887)</t>
  </si>
  <si>
    <t xml:space="preserve">Sup. 3Ø16</t>
  </si>
  <si>
    <t xml:space="preserve">Inf. 3Ø16</t>
  </si>
  <si>
    <t xml:space="preserve">Estribos Ø8//0.15</t>
  </si>
  <si>
    <t xml:space="preserve">VL1 tramo 2</t>
  </si>
  <si>
    <t xml:space="preserve">ES0302 det. 3; Revit 1318375 (Lcut 5.3877)</t>
  </si>
  <si>
    <t xml:space="preserve">VL1 tramo 3</t>
  </si>
  <si>
    <t xml:space="preserve">ES0302 det. 3; Revit 1318376 (Lcut 7.5463)</t>
  </si>
  <si>
    <t xml:space="preserve">VL1 tramo 4</t>
  </si>
  <si>
    <t xml:space="preserve">ES0302 det. 3; Revit 1318430 (Lcut 1.3315)</t>
  </si>
  <si>
    <t xml:space="preserve">VL1 tramo 5</t>
  </si>
  <si>
    <t xml:space="preserve">ES0302 det. 3; Revit 1318856 (Lcut 3.3468)</t>
  </si>
  <si>
    <t xml:space="preserve">VL1 tramo 6</t>
  </si>
  <si>
    <t xml:space="preserve">ES0302 det. 3; Revit 1319037 (Lcut 4.2949)</t>
  </si>
  <si>
    <t xml:space="preserve">VL1 tramo 7</t>
  </si>
  <si>
    <t xml:space="preserve">ES0302 det. 3; Revit 1319239 (Lcut 2.5778)</t>
  </si>
  <si>
    <t xml:space="preserve">VL1 tramo 8</t>
  </si>
  <si>
    <t xml:space="preserve">ES0302 det. 3; Revit 1319361 (Lcut 3.4271)</t>
  </si>
  <si>
    <t xml:space="preserve">VL1 tramo 9</t>
  </si>
  <si>
    <t xml:space="preserve">ES0302 det. 3; Revit 1319629 (Lcut 1.7234)</t>
  </si>
  <si>
    <t xml:space="preserve">VL1 tramo 10</t>
  </si>
  <si>
    <t xml:space="preserve">ES0302 det. 3; Revit 1319684 (Lcut 7.5463)</t>
  </si>
  <si>
    <t xml:space="preserve">VL1 tramo 11</t>
  </si>
  <si>
    <t xml:space="preserve">ES0302 det. 3; Revit 1319965 (Lcut 3.3342)</t>
  </si>
  <si>
    <t xml:space="preserve">DIAMETRO</t>
  </si>
  <si>
    <t xml:space="preserve">ZONA B - POÇOS DE BETÃO CICLÓPICO PF1 (Ø1.20; h=4.50)</t>
  </si>
  <si>
    <t xml:space="preserve">PF1 (sob S5 de PB7 e PB9)</t>
  </si>
  <si>
    <t xml:space="preserve">ES0201 planta de poços: 4 círculos Ø1.20 tangentes (0.58+0.63 &gt; 1.20), h=4.50; Revit 1372621</t>
  </si>
  <si>
    <t xml:space="preserve">ZONA A - LAJES MACIÇAS</t>
  </si>
  <si>
    <t xml:space="preserve">LMA1.1 - Piso 1</t>
  </si>
  <si>
    <t xml:space="preserve">ES0102 plantas 2/3 (Ø12//0.15 inf./sup.); Revit 1200271 (área entre vigas); perímetro exterior entre eixos 2x(3.36+8.98); E = área do modelo (entre faces de vigas)</t>
  </si>
  <si>
    <t xml:space="preserve">Inferior Ø12//0.15 - 2 direcções (comp. = área/esp.)</t>
  </si>
  <si>
    <t xml:space="preserve">Superior Ø12//0.15 - 2 direcções (comp. = área/esp.)</t>
  </si>
  <si>
    <t xml:space="preserve">Amarração sup. 50Ø nos bordos (perímetro 24.68 m)</t>
  </si>
  <si>
    <t xml:space="preserve">ES0102 pormenor de amarração da armadura superior (50Ø)</t>
  </si>
  <si>
    <t xml:space="preserve">Amarração inf. 10Ø nos apoios (perímetro 24.68 m)</t>
  </si>
  <si>
    <t xml:space="preserve">assumido 10Ø (não indicado)</t>
  </si>
  <si>
    <t xml:space="preserve">Assumido</t>
  </si>
  <si>
    <t xml:space="preserve">LMA1.2 - Piso 2</t>
  </si>
  <si>
    <t xml:space="preserve">ES0102 plantas 4/5; Revit 1200529; perímetro exterior entre eixos; E = área do modelo (entre faces de vigas)</t>
  </si>
  <si>
    <t xml:space="preserve">ZONA B - LAJES MACIÇAS</t>
  </si>
  <si>
    <t xml:space="preserve">LMB1.2 - Piso 2</t>
  </si>
  <si>
    <t xml:space="preserve">ES0202 plantas 3/4 e det. 12 (Ø12//0.10); Revit 1197852; comprimento de ligação ao muro existente estimado BA-BC = 10.70 m; E = área do modelo (entre faces de vigas)</t>
  </si>
  <si>
    <t xml:space="preserve">Inferior Ø12//0.1 - 2 direcções (comp. = área/esp.)</t>
  </si>
  <si>
    <t xml:space="preserve">Superior Ø12//0.1 - 2 direcções (comp. = área/esp.)</t>
  </si>
  <si>
    <t xml:space="preserve">Amarração sup. 50Ø nos bordos (perímetro 70.8952 m)</t>
  </si>
  <si>
    <t xml:space="preserve">Amarração inf. 10Ø nos apoios (perímetro 70.8952 m)</t>
  </si>
  <si>
    <t xml:space="preserve">Ligação a MSexistente Ø12//0.30 selados (HIT-RE 500 V4)</t>
  </si>
  <si>
    <t xml:space="preserve">comprimento de ligação estimado em planta</t>
  </si>
  <si>
    <t xml:space="preserve">Estimado</t>
  </si>
  <si>
    <t xml:space="preserve">LMB1.C - Cobertura</t>
  </si>
  <si>
    <t xml:space="preserve">ES0202 plantas 5/6 (Ø12//0.15); Revit 1199395; E = área do modelo (entre faces de vigas)</t>
  </si>
  <si>
    <t xml:space="preserve">Amarração sup. 50Ø nos bordos (perímetro 20.84 m)</t>
  </si>
  <si>
    <t xml:space="preserve">Amarração inf. 10Ø nos apoios (perímetro 20.84 m)</t>
  </si>
  <si>
    <t xml:space="preserve">ZONA C - LAJES MACIÇAS</t>
  </si>
  <si>
    <t xml:space="preserve">LMC1.2 - Piso 2</t>
  </si>
  <si>
    <t xml:space="preserve">ES0302 det. 2 (Ø8//0.10 sup./inf.); Revit 1238743; E = área do modelo (entre faces de vigas)</t>
  </si>
  <si>
    <t xml:space="preserve">Inferior Ø8//0.1 - 2 direcções (comp. = área/esp.)</t>
  </si>
  <si>
    <t xml:space="preserve">Superior Ø8//0.1 - 2 direcções (comp. = área/esp.)</t>
  </si>
  <si>
    <t xml:space="preserve">Amarração sup. 50Ø nos bordos (perímetro 11.5287 m)</t>
  </si>
  <si>
    <t xml:space="preserve">Amarração inf. 10Ø nos apoios (perímetro 11.5287 m)</t>
  </si>
  <si>
    <t xml:space="preserve">LMC1.C - Cobertura</t>
  </si>
  <si>
    <t xml:space="preserve">ES0303 det. 3 (Ø8//0.10 sup./inf.); Revit 1237792; E = área do modelo (entre faces de vigas)</t>
  </si>
  <si>
    <t xml:space="preserve">Amarração sup. 50Ø nos bordos (perímetro 28.9725 m)</t>
  </si>
  <si>
    <t xml:space="preserve">Amarração inf. 10Ø nos apoios (perímetro 28.9725 m)</t>
  </si>
  <si>
    <t xml:space="preserve">ZONA D - LAJES MACIÇAS</t>
  </si>
  <si>
    <t xml:space="preserve">LMD1.1 - varanda Piso 1</t>
  </si>
  <si>
    <t xml:space="preserve">ES0401 det. 6 (Ø8//0.15; varões selados HIT RE500-V4); Revit 1219488; bordos livres 1.10+3.80+1.10; E = área do modelo (entre faces de vigas)</t>
  </si>
  <si>
    <t xml:space="preserve">Inferior Ø8//0.15 - 2 direcções (comp. = área/esp.)</t>
  </si>
  <si>
    <t xml:space="preserve">Superior Ø8//0.15 - 2 direcções (comp. = área/esp.)</t>
  </si>
  <si>
    <t xml:space="preserve">Amarração sup. 50Ø nos bordos (perímetro 9.8 m)</t>
  </si>
  <si>
    <t xml:space="preserve">Amarração inf. 10Ø nos apoios (perímetro 9.8 m)</t>
  </si>
  <si>
    <t xml:space="preserve">ZONA F - LAJES MACIÇAS</t>
  </si>
  <si>
    <t xml:space="preserve">LMCelev - cobertura do elevador</t>
  </si>
  <si>
    <t xml:space="preserve">ES0501 det. 9 (Ø10//0.15 sup./inf.); Revit 1245561; E = área do modelo (entre faces de vigas)</t>
  </si>
  <si>
    <t xml:space="preserve">Inferior Ø10//0.15 - 2 direcções (comp. = área/esp.)</t>
  </si>
  <si>
    <t xml:space="preserve">Superior Ø10//0.15 - 2 direcções (comp. = área/esp.)</t>
  </si>
  <si>
    <t xml:space="preserve">Amarração sup. 50Ø nos bordos (perímetro 7.48 m)</t>
  </si>
  <si>
    <t xml:space="preserve">Amarração inf. 10Ø nos apoios (perímetro 7.48 m)</t>
  </si>
  <si>
    <t xml:space="preserve">ZONA C - LAJE ALIGEIRADA DE VIGOTAS PRÉ-ESFORÇADAS LAC1.C (2V5-BN 40x30-34)</t>
  </si>
  <si>
    <t xml:space="preserve">LAC1.C (D = área m2)</t>
  </si>
  <si>
    <t xml:space="preserve">ES0303 quadro resumo de lajes aligeiradas (L=7.33; betão 125.8 L/m2); Revit 1187665 (área 48.96 m2); G = betão de complemento (m3)</t>
  </si>
  <si>
    <t xml:space="preserve">Malhasol AR46 (1.58 kg/m2 - confirmar com catálogo)</t>
  </si>
  <si>
    <t xml:space="preserve">peso por m2 não indicado nos desenhos: valor da medição anterior</t>
  </si>
  <si>
    <t xml:space="preserve">A2 Ø8//0.20 (L2=1.90 + 50Ø) - 2 apoios</t>
  </si>
  <si>
    <t xml:space="preserve">largura = área / vão (7.33)</t>
  </si>
  <si>
    <t xml:space="preserve">Tarugos At 2Ø12 - 3 tarugos</t>
  </si>
  <si>
    <t xml:space="preserve">largura + amarração 0.30 nas vigas de bordo (assumido)</t>
  </si>
  <si>
    <t xml:space="preserve">2Ø8/vigota nos apoios (0.50 + dobra 0.25)</t>
  </si>
  <si>
    <t xml:space="preserve">nº vigotas assumido: 2 vigotas por nervura, entre-eixo 0.62 m</t>
  </si>
  <si>
    <t xml:space="preserve">ZONA F - MURETE DO ELEVADOR Melev (0.15x0.93)</t>
  </si>
  <si>
    <t xml:space="preserve">Melev (0.15x0.93)</t>
  </si>
  <si>
    <t xml:space="preserve">ES0501 det. 10 Pormenor Fundação Zona F; Revit 1245179 (Lcut 1.65)</t>
  </si>
  <si>
    <t xml:space="preserve">Horizontal Ø10//0.15 (2 faces)</t>
  </si>
  <si>
    <t xml:space="preserve">amarração nas paredes NUCelev (modelo: 2.08 m)</t>
  </si>
  <si>
    <t xml:space="preserve">Vertical Ø8//0.15 em U (ancorado no ensoleiramento)</t>
  </si>
  <si>
    <t xml:space="preserve">ZONA A - PILARES</t>
  </si>
  <si>
    <t xml:space="preserve">PA1=PA4=PA10 (0.25x0.25)</t>
  </si>
  <si>
    <t xml:space="preserve">ES0102 quadro pilares: Fundação -&gt; Piso 2; L = altura do modelo Revit (base -&gt; topo)</t>
  </si>
  <si>
    <t xml:space="preserve">Longitudinal 4Ø20</t>
  </si>
  <si>
    <t xml:space="preserve">L + amarração 50Ø no topo; esperas medidas em FUNDAÇÕES; 1 emenda(s) 50Ø nos pisos intermédios</t>
  </si>
  <si>
    <t xml:space="preserve">Cintas Ø8//0.10 (Lr=0.60) - cinta exterior</t>
  </si>
  <si>
    <t xml:space="preserve">Lr em cada extremo de cada troço (2 troço(s))</t>
  </si>
  <si>
    <t xml:space="preserve">Cintas Ø8//0.15 (Lc) - cinta exterior</t>
  </si>
  <si>
    <t xml:space="preserve">zona corrente entre zonas Lr</t>
  </si>
  <si>
    <t xml:space="preserve">PA2=PA5=PA8 (0.25x0.25)</t>
  </si>
  <si>
    <t xml:space="preserve">ES0102 quadro pilares: Fundação -&gt; Piso 1; L = altura do modelo Revit (base -&gt; topo)</t>
  </si>
  <si>
    <t xml:space="preserve">L + amarração 50Ø no topo; esperas medidas em FUNDAÇÕES</t>
  </si>
  <si>
    <t xml:space="preserve">Lr em cada extremo de cada troço (1 troço(s))</t>
  </si>
  <si>
    <t xml:space="preserve">PA3=PA6 (0.25x0.25)</t>
  </si>
  <si>
    <t xml:space="preserve">ES0102 quadro pilares: Piso 1 -&gt; cota 184.23 (arranque na viga do Piso 1); L = altura do modelo Revit (base -&gt; topo)</t>
  </si>
  <si>
    <t xml:space="preserve">L + 50Ø no topo + 50Ø de amarração na viga de arranque; 1 emenda(s) 50Ø nos pisos intermédios</t>
  </si>
  <si>
    <t xml:space="preserve">PA7 (0.20x0.30)</t>
  </si>
  <si>
    <t xml:space="preserve">Longitudinal 4Ø16</t>
  </si>
  <si>
    <t xml:space="preserve">Longitudinal 2Ø12</t>
  </si>
  <si>
    <t xml:space="preserve">PA9=PA11=PA12 (0.25x0.25)</t>
  </si>
  <si>
    <t xml:space="preserve">ES0102 quadro pilares: Fundação -&gt; cota 184.23; L = altura do modelo Revit (base -&gt; topo)</t>
  </si>
  <si>
    <t xml:space="preserve">L + amarração 50Ø no topo; esperas medidas em FUNDAÇÕES; 2 emenda(s) 50Ø nos pisos intermédios</t>
  </si>
  <si>
    <t xml:space="preserve">Lr em cada extremo de cada troço (3 troço(s))</t>
  </si>
  <si>
    <t xml:space="preserve">ZONA B - PILARES</t>
  </si>
  <si>
    <t xml:space="preserve">PB1=PB2=PB3=PB4 (0.20x0.30)</t>
  </si>
  <si>
    <t xml:space="preserve">ES0202 quadro pilares: Fundação/Piso 1 -&gt; Piso 2; L = altura do modelo Revit (base -&gt; topo)</t>
  </si>
  <si>
    <t xml:space="preserve">PB5 (0.25x0.25)</t>
  </si>
  <si>
    <t xml:space="preserve">PB6=PB7=PB8=PB9 (0.25x0.30)</t>
  </si>
  <si>
    <t xml:space="preserve">ES0202 quadro pilares: Fundação/Piso 1 -&gt; Cobertura; L = altura do modelo Revit (base -&gt; topo)</t>
  </si>
  <si>
    <t xml:space="preserve">Longitudinal 6Ø20</t>
  </si>
  <si>
    <t xml:space="preserve">ZONA C - PILARES</t>
  </si>
  <si>
    <t xml:space="preserve">PC1=PC3=PC6=PC8=PC9=PC13 (0.24x0.30)</t>
  </si>
  <si>
    <t xml:space="preserve">ES0302 quadro pilares: Fundação/Piso 2 -&gt; Cobertura; 2 cintas (rectangular + losango); L = altura do modelo Revit (base -&gt; topo)</t>
  </si>
  <si>
    <t xml:space="preserve">Longitudinal 4Ø12</t>
  </si>
  <si>
    <t xml:space="preserve">Cintas Ø8//0.10 (Lr=0.80) - cinta exterior</t>
  </si>
  <si>
    <t xml:space="preserve">Cintas Ø8//0.10 (Lr=0.80) - cinta interior em losango</t>
  </si>
  <si>
    <t xml:space="preserve">Cintas Ø8//0.15 (Lc) - cinta interior em losango</t>
  </si>
  <si>
    <t xml:space="preserve">PC10 (0.24x0.30)</t>
  </si>
  <si>
    <t xml:space="preserve">ES0302 quadro pilares (PC10 com L=4.20 no modelo, Revit 1215390); L = altura do modelo Revit (base -&gt; topo)</t>
  </si>
  <si>
    <t xml:space="preserve">PC2=PC7=PC4=PC5 (0.24x0.50)</t>
  </si>
  <si>
    <t xml:space="preserve">ES0302 quadro pilares: 2 cintas por nível (interpretado: 2 cintas sobrepostas de 2/3 do lado maior); L = altura do modelo Revit (base -&gt; topo)</t>
  </si>
  <si>
    <t xml:space="preserve">Longitudinal 6Ø16</t>
  </si>
  <si>
    <t xml:space="preserve">Cintas Ø8//0.10 (Lr=0.80) - 2 cintas de 2/3 do lado maior</t>
  </si>
  <si>
    <t xml:space="preserve">Cintas Ø8//0.15 (Lc) - 2 cintas de 2/3 do lado maior</t>
  </si>
  <si>
    <t xml:space="preserve">PL1 plinto em CD (0.30x0.24)</t>
  </si>
  <si>
    <t xml:space="preserve">ES0301 pormenor plinto PL1: 8Ø16, Est. Ø8//0.10; varões desde a base da sapata S3; L = altura do modelo Revit (base -&gt; topo)</t>
  </si>
  <si>
    <t xml:space="preserve">Longitudinal 8Ø16</t>
  </si>
  <si>
    <t xml:space="preserve">L + altura útil da sapata + patilha 0.30 (varões desde a base da sapata)</t>
  </si>
  <si>
    <t xml:space="preserve">Cintas/estribos Ø8//0.10 - cinta exterior</t>
  </si>
  <si>
    <t xml:space="preserve">PL1 plinto em CE (0.30x0.24)</t>
  </si>
  <si>
    <t xml:space="preserve">ES0301 pormenor plinto PL1: 8Ø16, Est. Ø8//0.10; varões desde a base da sapata S4; L = altura do modelo Revit (base -&gt; topo)</t>
  </si>
  <si>
    <t xml:space="preserve">ZONA D - PILARES</t>
  </si>
  <si>
    <t xml:space="preserve">PE1 (0.30x0.30)</t>
  </si>
  <si>
    <t xml:space="preserve">ES0401 pormenor PE1 (Lr=0.50); MQT classifica em Zona D; L = altura do modelo Revit (base -&gt; topo)</t>
  </si>
  <si>
    <t xml:space="preserve">Cintas Ø8//0.10 (Lr=0.50) - cinta exterior</t>
  </si>
  <si>
    <t xml:space="preserve">ZONA G - PILARES</t>
  </si>
  <si>
    <t xml:space="preserve">PT (0.20x0.20) L=1.30</t>
  </si>
  <si>
    <t xml:space="preserve">G</t>
  </si>
  <si>
    <t xml:space="preserve">ES0601 det. 5 PT: 4Ø10, Ø6//0.20; arranque sobre estrutura existente (selagem 0.20 assumida); L = altura do modelo Revit (base -&gt; topo)</t>
  </si>
  <si>
    <t xml:space="preserve">Longitudinal 4Ø10</t>
  </si>
  <si>
    <t xml:space="preserve">L + 50Ø no topo + 0.20 selagem na estrutura existente (assumido)</t>
  </si>
  <si>
    <t xml:space="preserve">Cintas/estribos Ø6//0.20 - cinta exterior</t>
  </si>
  <si>
    <t xml:space="preserve">PT (0.20x0.20) L=2.51</t>
  </si>
  <si>
    <t xml:space="preserve">ESPESSURA</t>
  </si>
  <si>
    <t xml:space="preserve">ZONA F - NÚCLEO DO ELEVADOR (NUCelev)</t>
  </si>
  <si>
    <t xml:space="preserve">NUCelev esp. 0.25 (paredes laterais do poço)</t>
  </si>
  <si>
    <t xml:space="preserve">F1</t>
  </si>
  <si>
    <t xml:space="preserve">ES0501 det. 12 (Ø10//0.15 2 faces, 4Ø12 nos topos, Ø8//0.15); Revit 1204635/1204788; área de face do modelo 24.1247 m2/un. (altura média = A/L)</t>
  </si>
  <si>
    <t xml:space="preserve">Vertical Ø10//0.15 (2 faces)</t>
  </si>
  <si>
    <t xml:space="preserve">entre os topos com 4Ø12; amarração no ensoleiramento com patilha 0.30</t>
  </si>
  <si>
    <t xml:space="preserve">4Ø12 nos topos (2 topos/parede)</t>
  </si>
  <si>
    <t xml:space="preserve">Cintas Ø8//0.15 nos topos</t>
  </si>
  <si>
    <t xml:space="preserve">NUCelev esp. 0.15 (parede de fundo, contra muro existente)</t>
  </si>
  <si>
    <t xml:space="preserve">F2</t>
  </si>
  <si>
    <t xml:space="preserve">ES0501 det. 10 (Ø10//0.15 2 faces; ferrolhagem Ø10//0.40 selada no muro existente); Revit 1243440; área de face do modelo 6.8392 m2/un. (altura média = A/L)</t>
  </si>
  <si>
    <t xml:space="preserve">Ferrolhagem Ø10//0.40 x 0.35 selada no muro existente</t>
  </si>
  <si>
    <t xml:space="preserve">ES0501 det. 10/12 (Ø10//0.40, afastamento 0.35); comprimento do modelo Revit</t>
  </si>
  <si>
    <t xml:space="preserve">Extraído (modelo)</t>
  </si>
  <si>
    <t xml:space="preserve">ZONA A - VIGAS</t>
  </si>
  <si>
    <t xml:space="preserve">VA1.1 (0.25x0.50) - Piso 1</t>
  </si>
  <si>
    <t xml:space="preserve">ES0102 det. 6; Revit 1205091; Lcut=4.945; comprimento de betão = V modelo/(b.h)</t>
  </si>
  <si>
    <t xml:space="preserve">Sup. 3Ø20</t>
  </si>
  <si>
    <t xml:space="preserve">Lcut + amarração 50Ø em cada extremo</t>
  </si>
  <si>
    <t xml:space="preserve">Sup. 2Ø20</t>
  </si>
  <si>
    <t xml:space="preserve">Inf. 3Ø20</t>
  </si>
  <si>
    <t xml:space="preserve">Inf. 2Ø20</t>
  </si>
  <si>
    <t xml:space="preserve">Estribos Ø8//0.125</t>
  </si>
  <si>
    <t xml:space="preserve">VA2.1 (0.25x0.50) - Piso 1</t>
  </si>
  <si>
    <t xml:space="preserve">ES0102 det. 7; Revit 1205724; Lcut=3.33; comprimento de betão = V modelo/(b.h)</t>
  </si>
  <si>
    <t xml:space="preserve">VA3.1 (0.25x0.50) - Piso 1</t>
  </si>
  <si>
    <t xml:space="preserve">ES0102 det. 8; Revit 1205593; Lcut=3.135; comprimento de betão = V modelo/(b.h)</t>
  </si>
  <si>
    <t xml:space="preserve">Sup. 2Ø16</t>
  </si>
  <si>
    <t xml:space="preserve">Sup. 1Ø12</t>
  </si>
  <si>
    <t xml:space="preserve">Inf. 2Ø16</t>
  </si>
  <si>
    <t xml:space="preserve">Inf. 1Ø12</t>
  </si>
  <si>
    <t xml:space="preserve">VA4.1 (0.25x0.50) - Piso 1</t>
  </si>
  <si>
    <t xml:space="preserve">ES0102 det. 8; Revit 1205438; Lcut=3.085; comprimento de betão = V modelo/(b.h)</t>
  </si>
  <si>
    <t xml:space="preserve">VA5.1 (0.25x0.50) - Piso 1</t>
  </si>
  <si>
    <t xml:space="preserve">ES0102 det. 8 ("V5.1"); Revit 1215901; Lcut=3.0134; comprimento de betão = V modelo/(b.h)</t>
  </si>
  <si>
    <t xml:space="preserve">VA6.1 (0.20x0.50) - Piso 1</t>
  </si>
  <si>
    <t xml:space="preserve">ES0102 det. 9 (Ø8//0.25 selados 0.20 HIT-RE 500; comp. do modelo); Revit 1205344; Lcut=6.33; comprimento de betão = V modelo/(b.h)</t>
  </si>
  <si>
    <t xml:space="preserve">Ø8//0.25 selados 0.20 m (HIT-RE 500)</t>
  </si>
  <si>
    <t xml:space="preserve">ligação à estrutura existente; comprimento por varão do modelo Revit</t>
  </si>
  <si>
    <t xml:space="preserve">VA7.1 (0.25x0.98) - Piso 1</t>
  </si>
  <si>
    <t xml:space="preserve">ES0102 det. 10 (Ø10//0.15 laterais); Revit 1326680; Lcut=4.67; comprimento de betão = V modelo/(b.h)</t>
  </si>
  <si>
    <t xml:space="preserve">Laterais Ø10//0.15 (2 faces)</t>
  </si>
  <si>
    <t xml:space="preserve">armadura de pele</t>
  </si>
  <si>
    <t xml:space="preserve">VA8.1 (0.25x0.50) - Piso 1</t>
  </si>
  <si>
    <t xml:space="preserve">ES0102 det. 11; Revit 1208581; Lcut=9.905; comprimento de betão = V modelo/(b.h)</t>
  </si>
  <si>
    <t xml:space="preserve">VA1.2 (0.25x0.40) - Piso 2</t>
  </si>
  <si>
    <t xml:space="preserve">ES0102 det. 12; Revit 1216983; Lcut=3.205; comprimento de betão = V modelo/(b.h)</t>
  </si>
  <si>
    <t xml:space="preserve">VA2.2 (0.25x0.40) - Piso 2</t>
  </si>
  <si>
    <t xml:space="preserve">ES0102 det. 12; Revit 1207316; Lcut=3.205; comprimento de betão = V modelo/(b.h)</t>
  </si>
  <si>
    <t xml:space="preserve">VA3.2 (0.25x0.40) - Piso 2</t>
  </si>
  <si>
    <t xml:space="preserve">ES0102 det. 12; Revit 1207346; Lcut=3.335; comprimento de betão = V modelo/(b.h)</t>
  </si>
  <si>
    <t xml:space="preserve">VA4.2 (0.20x0.55) - Piso 2</t>
  </si>
  <si>
    <t xml:space="preserve">ES0102 det. 13; Revit 1324687; Lcut=3.135; comprimento de betão = V modelo/(b.h)</t>
  </si>
  <si>
    <t xml:space="preserve">VA5.2 (0.25x0.40) - Piso 2</t>
  </si>
  <si>
    <t xml:space="preserve">ES0102 det. 14 (estribos não indicados - assumido Ø8//0.125); Revit 1217032; Lcut=3.0134; comprimento de betão = V modelo/(b.h)</t>
  </si>
  <si>
    <t xml:space="preserve">VA6.2 (0.20x0.55) - Piso 2</t>
  </si>
  <si>
    <t xml:space="preserve">ES0102 det. 15 (Ø8//0.25 selados; comp. do modelo); Revit 1217410; Lcut=6.83; comprimento de betão = V modelo/(b.h)</t>
  </si>
  <si>
    <t xml:space="preserve">VA7.2 (0.25x0.40) - Piso 2</t>
  </si>
  <si>
    <t xml:space="preserve">ES0102 det. 14 (estribos não indicados - assumido Ø8//0.125); Revit 1203873; Lcut=9.905; comprimento de betão = V modelo/(b.h)</t>
  </si>
  <si>
    <t xml:space="preserve">VAT (0.25x0.25) - cota 184.23</t>
  </si>
  <si>
    <t xml:space="preserve">ES0102 det. 16; Revit 1324716; Lcut=9.905; comprimento de betão = V modelo/(b.h)</t>
  </si>
  <si>
    <t xml:space="preserve">Sup. 3Ø12</t>
  </si>
  <si>
    <t xml:space="preserve">Inf. 3Ø12</t>
  </si>
  <si>
    <t xml:space="preserve">Estribos Ø8//0.20</t>
  </si>
  <si>
    <t xml:space="preserve">ZONA B - VIGAS</t>
  </si>
  <si>
    <t xml:space="preserve">VB1.2 (0.25x0.50) - Piso 2</t>
  </si>
  <si>
    <t xml:space="preserve">ES0202 det. 7; Revit 1214629; Lcut=6.34; comprimento de betão = V modelo/(b.h)</t>
  </si>
  <si>
    <t xml:space="preserve">Sup. 1Ø16</t>
  </si>
  <si>
    <t xml:space="preserve">VB2.2 (0.25x0.50) - Piso 2</t>
  </si>
  <si>
    <t xml:space="preserve">ES0202 det. 8; Revit 1214541; Lcut=6.34; comprimento de betão = V modelo/(b.h)</t>
  </si>
  <si>
    <t xml:space="preserve">VB3.2 (0.25x0.50) - Piso 2</t>
  </si>
  <si>
    <t xml:space="preserve">ES0202 det. 9; Revit 1214387; Lcut=3.98; comprimento de betão = V modelo/(b.h)</t>
  </si>
  <si>
    <t xml:space="preserve">VB4.2 (0.25x0.50) - Piso 2</t>
  </si>
  <si>
    <t xml:space="preserve">ES0202 det. 9; Revit 1214500; Lcut=3.98; comprimento de betão = V modelo/(b.h)</t>
  </si>
  <si>
    <t xml:space="preserve">VB1.C (0.25x0.50) - Cobertura</t>
  </si>
  <si>
    <t xml:space="preserve">ES0202 det. 10; Revit 1214108; Lcut=6.34; comprimento de betão = V modelo/(b.h)</t>
  </si>
  <si>
    <t xml:space="preserve">Inf. 1Ø16</t>
  </si>
  <si>
    <t xml:space="preserve">VB2.C (0.25x0.50) - Cobertura</t>
  </si>
  <si>
    <t xml:space="preserve">ES0202 det. 10; Revit 1214028; Lcut=6.34; comprimento de betão = V modelo/(b.h)</t>
  </si>
  <si>
    <t xml:space="preserve">VB3.C (0.25x0.50) - Cobertura</t>
  </si>
  <si>
    <t xml:space="preserve">ES0202 det. 11 (estribos não indicados - assumido Ø8//0.125); Revit 1214156; Lcut=3.98; comprimento de betão = V modelo/(b.h)</t>
  </si>
  <si>
    <t xml:space="preserve">VB4.C (0.25x0.50) - Cobertura</t>
  </si>
  <si>
    <t xml:space="preserve">ES0202 det. 11 (estribos não indicados - assumido Ø8//0.125); Revit 1214304; Lcut=3.98; comprimento de betão = V modelo/(b.h)</t>
  </si>
  <si>
    <t xml:space="preserve">ZONA C - VIGAS</t>
  </si>
  <si>
    <t xml:space="preserve">VC1.2 (0.24 x h var. 0.42-0.55) - Piso 2</t>
  </si>
  <si>
    <t xml:space="preserve">ES0302 det. 4 (VC1.2=VC2.2; h var.: estribos com h média 0.485); Revit 1262498; Lcut=3.5388; comprimento de betão = V modelo/(b.h)</t>
  </si>
  <si>
    <t xml:space="preserve">Estribos Ø8//0.10 (Lcr = h, 2 extremos)</t>
  </si>
  <si>
    <t xml:space="preserve">ES0302/ES0303 pormenor reforço de estribos em vigas (Lcr = H viga)</t>
  </si>
  <si>
    <t xml:space="preserve">Estribos Ø8//0.15 (Lc)</t>
  </si>
  <si>
    <t xml:space="preserve">VC2.2 (0.24 x h var. 0.42-0.55) - Piso 2</t>
  </si>
  <si>
    <t xml:space="preserve">ES0302 det. 4; Revit 1262844; Lcut=3.7231; comprimento de betão = V modelo/(b.h)</t>
  </si>
  <si>
    <t xml:space="preserve">VC1.C (0.24x0.67) - Cobertura</t>
  </si>
  <si>
    <t xml:space="preserve">ES0303 det. 4; Revit 1187377; Lcut=7.0887; comprimento de betão = V modelo/(b.h)</t>
  </si>
  <si>
    <t xml:space="preserve">VC2.C (0.24x0.67) - Cobertura</t>
  </si>
  <si>
    <t xml:space="preserve">ES0303 det. 4; Revit 1305952; Lcut=7.0887; comprimento de betão = V modelo/(b.h)</t>
  </si>
  <si>
    <t xml:space="preserve">VC3.C (0.24x0.67) - Cobertura</t>
  </si>
  <si>
    <t xml:space="preserve">ES0303 det. 4; Revit 1187490; Lcut=5.3877; comprimento de betão = V modelo/(b.h)</t>
  </si>
  <si>
    <t xml:space="preserve">VC3.C (0.24x0.34) - Cobertura</t>
  </si>
  <si>
    <t xml:space="preserve">ES0303 det. 5; Revit 1303947; Lcut=1.7234; comprimento de betão = V modelo/(b.h)</t>
  </si>
  <si>
    <t xml:space="preserve">Estribos Ø8//0.20 (Lc)</t>
  </si>
  <si>
    <t xml:space="preserve">VC6.C (0.24x0.67) - Cobertura</t>
  </si>
  <si>
    <t xml:space="preserve">ES0303 det. 4; Revit 1187440; Lcut=7.5463; comprimento de betão = V modelo/(b.h)</t>
  </si>
  <si>
    <t xml:space="preserve">VC7.C (0.24x0.67) - Cobertura</t>
  </si>
  <si>
    <t xml:space="preserve">ES0303 det. 4; Revit 1238569; Lcut=3.1281; comprimento de betão = V modelo/(b.h)</t>
  </si>
  <si>
    <t xml:space="preserve">VC8.C (0.24x0.67) - Cobertura</t>
  </si>
  <si>
    <t xml:space="preserve">ES0303 det. 4; Revit 1187543; Lcut=9.2002; comprimento de betão = V modelo/(b.h)</t>
  </si>
  <si>
    <t xml:space="preserve">VC4.C (0.24x0.78) - Cobertura</t>
  </si>
  <si>
    <t xml:space="preserve">ES0303 det. 6 (Ø8//0.20 laterais); Revit 1257739; Lcut=9.7618; comprimento de betão = V modelo/(b.h)</t>
  </si>
  <si>
    <t xml:space="preserve">Laterais Ø8//0.20 (2 faces)</t>
  </si>
  <si>
    <t xml:space="preserve">VC5.C (0.24x0.78) - Cobertura</t>
  </si>
  <si>
    <t xml:space="preserve">ES0303 det. 6 (Ø8//0.20 laterais); Revit 1258263; Lcut=11.33; comprimento de betão = V modelo/(b.h)</t>
  </si>
  <si>
    <t xml:space="preserve">Lcut + amarração 50Ø em cada extremo; emenda 50Ø (L&gt;12 m)</t>
  </si>
  <si>
    <t xml:space="preserve">ZONA F - VIGAS</t>
  </si>
  <si>
    <t xml:space="preserve">VP1.1 (0.15x1.07) - Piso 1</t>
  </si>
  <si>
    <t xml:space="preserve">ES0501 det. 6 (Ø8//0.15 + Ø10//0.15); Revit 1244472; Lcut=1.65; comprimento de betão = V modelo/(b.h)</t>
  </si>
  <si>
    <t xml:space="preserve">Longitudinais Ø10//0.15 (2 faces)</t>
  </si>
  <si>
    <t xml:space="preserve">VP1.2 (0.15x0.95) - Piso 2</t>
  </si>
  <si>
    <t xml:space="preserve">ES0501 det. 7; Revit 1244696; Lcut=1.65; comprimento de betão = V modelo/(b.h)</t>
  </si>
  <si>
    <t xml:space="preserve">VP1.C (0.15x0.87) - Cobertura</t>
  </si>
  <si>
    <t xml:space="preserve">ES0501 det. 8; Revit 1244967; Lcut=1.65; comprimento de betão = V modelo/(b.h)</t>
  </si>
  <si>
    <t xml:space="preserve">ZONA G - VIGAS VT (0.20x0.20) SOBRE PAREDES DE ALVENARIA</t>
  </si>
  <si>
    <t xml:space="preserve">VT tramo 1</t>
  </si>
  <si>
    <t xml:space="preserve">ES0601 det. 4 VT (4Ø10; Ø6//0.20); Revit 1307889; Lcut=14.7317; cofragem 2 faces (apoio em alvenaria)</t>
  </si>
  <si>
    <t xml:space="preserve">4Ø10 (2 sup. + 2 inf.)</t>
  </si>
  <si>
    <t xml:space="preserve">Estribos Ø6//0.20</t>
  </si>
  <si>
    <t xml:space="preserve">VT tramo 2</t>
  </si>
  <si>
    <t xml:space="preserve">ES0601 det. 4 VT (4Ø10; Ø6//0.20); Revit 1307963; Lcut=5.14; cofragem 2 faces (apoio em alvenaria)</t>
  </si>
  <si>
    <t xml:space="preserve">VT tramo 3</t>
  </si>
  <si>
    <t xml:space="preserve">ES0601 det. 4 VT (4Ø10; Ø6//0.20); Revit 1308019; Lcut=4.9406; cofragem 2 faces (apoio em alvenaria)</t>
  </si>
  <si>
    <t xml:space="preserve">VT tramo 4</t>
  </si>
  <si>
    <t xml:space="preserve">ES0601 det. 4 VT (4Ø10; Ø6//0.20); Revit 1308084; Lcut=2.1; cofragem 2 faces (apoio em alvenaria)</t>
  </si>
  <si>
    <t xml:space="preserve">VT tramo 5</t>
  </si>
  <si>
    <t xml:space="preserve">ES0601 det. 4 VT (4Ø10; Ø6//0.20); Revit 1308097; Lcut=2.1; cofragem 2 faces (apoio em alvenaria)</t>
  </si>
  <si>
    <t xml:space="preserve">VT tramo 6</t>
  </si>
  <si>
    <t xml:space="preserve">ES0601 det. 4 VT (4Ø10; Ø6//0.20); Revit 1308106; Lcut=5.14; cofragem 2 faces (apoio em alvenaria)</t>
  </si>
  <si>
    <t xml:space="preserve">VT tramo 7</t>
  </si>
  <si>
    <t xml:space="preserve">ES0601 det. 4 VT (4Ø10; Ø6//0.20); Revit 1308170; Lcut=4.5311; cofragem 2 faces (apoio em alvenaria)</t>
  </si>
  <si>
    <t xml:space="preserve">VT tramo 8</t>
  </si>
  <si>
    <t xml:space="preserve">ES0601 det. 4 VT (4Ø10; Ø6//0.20); Revit 1308853; Lcut=1.9261; cofragem 2 faces (apoio em alvenaria)</t>
  </si>
  <si>
    <t xml:space="preserve">VT tramo 9</t>
  </si>
  <si>
    <t xml:space="preserve">ES0601 det. 4 VT (4Ø10; Ø6//0.20); Revit 1309227; Lcut=2.3356; cofragem 2 faces (apoio em alvenaria)</t>
  </si>
  <si>
    <t xml:space="preserve">CRITÉRIOS DE MEDIÇÃO E FONTES - Medição R01 de Betão e Aço (Lar de S. Jorge, Pevidém)</t>
  </si>
  <si>
    <t xml:space="preserve">Gerada em 30/10/2026. Fonte única: 22128.ES.EXE.PD.R00.dwfx (Revit, 22/06/2023), Projecto de Execução - Estrutura, folhas ES0001 a ES0601.</t>
  </si>
  <si>
    <t xml:space="preserve">Folha</t>
  </si>
  <si>
    <t xml:space="preserve">Conteúdo usado</t>
  </si>
  <si>
    <t xml:space="preserve">Elementos</t>
  </si>
  <si>
    <t xml:space="preserve">ES0001</t>
  </si>
  <si>
    <t xml:space="preserve">Identificação das intervenções (zonas A a G)</t>
  </si>
  <si>
    <t xml:space="preserve">A nova entrada; B novo volume no tardoz; C capela e travessia; D varanda Piso 1; E novo muro; F elevador; G cobertura em madeira</t>
  </si>
  <si>
    <t xml:space="preserve">ES0101</t>
  </si>
  <si>
    <t xml:space="preserve">Plantas de fundações/Piso 1/Piso 2, quadro de sapatas, pormenor tipo de sapatas</t>
  </si>
  <si>
    <t xml:space="preserve">S6-S11, LMA1.1, LMA1.2</t>
  </si>
  <si>
    <t xml:space="preserve">ES0102</t>
  </si>
  <si>
    <t xml:space="preserve">Quadro de pilares, plantas de armaduras de lajes, cortes de vigas, pormenores de amarração/emendas/estribos</t>
  </si>
  <si>
    <t xml:space="preserve">PA1-PA12, VA*, VAT</t>
  </si>
  <si>
    <t xml:space="preserve">ES0201/ES0202</t>
  </si>
  <si>
    <t xml:space="preserve">Fundações, poços PF1, VE1, quadro de sapatas/pilares, plantas de armaduras, cortes de vigas</t>
  </si>
  <si>
    <t xml:space="preserve">S1, S5, PF1, VE1, PB1-PB9, VB*, LMB1.2, LMB1.C</t>
  </si>
  <si>
    <t xml:space="preserve">ES0301/02/03</t>
  </si>
  <si>
    <t xml:space="preserve">Fundações, quadro de sapatas, plinto PL1, VL1, quadro de pilares, cortes VC*, LMC1.2, LMC1.C, quadro de laje aligeirada</t>
  </si>
  <si>
    <t xml:space="preserve">S2-S4, PL1, VL1, PC*, VC*, LAC1.C</t>
  </si>
  <si>
    <t xml:space="preserve">ES0401</t>
  </si>
  <si>
    <t xml:space="preserve">Planta e alçado do muro MS1, armaduras MS1.1-MS1.4, LMD1.1, PE1, fundação SE1</t>
  </si>
  <si>
    <t xml:space="preserve">MS1, SMS1, LMD1.1, PE1, SE1</t>
  </si>
  <si>
    <t xml:space="preserve">ES0501</t>
  </si>
  <si>
    <t xml:space="preserve">Elevador: fundação LMFelev, paredes NUCelev, VP1.x, LMCelev, murete Melev, ferrolhagem</t>
  </si>
  <si>
    <t xml:space="preserve">Zona F</t>
  </si>
  <si>
    <t xml:space="preserve">ES0601</t>
  </si>
  <si>
    <t xml:space="preserve">Cobertura em madeira, PT e VT</t>
  </si>
  <si>
    <t xml:space="preserve">Zona G</t>
  </si>
  <si>
    <t xml:space="preserve">Tema</t>
  </si>
  <si>
    <t xml:space="preserve">Critério adoptado</t>
  </si>
  <si>
    <t xml:space="preserve">Dados do modelo</t>
  </si>
  <si>
    <t xml:space="preserve">Volumes, áreas, comprimentos e alturas lidos das propriedades BIM do DWFx com precisão nativa (pés convertidos: ft x 0.3048; ft2 x 0.092903; ft3 x 0.0283168). A coluna AR de cada folha mostra o volume do modelo para verificação.</t>
  </si>
  <si>
    <t xml:space="preserve">Betão - sapatas</t>
  </si>
  <si>
    <t xml:space="preserve">Bx x By x H do quadro de sapatas de cada zona (prevalece o desenho sobre o modelo).</t>
  </si>
  <si>
    <t xml:space="preserve">Betão - pilares</t>
  </si>
  <si>
    <t xml:space="preserve">b x h x L, com L = altura do pilar no modelo (topo da sapata/arranque -&gt; topo). Pilares atravessam vigas e lajes.</t>
  </si>
  <si>
    <t xml:space="preserve">Betão - vigas</t>
  </si>
  <si>
    <t xml:space="preserve">b x h x comprimento líquido = V modelo/(b x h) (comprimento entre faces de pilares, sem sobreposição). Vigas medidas com a altura total.</t>
  </si>
  <si>
    <t xml:space="preserve">Betão - lajes</t>
  </si>
  <si>
    <t xml:space="preserve">Área do modelo (entre faces de vigas) x espessura. Laje aligeirada em m2 (área do modelo) + betão de complemento 125.8 L/m2.</t>
  </si>
  <si>
    <t xml:space="preserve">Betão - paredes/muros</t>
  </si>
  <si>
    <t xml:space="preserve">Área de face do modelo x espessura (altura média = área/comprimento).</t>
  </si>
  <si>
    <t xml:space="preserve">Betão de limpeza</t>
  </si>
  <si>
    <t xml:space="preserve">Área em planta com sobrelargura de 0.05 m por lado e espessura 0.10 (pormenor tipo de sapatas ES0101); inclui vigas VE1/VL1 (cortes com betão de limpeza) e exclui S5 sobre poços PF1.</t>
  </si>
  <si>
    <t xml:space="preserve">Cofragem</t>
  </si>
  <si>
    <t xml:space="preserve">Sapatas: faces laterais. Pilares: perímetro x L. Vigas: fundo + faces laterais abaixo das lajes adjacentes (vigas de fundação e VT sem fundo). Lajes: face inferior (+ bordos livres LMD1.1). Muros: 2 faces; NUCelev 0.25: 2 faces; NUCelev 0.15: 1 face.</t>
  </si>
  <si>
    <t xml:space="preserve">Aço - pesos</t>
  </si>
  <si>
    <t xml:space="preserve">kg/m da tabela do modelo: Ø6 0.222; Ø8 0.395; Ø10 0.617; Ø12 0.888; Ø16 1.578; Ø20 2.466; Ø25 3.853; Ø32 6.313.</t>
  </si>
  <si>
    <t xml:space="preserve">Aço - recobrimentos</t>
  </si>
  <si>
    <t xml:space="preserve">Quadro de materiais: elementos enterrados 50 mm; lajes, muros, paredes e restantes 35 mm.</t>
  </si>
  <si>
    <t xml:space="preserve">Aço - nº de varões</t>
  </si>
  <si>
    <t xml:space="preserve">CEILING(L/espaçamento)+1 (fórmula do modelo); zonas correntes de cintas/estribos entre zonas reforçadas: CEILING-1.</t>
  </si>
  <si>
    <t xml:space="preserve">Aço - amarrações</t>
  </si>
  <si>
    <t xml:space="preserve">Comprimento de amarração 50Ø (notas gerais e pormenores tipo de amarrações ES0102): vigas = Lcut + 2 x 50Ø; pilares = L + 50Ø no topo; lajes: 50Ø (sup.) e 10Ø (inf., assumido) no perímetro.</t>
  </si>
  <si>
    <t xml:space="preserve">Aço - emendas</t>
  </si>
  <si>
    <t xml:space="preserve">Coluna "AÇO EMPALMES": 50Ø por emenda; varões com L &gt; 12 m; pilares com 1 emenda por piso intermédio; cintas perimetrais das sapatas (1 por cinta).</t>
  </si>
  <si>
    <t xml:space="preserve">Aço - estribos</t>
  </si>
  <si>
    <t xml:space="preserve">Fechados com ganchos a 135°: 2(b-2c)+2(h-2c)+20Ø. Vigas da Zona C: Lcr = h em cada extremo (pormenor de reforço de estribos).</t>
  </si>
  <si>
    <t xml:space="preserve">Aço - sapatas</t>
  </si>
  <si>
    <t xml:space="preserve">Armaduras em U (abas até à face oposta); ASvd = cintas perimetrais; esperas = MAX(50Ø; H-2c+0.15) + 50Ø de sobreposição.</t>
  </si>
  <si>
    <t xml:space="preserve">Aço - lajes</t>
  </si>
  <si>
    <t xml:space="preserve">Malha = área/espaçamento x 2 direcções x 2 camadas (+ amarrações). Malhasol AR46 da laje aligeirada com 1.58 kg/m2 (valor anterior, a confirmar).</t>
  </si>
  <si>
    <t xml:space="preserve">Excluído</t>
  </si>
  <si>
    <t xml:space="preserve">Pilar "Pexistente" (existente); elementos de betão da Zona G sem pormenor (laje existente 213 m2, laje 43 m2, paredes 0.25/0.26); estrutura metálica (TRON168x4.5, chapas, chumbadouros); madeira; cadeiras/cavaletes; desperdícios.</t>
  </si>
  <si>
    <t xml:space="preserve">Estado das linhas (col. AT)</t>
  </si>
  <si>
    <t xml:space="preserve">Extraído = lido do desenho/modelo; Calculado = fórmula sobre dados extraídos; Interpretado = leitura técnica a confirmar; Assumido = valor não indicado no projecto; Estimado = medido aproximadamente em planta.</t>
  </si>
  <si>
    <t xml:space="preserve">REGISTO DE DISCREPÂNCIAS E PEDIDOS DE ESCLARECIMENTO (RFI)</t>
  </si>
  <si>
    <t xml:space="preserve">ID</t>
  </si>
  <si>
    <t xml:space="preserve">Artigo / Zona</t>
  </si>
  <si>
    <t xml:space="preserve">MQT</t>
  </si>
  <si>
    <t xml:space="preserve">Medição R01</t>
  </si>
  <si>
    <t xml:space="preserve">Evidência</t>
  </si>
  <si>
    <t xml:space="preserve">Tipo</t>
  </si>
  <si>
    <t xml:space="preserve">Impacto / Acção</t>
  </si>
  <si>
    <t xml:space="preserve">Prioridade</t>
  </si>
  <si>
    <t xml:space="preserve">D01</t>
  </si>
  <si>
    <t xml:space="preserve">20.2.1.1.2.1 Sapatas Zona A - S10</t>
  </si>
  <si>
    <t xml:space="preserve">H=0.50 (modelo)</t>
  </si>
  <si>
    <t xml:space="preserve">H=0.60 -&gt; 1.170 m3</t>
  </si>
  <si>
    <t xml:space="preserve">ES0101 quadro "S10 1.50 1.30 0.60" e planta "S10 [h=0.60]"; modelo Revit 1222239 com cotas 175.35/174.85 (H=0.50)</t>
  </si>
  <si>
    <t xml:space="preserve">Desenho ≠ modelo</t>
  </si>
  <si>
    <t xml:space="preserve">+0.195 m3. Confirmar altura com o projectista.</t>
  </si>
  <si>
    <t xml:space="preserve">Média</t>
  </si>
  <si>
    <t xml:space="preserve">D02</t>
  </si>
  <si>
    <t xml:space="preserve">20.2.1.3.1.1 Poços PF1 Zona B</t>
  </si>
  <si>
    <t xml:space="preserve">25.34 m3</t>
  </si>
  <si>
    <t xml:space="preserve">20.36 m3</t>
  </si>
  <si>
    <t xml:space="preserve">ES0201: 4 poços Ø1.20 tangentes (0.58+0.63 m entre centros), h=4.50; modelo 20.357 m3</t>
  </si>
  <si>
    <t xml:space="preserve">Quantidade</t>
  </si>
  <si>
    <t xml:space="preserve">MQT sobreavaliado em 4.98 m3 (+24%). Corrigir MQT.</t>
  </si>
  <si>
    <t xml:space="preserve">Alta</t>
  </si>
  <si>
    <t xml:space="preserve">D03</t>
  </si>
  <si>
    <t xml:space="preserve">20.2.1.1.3.1 VE1 Zona B (aço)</t>
  </si>
  <si>
    <t xml:space="preserve">223 kg</t>
  </si>
  <si>
    <t xml:space="preserve">395 kg</t>
  </si>
  <si>
    <t xml:space="preserve">ES0201 det. 4: 5Ø20 sup./inf., Est. Ø8//0.15 (2 estribos); existem 2 vigas VE1 (B1 e B2); varões modelados ~205 kg/viga</t>
  </si>
  <si>
    <t xml:space="preserve">MQT corresponde a ~1 viga. Corrigir para 2 vigas.</t>
  </si>
  <si>
    <t xml:space="preserve">D04</t>
  </si>
  <si>
    <t xml:space="preserve">20.2.1.2.1.x Betão de limpeza</t>
  </si>
  <si>
    <t xml:space="preserve">A 22.27 / D 1.21 m2</t>
  </si>
  <si>
    <t xml:space="preserve">A 22.27 / D 1.44 m2</t>
  </si>
  <si>
    <t xml:space="preserve">MQT Zona A com sobrelargura 0.05/lado (22.265 exacto) e Zona D sem sobrelargura (1.10x1.10); VE1/VL1 com limpeza desenhada; S5 sob PB7/PB9 sobre poços (sem limpeza)</t>
  </si>
  <si>
    <t xml:space="preserve">Critério</t>
  </si>
  <si>
    <t xml:space="preserve">Uniformizar critério de medição.</t>
  </si>
  <si>
    <t xml:space="preserve">Baixa</t>
  </si>
  <si>
    <t xml:space="preserve">D05</t>
  </si>
  <si>
    <t xml:space="preserve">20.4.1.1.3.1 Paredes NUCelev (aço)</t>
  </si>
  <si>
    <t xml:space="preserve">2388 kg</t>
  </si>
  <si>
    <t xml:space="preserve">1071 kg</t>
  </si>
  <si>
    <t xml:space="preserve">ES0501 det. 12: Ø10//0.15 2 faces + 4Ø12 nos topos + Ø8//0.15; varões modelados no Revit (marca 22) ~994 kg</t>
  </si>
  <si>
    <t xml:space="preserve">MQT ~2.2x superior. Verificar origem do valor do MQT.</t>
  </si>
  <si>
    <t xml:space="preserve">D06</t>
  </si>
  <si>
    <t xml:space="preserve">20.2.1.1.2.5 LMFelev Zona F (aço)</t>
  </si>
  <si>
    <t xml:space="preserve">522 kg</t>
  </si>
  <si>
    <t xml:space="preserve">264 kg</t>
  </si>
  <si>
    <t xml:space="preserve">ES0501 det. 10: Ø12//0.15 sup./inf.; varões modelados no Revit (marca 19) 267 kg</t>
  </si>
  <si>
    <t xml:space="preserve">MQT ~2x superior.</t>
  </si>
  <si>
    <t xml:space="preserve">D07</t>
  </si>
  <si>
    <t xml:space="preserve">20.4.1.1.1.1.3 Lajes Zona C (aço)</t>
  </si>
  <si>
    <t xml:space="preserve">1092 kg</t>
  </si>
  <si>
    <t xml:space="preserve">513 kg</t>
  </si>
  <si>
    <t xml:space="preserve">ES0302 det. 2 e ES0303 det. 3: Ø8//0.10 sup./inf.; LMC1.C modelada no Revit (marca 14) 372 kg</t>
  </si>
  <si>
    <t xml:space="preserve">D08</t>
  </si>
  <si>
    <t xml:space="preserve">20.4.1.1.4.1 Pilares Zona A</t>
  </si>
  <si>
    <t xml:space="preserve">4.533 m3</t>
  </si>
  <si>
    <t xml:space="preserve">4.45 m3</t>
  </si>
  <si>
    <t xml:space="preserve">Modelo inclui "Pexistente" 0.25x0.25 L=6.57 (0.41 m3) - pilar existente</t>
  </si>
  <si>
    <t xml:space="preserve">Âmbito</t>
  </si>
  <si>
    <t xml:space="preserve">Pexistente excluído da medição.</t>
  </si>
  <si>
    <t xml:space="preserve">D09</t>
  </si>
  <si>
    <t xml:space="preserve">Zona G - elementos de betão do modelo</t>
  </si>
  <si>
    <t xml:space="preserve">excluídos</t>
  </si>
  <si>
    <t xml:space="preserve">ES0601: laje 213 m2 ("Laje existente"), laje 43 m2 (cobertura) e paredes 0.25/0.26 (12.06 m3) sem pormenor de armaduras</t>
  </si>
  <si>
    <t xml:space="preserve">Confirmar que são existentes / fora da empreitada.</t>
  </si>
  <si>
    <t xml:space="preserve">D10</t>
  </si>
  <si>
    <t xml:space="preserve">Zona D/E (SE1, PE1)</t>
  </si>
  <si>
    <t xml:space="preserve">Zona D</t>
  </si>
  <si>
    <t xml:space="preserve">Zona D (MQT)</t>
  </si>
  <si>
    <t xml:space="preserve">ES0401 identifica SE1/PE1 como "Zona E - Fundação"; ES0001: D = nova varanda, E = novo muro</t>
  </si>
  <si>
    <t xml:space="preserve">Classificação</t>
  </si>
  <si>
    <t xml:space="preserve">Confirmar artigo/zona no MQT.</t>
  </si>
  <si>
    <t xml:space="preserve">D11</t>
  </si>
  <si>
    <t xml:space="preserve">Muretes "6.4.1.1.2.1"</t>
  </si>
  <si>
    <t xml:space="preserve">Código fora da série 20.4.x da planilha</t>
  </si>
  <si>
    <t xml:space="preserve">Codificação</t>
  </si>
  <si>
    <t xml:space="preserve">Provável 20.4.1.1.2.1.</t>
  </si>
  <si>
    <t xml:space="preserve">D12</t>
  </si>
  <si>
    <t xml:space="preserve">Vigas VA5.2, VA7.2, VB3.C, VB4.C</t>
  </si>
  <si>
    <t xml:space="preserve">Ø8//0.125</t>
  </si>
  <si>
    <t xml:space="preserve">ES0102 det. 14 e ES0202 det. 11 sem indicação de estribos</t>
  </si>
  <si>
    <t xml:space="preserve">Omissão no desenho</t>
  </si>
  <si>
    <t xml:space="preserve">Assumido Ø8//0.125 (restantes vigas). RFI.</t>
  </si>
  <si>
    <t xml:space="preserve">D13</t>
  </si>
  <si>
    <t xml:space="preserve">20.4.1.2.1.1.1 Laje aligeirada LAC1.C</t>
  </si>
  <si>
    <t xml:space="preserve">50 m2 / 89 kg</t>
  </si>
  <si>
    <t xml:space="preserve">48.96 m2 / 206 kg</t>
  </si>
  <si>
    <t xml:space="preserve">ES0303 quadro: Malhasol AR46, A2 Ø8//0.20 L2=1.90, 3 tarugos 2Ø12, 2Ø8/vigota; área do modelo 48.957 m2</t>
  </si>
  <si>
    <t xml:space="preserve">Omissão / critério</t>
  </si>
  <si>
    <t xml:space="preserve">Peso AR46 (1.58 kg/m2) e nº de vigotas assumidos; MQT 89 kg parece excluir a malha.</t>
  </si>
  <si>
    <t xml:space="preserve">D14</t>
  </si>
  <si>
    <t xml:space="preserve">Estrutura metálica Zona C</t>
  </si>
  <si>
    <t xml:space="preserve">não medido</t>
  </si>
  <si>
    <t xml:space="preserve">PC11, PC12, PC14, PC15 TRON168x4.5; ligações L1/L2/L3 (chapas 300x240x25, chumbadouros M20)</t>
  </si>
  <si>
    <t xml:space="preserve">Verificar artigo de estrutura metálica no MQT.</t>
  </si>
  <si>
    <t xml:space="preserve">D15</t>
  </si>
  <si>
    <t xml:space="preserve">Sapatas - ASvd</t>
  </si>
  <si>
    <t xml:space="preserve">cintas perimetrais</t>
  </si>
  <si>
    <t xml:space="preserve">Quadros de sapatas "AS vd 4Ø12/4Ø16/5Ø12"; pormenor tipo mostra varões nas faces laterais</t>
  </si>
  <si>
    <t xml:space="preserve">Interpretação</t>
  </si>
  <si>
    <t xml:space="preserve">Confirmar disposição (n.º por face ou total).</t>
  </si>
  <si>
    <t xml:space="preserve">D16</t>
  </si>
  <si>
    <t xml:space="preserve">Esperas dos pilares</t>
  </si>
  <si>
    <t xml:space="preserve">50Ø + 50Ø</t>
  </si>
  <si>
    <t xml:space="preserve">ES0101 pormenor tipo de sapatas ("Esperas do pilar", 50Ø) e nota de emendas (amarração 50Ø)</t>
  </si>
  <si>
    <t xml:space="preserve">Confirmar comprimento das esperas.</t>
  </si>
  <si>
    <t xml:space="preserve">D17</t>
  </si>
  <si>
    <t xml:space="preserve">LMB1.2 - ligação ao MSexistente</t>
  </si>
  <si>
    <t xml:space="preserve">Ø12//0.30 em 10.70 m</t>
  </si>
  <si>
    <t xml:space="preserve">ES0202 det. 12: Ø12//0.30 selados (HIT-RE 500 V4, mín. 0.25)</t>
  </si>
  <si>
    <t xml:space="preserve">Estimativa</t>
  </si>
  <si>
    <t xml:space="preserve">Comprimento de contacto estimado em planta (BA-BC).</t>
  </si>
  <si>
    <t xml:space="preserve">D18</t>
  </si>
  <si>
    <t xml:space="preserve">Planilha anterior (Mod. Arm - PS 000)</t>
  </si>
  <si>
    <t xml:space="preserve">corrigido</t>
  </si>
  <si>
    <t xml:space="preserve">#REF! em 20.2.1.2.1.x e 20.3.1.2.1.1.1; FUNDAÇÕES/BETÃO DE LIMPEZA/PAREDE BETÃO com elementos de outro projecto (ex.: Mi1.1 x38, VE02 235 m); linhas de Zona E/F vazias; coluna F (aço) com valores manuais; pilares Zona G "FALTA ALTURA"</t>
  </si>
  <si>
    <t xml:space="preserve">Erro de folha</t>
  </si>
  <si>
    <t xml:space="preserve">Substituída por esta medição com fórmulas ligadas.</t>
  </si>
  <si>
    <t xml:space="preserve">D19</t>
  </si>
  <si>
    <t xml:space="preserve">Cofragem de vigas</t>
  </si>
  <si>
    <t xml:space="preserve">A 50.83 m2</t>
  </si>
  <si>
    <t xml:space="preserve">A 69.04 m2</t>
  </si>
  <si>
    <t xml:space="preserve">Critério: fundo + faces abaixo das lajes (ver CRITÉRIOS)</t>
  </si>
  <si>
    <t xml:space="preserve">Confirmar critério de medição do MQT.</t>
  </si>
  <si>
    <t xml:space="preserve">D20</t>
  </si>
  <si>
    <t xml:space="preserve">VL1 - 11 tramos</t>
  </si>
  <si>
    <t xml:space="preserve">650 kg</t>
  </si>
  <si>
    <t xml:space="preserve">769 kg</t>
  </si>
  <si>
    <t xml:space="preserve">Amarração 50Ø em cada extremo de cada tramo do modelo</t>
  </si>
  <si>
    <t xml:space="preserve">Nos nós contínuos a amarração pode ser substituída por continuidade (ligeira sobreavaliação).</t>
  </si>
  <si>
    <t xml:space="preserve">D21</t>
  </si>
  <si>
    <t xml:space="preserve">Pilares PB1-PB4 (volume)</t>
  </si>
  <si>
    <t xml:space="preserve">b x h x L</t>
  </si>
  <si>
    <t xml:space="preserve">Modelo 0.2012 m3/un. vs 0.20x0.30x3.553 = 0.2132 m3 (junções do modelo)</t>
  </si>
  <si>
    <t xml:space="preserve">Modelo</t>
  </si>
  <si>
    <t xml:space="preserve">Diferença 0.05 m3 na Zona B.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</si>
</sst>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\ [$€-1]_-;\-* #,##0.00\ [$€-1]_-;_-* \-??\ [$€-1]_-"/>
    <numFmt numFmtId="166" formatCode="_-* #,##0.00\ [$€]_-;\-* #,##0.00\ [$€]_-;_-* \-??\ [$€]_-;_-@_-"/>
    <numFmt numFmtId="167" formatCode="0%"/>
    <numFmt numFmtId="168" formatCode="0.00"/>
    <numFmt numFmtId="169" formatCode="#,##0.00&quot; €&quot;"/>
    <numFmt numFmtId="170" formatCode="0"/>
    <numFmt numFmtId="171" formatCode="[$-409]d\-mmm\-yy"/>
    <numFmt numFmtId="172" formatCode="0.000"/>
    <numFmt numFmtId="173" formatCode="#,##0.000"/>
    <numFmt numFmtId="174" formatCode="0.0%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MS Sans Serif"/>
      <family val="2"/>
      <charset val="1"/>
    </font>
    <font>
      <b val="true"/>
      <sz val="12"/>
      <color rgb="FFFFFFFF"/>
      <name val="Arial"/>
      <family val="2"/>
      <charset val="1"/>
    </font>
    <font>
      <i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1"/>
      <color rgb="FF000000"/>
      <name val="Arial Narrow"/>
      <family val="2"/>
      <charset val="1"/>
    </font>
    <font>
      <sz val="11"/>
      <color rgb="FF000000"/>
      <name val="Arial Narrow"/>
      <family val="2"/>
      <charset val="1"/>
    </font>
    <font>
      <sz val="8"/>
      <name val="Arial"/>
      <family val="0"/>
      <charset val="1"/>
    </font>
    <font>
      <b val="true"/>
      <sz val="12"/>
      <color rgb="FF000000"/>
      <name val="Arial Narrow"/>
      <family val="2"/>
      <charset val="1"/>
    </font>
    <font>
      <i val="true"/>
      <sz val="8"/>
      <name val="Arial"/>
      <family val="0"/>
      <charset val="1"/>
    </font>
    <font>
      <sz val="7"/>
      <name val="Arial"/>
      <family val="2"/>
      <charset val="1"/>
    </font>
    <font>
      <sz val="8"/>
      <name val="Arial"/>
      <family val="2"/>
      <charset val="1"/>
    </font>
    <font>
      <b val="true"/>
      <sz val="19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7"/>
      <name val="Arial"/>
      <family val="2"/>
      <charset val="1"/>
    </font>
    <font>
      <b val="true"/>
      <sz val="8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4F6D8C"/>
        <bgColor rgb="FF808080"/>
      </patternFill>
    </fill>
  </fills>
  <borders count="4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8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9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6" fillId="9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9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9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9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9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6" fillId="9" borderId="2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0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6" fillId="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6" fillId="1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6" fillId="0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1" xfId="0" applyFont="true" applyBorder="true" applyAlignment="true" applyProtection="true">
      <alignment horizontal="right" vertical="top" textRotation="0" wrapText="true" indent="0" shrinkToFit="false"/>
      <protection locked="false" hidden="false"/>
    </xf>
    <xf numFmtId="168" fontId="16" fillId="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8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0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0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6" fillId="10" borderId="2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10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7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9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2" fontId="16" fillId="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1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Normal 2" xfId="22"/>
    <cellStyle name="Normal 2 3" xfId="23"/>
    <cellStyle name="Normal 4" xfId="24"/>
    <cellStyle name="Percentagem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D8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2" min="2" style="1" width="11.55"/>
    <col collapsed="false" customWidth="true" hidden="false" outlineLevel="0" max="3" min="3" style="2" width="42.34"/>
    <col collapsed="false" customWidth="true" hidden="false" outlineLevel="0" max="4" min="4" style="2" width="18.34"/>
    <col collapsed="false" customWidth="true" hidden="true" outlineLevel="0" max="5" min="5" style="2" width="9.55"/>
    <col collapsed="false" customWidth="true" hidden="false" outlineLevel="0" max="6" min="6" style="3" width="9.55"/>
    <col collapsed="false" customWidth="true" hidden="false" outlineLevel="0" max="7" min="7" style="2" width="16.32"/>
    <col collapsed="false" customWidth="true" hidden="false" outlineLevel="0" max="8" min="8" style="2" width="18.34"/>
    <col collapsed="false" customWidth="true" hidden="false" outlineLevel="0" max="9" min="9" style="2" width="12.55"/>
    <col collapsed="false" customWidth="true" hidden="false" outlineLevel="0" max="10" min="10" style="2" width="16.32"/>
    <col collapsed="false" customWidth="true" hidden="true" outlineLevel="0" max="12" min="12" style="2" width="9.55"/>
    <col collapsed="false" customWidth="true" hidden="false" outlineLevel="0" max="16" min="16" style="2" width="18.1"/>
    <col collapsed="false" customWidth="true" hidden="false" outlineLevel="0" max="17" min="17" style="2" width="13.66"/>
    <col collapsed="false" customWidth="true" hidden="false" outlineLevel="0" max="18" min="18" style="2" width="16.55"/>
    <col collapsed="false" customWidth="true" hidden="false" outlineLevel="0" max="20" min="20" style="4" width="14"/>
    <col collapsed="false" customWidth="true" hidden="false" outlineLevel="0" max="21" min="21" style="4" width="90"/>
    <col collapsed="false" customWidth="false" hidden="false" outlineLevel="0" max="24" min="22" style="2" width="9.1"/>
  </cols>
  <sheetData>
    <row r="1" customFormat="false" ht="15" hidden="false" customHeight="true" outlineLevel="0" collapsed="false">
      <c r="B1" s="5" t="s">
        <v>0</v>
      </c>
      <c r="C1" s="5"/>
      <c r="D1" s="5"/>
      <c r="E1" s="5"/>
      <c r="F1" s="5"/>
      <c r="G1" s="5"/>
      <c r="H1" s="5"/>
      <c r="I1" s="5"/>
      <c r="J1" s="5"/>
    </row>
    <row r="2" customFormat="false" ht="12.75" hidden="false" customHeight="true" outlineLevel="0" collapsed="false">
      <c r="D2" s="6" t="s">
        <v>1</v>
      </c>
      <c r="E2" s="6"/>
      <c r="F2" s="6"/>
      <c r="G2" s="6"/>
      <c r="H2" s="6" t="s">
        <v>2</v>
      </c>
      <c r="I2" s="6"/>
      <c r="J2" s="6"/>
      <c r="P2" s="6" t="s">
        <v>3</v>
      </c>
      <c r="Q2" s="6"/>
      <c r="R2" s="6"/>
    </row>
    <row r="3" s="7" customFormat="true" ht="12.75" hidden="false" customHeight="true" outlineLevel="0" collapsed="false">
      <c r="B3" s="8" t="s">
        <v>4</v>
      </c>
      <c r="C3" s="7" t="s">
        <v>5</v>
      </c>
      <c r="D3" s="9" t="s">
        <v>6</v>
      </c>
      <c r="E3" s="10" t="s">
        <v>7</v>
      </c>
      <c r="F3" s="10" t="s">
        <v>8</v>
      </c>
      <c r="G3" s="11" t="s">
        <v>9</v>
      </c>
      <c r="H3" s="9" t="s">
        <v>6</v>
      </c>
      <c r="I3" s="10" t="s">
        <v>10</v>
      </c>
      <c r="J3" s="11" t="s">
        <v>9</v>
      </c>
      <c r="L3" s="10" t="s">
        <v>11</v>
      </c>
      <c r="P3" s="9" t="s">
        <v>6</v>
      </c>
      <c r="Q3" s="10" t="s">
        <v>10</v>
      </c>
      <c r="R3" s="11" t="s">
        <v>9</v>
      </c>
      <c r="T3" s="12" t="s">
        <v>12</v>
      </c>
      <c r="U3" s="12" t="s">
        <v>13</v>
      </c>
    </row>
    <row r="4" s="2" customFormat="true" ht="13.5" hidden="false" customHeight="true" outlineLevel="0" collapsed="false">
      <c r="B4" s="13" t="s">
        <v>14</v>
      </c>
      <c r="C4" s="14" t="s">
        <v>15</v>
      </c>
      <c r="D4" s="15"/>
      <c r="E4" s="15"/>
      <c r="F4" s="15"/>
      <c r="G4" s="15"/>
      <c r="H4" s="15"/>
      <c r="I4" s="15"/>
      <c r="J4" s="15"/>
      <c r="L4" s="15"/>
      <c r="N4" s="2" t="n">
        <v>1.1</v>
      </c>
      <c r="P4" s="15"/>
      <c r="Q4" s="15"/>
      <c r="R4" s="15"/>
    </row>
    <row r="5" s="2" customFormat="true" ht="13.5" hidden="false" customHeight="true" outlineLevel="0" collapsed="false">
      <c r="B5" s="16" t="s">
        <v>16</v>
      </c>
      <c r="C5" s="17" t="s">
        <v>17</v>
      </c>
      <c r="D5" s="18" t="n">
        <f aca="false">SUMIF(FUNDAÇÕES!$AO:$AO,"E",FUNDAÇÕES!$G:$G)</f>
        <v>8.3755</v>
      </c>
      <c r="E5" s="18" t="n">
        <f aca="false">SUMIF(FUNDAÇÕES!$AO:$AO,"E",FUNDAÇÕES!$AP:$AP)</f>
        <v>500.68992</v>
      </c>
      <c r="F5" s="18" t="n">
        <f aca="false">E5+SUMIF(FUNDAÇÕES!$AO:$AO,"E",FUNDAÇÕES!$AQ:$AQ)</f>
        <v>500.68992</v>
      </c>
      <c r="G5" s="18" t="n">
        <f aca="false">SUMIF(FUNDAÇÕES!$AO:$AO,"E",FUNDAÇÕES!$I:$I)</f>
        <v>18.55</v>
      </c>
      <c r="H5" s="3" t="n">
        <v>8.377</v>
      </c>
      <c r="I5" s="3" t="n">
        <v>783</v>
      </c>
      <c r="J5" s="3" t="n">
        <v>16.01</v>
      </c>
      <c r="L5" s="18" t="n">
        <f aca="false">E5*$N$4</f>
        <v>550.758912</v>
      </c>
      <c r="P5" s="19" t="n">
        <f aca="false">IF(ISNUMBER(H5),H5-D5,"")</f>
        <v>0.00150000000000006</v>
      </c>
      <c r="Q5" s="19" t="n">
        <f aca="false">IF(ISNUMBER(I5),I5-F5,"")</f>
        <v>282.31008</v>
      </c>
      <c r="R5" s="19" t="n">
        <f aca="false">IF(ISNUMBER(J5),J5-G5,"")</f>
        <v>-2.54</v>
      </c>
      <c r="T5" s="20" t="n">
        <f aca="false">SUMIF(FUNDAÇÕES!$AO:$AO,"E",FUNDAÇÕES!$AR:$AR)</f>
        <v>8.3755</v>
      </c>
      <c r="U5" s="21" t="s">
        <v>18</v>
      </c>
    </row>
    <row r="6" s="2" customFormat="true" ht="13.5" hidden="false" customHeight="true" outlineLevel="0" collapsed="false">
      <c r="B6" s="13" t="s">
        <v>19</v>
      </c>
      <c r="C6" s="14" t="s">
        <v>20</v>
      </c>
      <c r="D6" s="15"/>
      <c r="E6" s="15"/>
      <c r="F6" s="15"/>
      <c r="G6" s="15"/>
      <c r="H6" s="15"/>
      <c r="I6" s="15"/>
      <c r="J6" s="15"/>
      <c r="L6" s="15"/>
      <c r="P6" s="15"/>
      <c r="Q6" s="15"/>
      <c r="R6" s="15"/>
    </row>
    <row r="7" s="2" customFormat="true" ht="13.5" hidden="false" customHeight="true" outlineLevel="0" collapsed="false">
      <c r="B7" s="16" t="s">
        <v>21</v>
      </c>
      <c r="C7" s="17" t="s">
        <v>22</v>
      </c>
      <c r="D7" s="18" t="n">
        <f aca="false">SUMIF(FUNDAÇÕES!$AO:$AO,"A",FUNDAÇÕES!$G:$G)</f>
        <v>10.694</v>
      </c>
      <c r="E7" s="19" t="n">
        <f aca="false">SUMIF(FUNDAÇÕES!$AO:$AO,"A",FUNDAÇÕES!$AP:$AP)</f>
        <v>1525.218</v>
      </c>
      <c r="F7" s="18" t="n">
        <f aca="false">E7+SUMIF(FUNDAÇÕES!$AO:$AO,"A",FUNDAÇÕES!$AQ:$AQ)</f>
        <v>1540.9236</v>
      </c>
      <c r="G7" s="18" t="n">
        <f aca="false">SUMIF(FUNDAÇÕES!$AO:$AO,"A",FUNDAÇÕES!$I:$I)</f>
        <v>23.79</v>
      </c>
      <c r="H7" s="3" t="n">
        <v>10.694</v>
      </c>
      <c r="I7" s="3" t="n">
        <v>1294</v>
      </c>
      <c r="J7" s="3" t="n">
        <v>25.26</v>
      </c>
      <c r="L7" s="18" t="n">
        <f aca="false">E7*$N$4</f>
        <v>1677.7398</v>
      </c>
      <c r="P7" s="19" t="n">
        <f aca="false">IF(ISNUMBER(H7),H7-D7,"")</f>
        <v>0</v>
      </c>
      <c r="Q7" s="19" t="n">
        <f aca="false">IF(ISNUMBER(I7),I7-F7,"")</f>
        <v>-246.9236</v>
      </c>
      <c r="R7" s="19" t="n">
        <f aca="false">IF(ISNUMBER(J7),J7-G7,"")</f>
        <v>1.47</v>
      </c>
      <c r="T7" s="20" t="n">
        <f aca="false">SUMIF(FUNDAÇÕES!$AO:$AO,"A",FUNDAÇÕES!$AR:$AR)</f>
        <v>10.499</v>
      </c>
      <c r="U7" s="21" t="s">
        <v>23</v>
      </c>
    </row>
    <row r="8" s="2" customFormat="true" ht="13.5" hidden="false" customHeight="true" outlineLevel="0" collapsed="false">
      <c r="B8" s="16" t="s">
        <v>24</v>
      </c>
      <c r="C8" s="17" t="s">
        <v>25</v>
      </c>
      <c r="D8" s="18" t="n">
        <f aca="false">SUMIF(FUNDAÇÕES!$AO:$AO,"B",FUNDAÇÕES!$G:$G)</f>
        <v>7.105</v>
      </c>
      <c r="E8" s="18" t="n">
        <f aca="false">SUMIF(FUNDAÇÕES!$AO:$AO,"B",FUNDAÇÕES!$AP:$AP)</f>
        <v>1114.26</v>
      </c>
      <c r="F8" s="18" t="n">
        <f aca="false">E8+SUMIF(FUNDAÇÕES!$AO:$AO,"B",FUNDAÇÕES!$AQ:$AQ)</f>
        <v>1133.4408</v>
      </c>
      <c r="G8" s="18" t="n">
        <f aca="false">SUMIF(FUNDAÇÕES!$AO:$AO,"B",FUNDAÇÕES!$I:$I)</f>
        <v>22.6</v>
      </c>
      <c r="H8" s="3" t="n">
        <v>7.105</v>
      </c>
      <c r="I8" s="3" t="n">
        <v>860</v>
      </c>
      <c r="J8" s="3" t="n">
        <v>16.79</v>
      </c>
      <c r="L8" s="18" t="n">
        <f aca="false">E8*$N$4</f>
        <v>1225.686</v>
      </c>
      <c r="P8" s="19" t="n">
        <f aca="false">IF(ISNUMBER(H8),H8-D8,"")</f>
        <v>0</v>
      </c>
      <c r="Q8" s="19" t="n">
        <f aca="false">IF(ISNUMBER(I8),I8-F8,"")</f>
        <v>-273.4408</v>
      </c>
      <c r="R8" s="19" t="n">
        <f aca="false">IF(ISNUMBER(J8),J8-G8,"")</f>
        <v>-5.81</v>
      </c>
      <c r="T8" s="20" t="n">
        <f aca="false">SUMIF(FUNDAÇÕES!$AO:$AO,"B",FUNDAÇÕES!$AR:$AR)</f>
        <v>7.105</v>
      </c>
      <c r="U8" s="21" t="s">
        <v>26</v>
      </c>
    </row>
    <row r="9" s="2" customFormat="true" ht="13.5" hidden="false" customHeight="true" outlineLevel="0" collapsed="false">
      <c r="B9" s="16" t="s">
        <v>27</v>
      </c>
      <c r="C9" s="17" t="s">
        <v>28</v>
      </c>
      <c r="D9" s="18" t="n">
        <f aca="false">SUMIF(FUNDAÇÕES!$AO:$AO,"C",FUNDAÇÕES!$G:$G)</f>
        <v>16.576</v>
      </c>
      <c r="E9" s="18" t="n">
        <f aca="false">SUMIF(FUNDAÇÕES!$AO:$AO,"C",FUNDAÇÕES!$AP:$AP)</f>
        <v>1472.5824</v>
      </c>
      <c r="F9" s="18" t="n">
        <f aca="false">E9+SUMIF(FUNDAÇÕES!$AO:$AO,"C",FUNDAÇÕES!$AQ:$AQ)</f>
        <v>1507.7472</v>
      </c>
      <c r="G9" s="18" t="n">
        <f aca="false">SUMIF(FUNDAÇÕES!$AO:$AO,"C",FUNDAÇÕES!$I:$I)</f>
        <v>44.72</v>
      </c>
      <c r="H9" s="3" t="n">
        <v>16.576</v>
      </c>
      <c r="I9" s="3" t="n">
        <v>2006</v>
      </c>
      <c r="J9" s="3" t="n">
        <v>39.16</v>
      </c>
      <c r="L9" s="18" t="n">
        <f aca="false">E9*$N$4</f>
        <v>1619.84064</v>
      </c>
      <c r="P9" s="19" t="n">
        <f aca="false">IF(ISNUMBER(H9),H9-D9,"")</f>
        <v>0</v>
      </c>
      <c r="Q9" s="19" t="n">
        <f aca="false">IF(ISNUMBER(I9),I9-F9,"")</f>
        <v>498.2528</v>
      </c>
      <c r="R9" s="19" t="n">
        <f aca="false">IF(ISNUMBER(J9),J9-G9,"")</f>
        <v>-5.56</v>
      </c>
      <c r="T9" s="20" t="n">
        <f aca="false">SUMIF(FUNDAÇÕES!$AO:$AO,"C",FUNDAÇÕES!$AR:$AR)</f>
        <v>16.576</v>
      </c>
      <c r="U9" s="21" t="s">
        <v>29</v>
      </c>
    </row>
    <row r="10" s="2" customFormat="true" ht="13.5" hidden="false" customHeight="true" outlineLevel="0" collapsed="false">
      <c r="B10" s="16" t="s">
        <v>30</v>
      </c>
      <c r="C10" s="17" t="s">
        <v>31</v>
      </c>
      <c r="D10" s="18" t="n">
        <f aca="false">SUMIF(FUNDAÇÕES!$AO:$AO,"D",FUNDAÇÕES!$G:$G)</f>
        <v>0.605</v>
      </c>
      <c r="E10" s="18" t="n">
        <f aca="false">SUMIF(FUNDAÇÕES!$AO:$AO,"D",FUNDAÇÕES!$AP:$AP)</f>
        <v>61.248</v>
      </c>
      <c r="F10" s="18" t="n">
        <f aca="false">E10+SUMIF(FUNDAÇÕES!$AO:$AO,"D",FUNDAÇÕES!$AQ:$AQ)</f>
        <v>61.248</v>
      </c>
      <c r="G10" s="18" t="n">
        <f aca="false">SUMIF(FUNDAÇÕES!$AO:$AO,"D",FUNDAÇÕES!$I:$I)</f>
        <v>2.2</v>
      </c>
      <c r="H10" s="3" t="n">
        <v>0.605</v>
      </c>
      <c r="I10" s="3" t="n">
        <v>73</v>
      </c>
      <c r="J10" s="3" t="n">
        <v>1.43</v>
      </c>
      <c r="L10" s="18" t="n">
        <f aca="false">E10*$N$4</f>
        <v>67.3728</v>
      </c>
      <c r="P10" s="19" t="n">
        <f aca="false">IF(ISNUMBER(H10),H10-D10,"")</f>
        <v>0</v>
      </c>
      <c r="Q10" s="19" t="n">
        <f aca="false">IF(ISNUMBER(I10),I10-F10,"")</f>
        <v>11.752</v>
      </c>
      <c r="R10" s="19" t="n">
        <f aca="false">IF(ISNUMBER(J10),J10-G10,"")</f>
        <v>-0.77</v>
      </c>
      <c r="T10" s="20" t="n">
        <f aca="false">SUMIF(FUNDAÇÕES!$AO:$AO,"D",FUNDAÇÕES!$AR:$AR)</f>
        <v>0.605</v>
      </c>
      <c r="U10" s="21" t="s">
        <v>32</v>
      </c>
    </row>
    <row r="11" s="2" customFormat="true" ht="13.5" hidden="false" customHeight="true" outlineLevel="0" collapsed="false">
      <c r="B11" s="16" t="s">
        <v>33</v>
      </c>
      <c r="C11" s="17" t="s">
        <v>34</v>
      </c>
      <c r="D11" s="18" t="n">
        <f aca="false">SUMIF(FUNDAÇÕES!$AO:$AO,"F",FUNDAÇÕES!$G:$G)</f>
        <v>4.3155</v>
      </c>
      <c r="E11" s="18" t="n">
        <f aca="false">SUMIF(FUNDAÇÕES!$AO:$AO,"F",FUNDAÇÕES!$AP:$AP)</f>
        <v>264.32208</v>
      </c>
      <c r="F11" s="18" t="n">
        <f aca="false">E11+SUMIF(FUNDAÇÕES!$AO:$AO,"F",FUNDAÇÕES!$AQ:$AQ)</f>
        <v>264.32208</v>
      </c>
      <c r="G11" s="18" t="n">
        <f aca="false">SUMIF(FUNDAÇÕES!$AO:$AO,"F",FUNDAÇÕES!$I:$I)</f>
        <v>5.89</v>
      </c>
      <c r="H11" s="3" t="n">
        <v>4.316</v>
      </c>
      <c r="I11" s="3" t="n">
        <v>522</v>
      </c>
      <c r="J11" s="3" t="n">
        <v>10.2</v>
      </c>
      <c r="L11" s="18" t="n">
        <f aca="false">E11*$N$4</f>
        <v>290.754288</v>
      </c>
      <c r="P11" s="19" t="n">
        <f aca="false">IF(ISNUMBER(H11),H11-D11,"")</f>
        <v>0.000499999999999723</v>
      </c>
      <c r="Q11" s="19" t="n">
        <f aca="false">IF(ISNUMBER(I11),I11-F11,"")</f>
        <v>257.67792</v>
      </c>
      <c r="R11" s="19" t="n">
        <f aca="false">IF(ISNUMBER(J11),J11-G11,"")</f>
        <v>4.31</v>
      </c>
      <c r="T11" s="20" t="n">
        <f aca="false">SUMIF(FUNDAÇÕES!$AO:$AO,"F",FUNDAÇÕES!$AR:$AR)</f>
        <v>4.3155</v>
      </c>
      <c r="U11" s="21" t="s">
        <v>35</v>
      </c>
    </row>
    <row r="12" s="2" customFormat="true" ht="13.5" hidden="false" customHeight="true" outlineLevel="0" collapsed="false">
      <c r="B12" s="13" t="s">
        <v>36</v>
      </c>
      <c r="C12" s="14" t="s">
        <v>37</v>
      </c>
      <c r="D12" s="15"/>
      <c r="E12" s="15"/>
      <c r="F12" s="15"/>
      <c r="G12" s="15"/>
      <c r="H12" s="15"/>
      <c r="I12" s="15"/>
      <c r="J12" s="15"/>
      <c r="L12" s="15"/>
      <c r="P12" s="15"/>
      <c r="Q12" s="15"/>
      <c r="R12" s="15"/>
    </row>
    <row r="13" s="2" customFormat="true" ht="13.5" hidden="false" customHeight="true" outlineLevel="0" collapsed="false">
      <c r="B13" s="16" t="s">
        <v>38</v>
      </c>
      <c r="C13" s="17" t="s">
        <v>39</v>
      </c>
      <c r="D13" s="18" t="n">
        <f aca="false">SUMIF('VIGAS DE FUNDAÇÃO'!$AO:$AO,"B",'VIGAS DE FUNDAÇÃO'!$G:$G)</f>
        <v>1.828</v>
      </c>
      <c r="E13" s="18" t="n">
        <f aca="false">SUMIF('VIGAS DE FUNDAÇÃO'!$AO:$AO,"B",'VIGAS DE FUNDAÇÃO'!$AP:$AP)</f>
        <v>395.322</v>
      </c>
      <c r="F13" s="18" t="n">
        <f aca="false">E13+SUMIF('VIGAS DE FUNDAÇÃO'!$AO:$AO,"B",'VIGAS DE FUNDAÇÃO'!$AQ:$AQ)</f>
        <v>395.322</v>
      </c>
      <c r="G13" s="18" t="n">
        <f aca="false">SUMIF('VIGAS DE FUNDAÇÃO'!$AO:$AO,"B",'VIGAS DE FUNDAÇÃO'!$I:$I)</f>
        <v>9.14</v>
      </c>
      <c r="H13" s="3" t="n">
        <v>1.84</v>
      </c>
      <c r="I13" s="3" t="n">
        <v>223</v>
      </c>
      <c r="J13" s="3" t="n">
        <v>16.42</v>
      </c>
      <c r="L13" s="18" t="n">
        <f aca="false">E13*$N$4</f>
        <v>434.8542</v>
      </c>
      <c r="P13" s="19" t="n">
        <f aca="false">IF(ISNUMBER(H13),H13-D13,"")</f>
        <v>0.0119999999999998</v>
      </c>
      <c r="Q13" s="19" t="n">
        <f aca="false">IF(ISNUMBER(I13),I13-F13,"")</f>
        <v>-172.322</v>
      </c>
      <c r="R13" s="19" t="n">
        <f aca="false">IF(ISNUMBER(J13),J13-G13,"")</f>
        <v>7.28</v>
      </c>
      <c r="T13" s="20" t="n">
        <f aca="false">SUMIF('VIGAS DE FUNDAÇÃO'!$AO:$AO,"B",'VIGAS DE FUNDAÇÃO'!$AR:$AR)</f>
        <v>1.828</v>
      </c>
      <c r="U13" s="21" t="s">
        <v>40</v>
      </c>
    </row>
    <row r="14" s="2" customFormat="true" ht="13.5" hidden="false" customHeight="true" outlineLevel="0" collapsed="false">
      <c r="B14" s="16" t="s">
        <v>41</v>
      </c>
      <c r="C14" s="17" t="s">
        <v>28</v>
      </c>
      <c r="D14" s="18" t="n">
        <f aca="false">SUMIF('VIGAS DE FUNDAÇÃO'!$AO:$AO,"C",'VIGAS DE FUNDAÇÃO'!$G:$G)</f>
        <v>5.2944</v>
      </c>
      <c r="E14" s="18" t="n">
        <f aca="false">SUMIF('VIGAS DE FUNDAÇÃO'!$AO:$AO,"C",'VIGAS DE FUNDAÇÃO'!$AP:$AP)</f>
        <v>768.7062996</v>
      </c>
      <c r="F14" s="18" t="n">
        <f aca="false">E14+SUMIF('VIGAS DE FUNDAÇÃO'!$AO:$AO,"C",'VIGAS DE FUNDAÇÃO'!$AQ:$AQ)</f>
        <v>768.7062996</v>
      </c>
      <c r="G14" s="18" t="n">
        <f aca="false">SUMIF('VIGAS DE FUNDAÇÃO'!$AO:$AO,"C",'VIGAS DE FUNDAÇÃO'!$I:$I)</f>
        <v>44.12</v>
      </c>
      <c r="H14" s="3" t="n">
        <v>5.371</v>
      </c>
      <c r="I14" s="3" t="n">
        <v>650</v>
      </c>
      <c r="J14" s="3" t="n">
        <v>47.94</v>
      </c>
      <c r="L14" s="18" t="n">
        <f aca="false">E14*$N$4</f>
        <v>845.57692956</v>
      </c>
      <c r="P14" s="19" t="n">
        <f aca="false">IF(ISNUMBER(H14),H14-D14,"")</f>
        <v>0.0766</v>
      </c>
      <c r="Q14" s="19" t="n">
        <f aca="false">IF(ISNUMBER(I14),I14-F14,"")</f>
        <v>-118.7062996</v>
      </c>
      <c r="R14" s="19" t="n">
        <f aca="false">IF(ISNUMBER(J14),J14-G14,"")</f>
        <v>3.82</v>
      </c>
      <c r="T14" s="20" t="n">
        <f aca="false">SUMIF('VIGAS DE FUNDAÇÃO'!$AO:$AO,"C",'VIGAS DE FUNDAÇÃO'!$AR:$AR)</f>
        <v>5.2944</v>
      </c>
      <c r="U14" s="21" t="s">
        <v>42</v>
      </c>
    </row>
    <row r="15" s="2" customFormat="true" ht="13.5" hidden="false" customHeight="true" outlineLevel="0" collapsed="false">
      <c r="B15" s="13" t="s">
        <v>43</v>
      </c>
      <c r="C15" s="14" t="s">
        <v>44</v>
      </c>
      <c r="D15" s="15"/>
      <c r="E15" s="15"/>
      <c r="F15" s="15"/>
      <c r="G15" s="15"/>
      <c r="H15" s="15"/>
      <c r="I15" s="15"/>
      <c r="J15" s="15"/>
      <c r="L15" s="15"/>
      <c r="P15" s="15"/>
      <c r="Q15" s="15"/>
      <c r="R15" s="15"/>
    </row>
    <row r="16" s="2" customFormat="true" ht="13.5" hidden="false" customHeight="true" outlineLevel="0" collapsed="false">
      <c r="B16" s="16" t="s">
        <v>45</v>
      </c>
      <c r="C16" s="17" t="s">
        <v>22</v>
      </c>
      <c r="D16" s="18" t="n">
        <f aca="false">SUMIF('BETÃO DE LIMPEZA '!$AO:$AO,"A",'BETÃO DE LIMPEZA '!$I:$I)</f>
        <v>22.265</v>
      </c>
      <c r="E16" s="22" t="s">
        <v>46</v>
      </c>
      <c r="F16" s="22"/>
      <c r="G16" s="22" t="s">
        <v>46</v>
      </c>
      <c r="H16" s="23" t="n">
        <v>22.265</v>
      </c>
      <c r="I16" s="23" t="s">
        <v>46</v>
      </c>
      <c r="J16" s="23" t="s">
        <v>46</v>
      </c>
      <c r="L16" s="18"/>
      <c r="P16" s="19" t="n">
        <f aca="false">IF(ISNUMBER(H16),H16-D16,"")</f>
        <v>0</v>
      </c>
      <c r="Q16" s="19"/>
      <c r="R16" s="19"/>
      <c r="U16" s="21" t="s">
        <v>47</v>
      </c>
    </row>
    <row r="17" s="2" customFormat="true" ht="13.5" hidden="false" customHeight="true" outlineLevel="0" collapsed="false">
      <c r="B17" s="16" t="s">
        <v>48</v>
      </c>
      <c r="C17" s="17" t="s">
        <v>25</v>
      </c>
      <c r="D17" s="18" t="n">
        <f aca="false">SUMIF('BETÃO DE LIMPEZA '!$AO:$AO,"B",'BETÃO DE LIMPEZA '!$I:$I)</f>
        <v>16.45</v>
      </c>
      <c r="E17" s="22" t="s">
        <v>46</v>
      </c>
      <c r="F17" s="22"/>
      <c r="G17" s="22" t="s">
        <v>46</v>
      </c>
      <c r="H17" s="3" t="n">
        <v>16.48</v>
      </c>
      <c r="I17" s="23" t="s">
        <v>46</v>
      </c>
      <c r="J17" s="23" t="s">
        <v>46</v>
      </c>
      <c r="L17" s="18"/>
      <c r="P17" s="19" t="n">
        <f aca="false">IF(ISNUMBER(H17),H17-D17,"")</f>
        <v>0.0299999999999976</v>
      </c>
      <c r="Q17" s="19"/>
      <c r="R17" s="19"/>
      <c r="U17" s="21" t="s">
        <v>49</v>
      </c>
    </row>
    <row r="18" s="2" customFormat="true" ht="13.5" hidden="false" customHeight="true" outlineLevel="0" collapsed="false">
      <c r="B18" s="16" t="s">
        <v>50</v>
      </c>
      <c r="C18" s="17" t="s">
        <v>28</v>
      </c>
      <c r="D18" s="18" t="n">
        <f aca="false">SUMIF('BETÃO DE LIMPEZA '!$AO:$AO,"C",'BETÃO DE LIMPEZA '!$I:$I)</f>
        <v>50.655598</v>
      </c>
      <c r="E18" s="22" t="s">
        <v>46</v>
      </c>
      <c r="F18" s="22"/>
      <c r="G18" s="22" t="s">
        <v>46</v>
      </c>
      <c r="H18" s="3" t="n">
        <v>49.688</v>
      </c>
      <c r="I18" s="23" t="s">
        <v>46</v>
      </c>
      <c r="J18" s="23" t="s">
        <v>46</v>
      </c>
      <c r="L18" s="18"/>
      <c r="P18" s="19" t="n">
        <f aca="false">IF(ISNUMBER(H18),H18-D18,"")</f>
        <v>-0.967598000000002</v>
      </c>
      <c r="Q18" s="19"/>
      <c r="R18" s="19"/>
      <c r="U18" s="21" t="s">
        <v>51</v>
      </c>
    </row>
    <row r="19" s="2" customFormat="true" ht="13.5" hidden="false" customHeight="true" outlineLevel="0" collapsed="false">
      <c r="B19" s="16" t="s">
        <v>52</v>
      </c>
      <c r="C19" s="17" t="s">
        <v>31</v>
      </c>
      <c r="D19" s="18" t="n">
        <f aca="false">SUMIF('BETÃO DE LIMPEZA '!$AO:$AO,"D",'BETÃO DE LIMPEZA '!$I:$I)</f>
        <v>1.44</v>
      </c>
      <c r="E19" s="22" t="s">
        <v>46</v>
      </c>
      <c r="F19" s="22"/>
      <c r="G19" s="22" t="s">
        <v>46</v>
      </c>
      <c r="H19" s="3" t="n">
        <v>1.21</v>
      </c>
      <c r="I19" s="23" t="s">
        <v>46</v>
      </c>
      <c r="J19" s="23" t="s">
        <v>46</v>
      </c>
      <c r="L19" s="18"/>
      <c r="P19" s="19" t="n">
        <f aca="false">IF(ISNUMBER(H19),H19-D19,"")</f>
        <v>-0.23</v>
      </c>
      <c r="Q19" s="19"/>
      <c r="R19" s="19"/>
      <c r="U19" s="21" t="s">
        <v>53</v>
      </c>
    </row>
    <row r="20" s="2" customFormat="true" ht="13.5" hidden="false" customHeight="true" outlineLevel="0" collapsed="false">
      <c r="B20" s="16" t="s">
        <v>54</v>
      </c>
      <c r="C20" s="17" t="s">
        <v>17</v>
      </c>
      <c r="D20" s="18" t="n">
        <f aca="false">SUMIF('BETÃO DE LIMPEZA '!$AO:$AO,"E",'BETÃO DE LIMPEZA '!$I:$I)</f>
        <v>19.46575</v>
      </c>
      <c r="E20" s="22" t="s">
        <v>46</v>
      </c>
      <c r="F20" s="22"/>
      <c r="G20" s="22" t="s">
        <v>46</v>
      </c>
      <c r="H20" s="3" t="n">
        <v>19.14</v>
      </c>
      <c r="I20" s="23" t="s">
        <v>46</v>
      </c>
      <c r="J20" s="23" t="s">
        <v>46</v>
      </c>
      <c r="L20" s="18"/>
      <c r="P20" s="19" t="n">
        <f aca="false">IF(ISNUMBER(H20),H20-D20,"")</f>
        <v>-0.325749999999999</v>
      </c>
      <c r="Q20" s="19"/>
      <c r="R20" s="19"/>
      <c r="U20" s="21" t="s">
        <v>55</v>
      </c>
    </row>
    <row r="21" s="2" customFormat="true" ht="13.5" hidden="false" customHeight="true" outlineLevel="0" collapsed="false">
      <c r="B21" s="16" t="s">
        <v>56</v>
      </c>
      <c r="C21" s="17" t="s">
        <v>34</v>
      </c>
      <c r="D21" s="18" t="n">
        <f aca="false">SUMIF('BETÃO DE LIMPEZA '!$AO:$AO,"F",'BETÃO DE LIMPEZA '!$I:$I)</f>
        <v>9.23</v>
      </c>
      <c r="E21" s="22" t="s">
        <v>46</v>
      </c>
      <c r="F21" s="22"/>
      <c r="G21" s="22" t="s">
        <v>46</v>
      </c>
      <c r="H21" s="3" t="n">
        <v>9.07</v>
      </c>
      <c r="I21" s="23" t="s">
        <v>46</v>
      </c>
      <c r="J21" s="23" t="s">
        <v>46</v>
      </c>
      <c r="L21" s="18"/>
      <c r="P21" s="19" t="n">
        <f aca="false">IF(ISNUMBER(H21),H21-D21,"")</f>
        <v>-0.16</v>
      </c>
      <c r="Q21" s="19"/>
      <c r="R21" s="19"/>
      <c r="U21" s="21" t="s">
        <v>57</v>
      </c>
    </row>
    <row r="22" s="2" customFormat="true" ht="13.5" hidden="false" customHeight="true" outlineLevel="0" collapsed="false">
      <c r="B22" s="13" t="s">
        <v>58</v>
      </c>
      <c r="C22" s="14" t="s">
        <v>59</v>
      </c>
      <c r="D22" s="24"/>
      <c r="E22" s="15"/>
      <c r="F22" s="15"/>
      <c r="G22" s="15"/>
      <c r="H22" s="15"/>
      <c r="I22" s="15"/>
      <c r="J22" s="15"/>
      <c r="L22" s="15"/>
      <c r="P22" s="15"/>
      <c r="Q22" s="15"/>
      <c r="R22" s="15"/>
    </row>
    <row r="23" s="2" customFormat="true" ht="13.5" hidden="false" customHeight="true" outlineLevel="0" collapsed="false">
      <c r="B23" s="16" t="s">
        <v>60</v>
      </c>
      <c r="C23" s="17" t="s">
        <v>39</v>
      </c>
      <c r="D23" s="18" t="n">
        <f aca="false">SUMIF('POÇOS DE FUNDAÇÃO'!$AO:$AO,"B",'POÇOS DE FUNDAÇÃO'!$G:$G)</f>
        <v>20.3575203952619</v>
      </c>
      <c r="E23" s="22" t="s">
        <v>46</v>
      </c>
      <c r="F23" s="22"/>
      <c r="G23" s="22" t="s">
        <v>46</v>
      </c>
      <c r="H23" s="3" t="n">
        <v>25.34</v>
      </c>
      <c r="I23" s="23" t="s">
        <v>46</v>
      </c>
      <c r="J23" s="23" t="s">
        <v>46</v>
      </c>
      <c r="L23" s="18"/>
      <c r="P23" s="19" t="n">
        <f aca="false">IF(ISNUMBER(H23),H23-D23,"")</f>
        <v>4.98247960473814</v>
      </c>
      <c r="Q23" s="19"/>
      <c r="R23" s="19"/>
      <c r="T23" s="20" t="n">
        <f aca="false">SUMIF('POÇOS DE FUNDAÇÃO'!$AO:$AO,"B",'POÇOS DE FUNDAÇÃO'!$AR:$AR)</f>
        <v>20.3574</v>
      </c>
      <c r="U23" s="21" t="s">
        <v>61</v>
      </c>
    </row>
    <row r="24" s="2" customFormat="true" ht="13.5" hidden="false" customHeight="true" outlineLevel="0" collapsed="false">
      <c r="B24" s="13" t="s">
        <v>62</v>
      </c>
      <c r="C24" s="14" t="s">
        <v>63</v>
      </c>
      <c r="D24" s="24"/>
      <c r="E24" s="15"/>
      <c r="F24" s="15"/>
      <c r="G24" s="15"/>
      <c r="H24" s="15"/>
      <c r="I24" s="15"/>
      <c r="J24" s="15"/>
      <c r="L24" s="15"/>
      <c r="P24" s="15"/>
      <c r="Q24" s="15"/>
      <c r="R24" s="15"/>
    </row>
    <row r="25" s="2" customFormat="true" ht="13.5" hidden="false" customHeight="true" outlineLevel="0" collapsed="false">
      <c r="B25" s="16" t="s">
        <v>64</v>
      </c>
      <c r="C25" s="17" t="s">
        <v>65</v>
      </c>
      <c r="D25" s="18" t="n">
        <f aca="false">SUMIF('PAREDE BETÃO'!$AO:$AO,"E",'PAREDE BETÃO'!$G:$G)</f>
        <v>5.256375</v>
      </c>
      <c r="E25" s="18" t="n">
        <f aca="false">SUMIF('PAREDE BETÃO'!$AO:$AO,"E",'PAREDE BETÃO'!$AP:$AP)</f>
        <v>806.162305336155</v>
      </c>
      <c r="F25" s="18" t="n">
        <f aca="false">E25+SUMIF('PAREDE BETÃO'!$AO:$AO,"E",'PAREDE BETÃO'!$AQ:$AQ)</f>
        <v>806.162305336155</v>
      </c>
      <c r="G25" s="18" t="n">
        <f aca="false">SUMIF('PAREDE BETÃO'!$AO:$AO,"E",'PAREDE BETÃO'!$I:$I)</f>
        <v>42.051</v>
      </c>
      <c r="H25" s="3" t="n">
        <v>5.257</v>
      </c>
      <c r="I25" s="3" t="n">
        <v>694</v>
      </c>
      <c r="J25" s="18" t="n">
        <v>44.1588</v>
      </c>
      <c r="L25" s="18" t="n">
        <f aca="false">E25*$N$4</f>
        <v>886.77853586977</v>
      </c>
      <c r="P25" s="19" t="n">
        <f aca="false">IF(ISNUMBER(H25),H25-D25,"")</f>
        <v>0.000624999999999432</v>
      </c>
      <c r="Q25" s="19" t="n">
        <f aca="false">IF(ISNUMBER(I25),I25-F25,"")</f>
        <v>-112.162305336155</v>
      </c>
      <c r="R25" s="19" t="n">
        <f aca="false">IF(ISNUMBER(J25),J25-G25,"")</f>
        <v>2.1078</v>
      </c>
      <c r="T25" s="20" t="n">
        <f aca="false">SUMIF('PAREDE BETÃO'!$AO:$AO,"E",'PAREDE BETÃO'!$AR:$AR)</f>
        <v>5.2564</v>
      </c>
      <c r="U25" s="21" t="s">
        <v>66</v>
      </c>
    </row>
    <row r="26" s="2" customFormat="true" ht="13.5" hidden="false" customHeight="true" outlineLevel="0" collapsed="false">
      <c r="B26" s="13" t="s">
        <v>67</v>
      </c>
      <c r="C26" s="14" t="s">
        <v>68</v>
      </c>
      <c r="D26" s="15"/>
      <c r="E26" s="15"/>
      <c r="F26" s="15"/>
      <c r="G26" s="15"/>
      <c r="H26" s="15"/>
      <c r="I26" s="15"/>
      <c r="J26" s="15"/>
      <c r="L26" s="15"/>
      <c r="P26" s="15"/>
      <c r="Q26" s="15"/>
      <c r="R26" s="15"/>
    </row>
    <row r="27" s="2" customFormat="true" ht="13.5" hidden="false" customHeight="true" outlineLevel="0" collapsed="false">
      <c r="B27" s="16" t="s">
        <v>69</v>
      </c>
      <c r="C27" s="17" t="s">
        <v>70</v>
      </c>
      <c r="D27" s="18" t="n">
        <f aca="false">SUMIF(LAJES!$AO:$AO,"A",LAJES!$G:$G)</f>
        <v>10.18438</v>
      </c>
      <c r="E27" s="18" t="n">
        <f aca="false">SUMIF(LAJES!$AO:$AO,"A",LAJES!$AP:$AP)</f>
        <v>1418.098112</v>
      </c>
      <c r="F27" s="18" t="n">
        <f aca="false">E27+SUMIF(LAJES!$AO:$AO,"A",LAJES!$AQ:$AQ)</f>
        <v>1418.098112</v>
      </c>
      <c r="G27" s="18" t="n">
        <f aca="false">SUMIF(LAJES!$AO:$AO,"A",LAJES!$I:$I)</f>
        <v>50.9219</v>
      </c>
      <c r="H27" s="3" t="n">
        <v>10.17</v>
      </c>
      <c r="I27" s="3" t="n">
        <v>1846</v>
      </c>
      <c r="J27" s="3" t="n">
        <v>53.39</v>
      </c>
      <c r="L27" s="18" t="n">
        <f aca="false">E27*$N$4</f>
        <v>1559.9079232</v>
      </c>
      <c r="P27" s="19" t="n">
        <f aca="false">IF(ISNUMBER(H27),H27-D27,"")</f>
        <v>-0.0143800000000009</v>
      </c>
      <c r="Q27" s="19" t="n">
        <f aca="false">IF(ISNUMBER(I27),I27-F27,"")</f>
        <v>427.901888</v>
      </c>
      <c r="R27" s="19" t="n">
        <f aca="false">IF(ISNUMBER(J27),J27-G27,"")</f>
        <v>2.4681</v>
      </c>
      <c r="T27" s="20" t="n">
        <f aca="false">SUMIF(LAJES!$AO:$AO,"A",LAJES!$AR:$AR)</f>
        <v>10.1844</v>
      </c>
      <c r="U27" s="21"/>
    </row>
    <row r="28" s="2" customFormat="true" ht="13.5" hidden="false" customHeight="true" outlineLevel="0" collapsed="false">
      <c r="B28" s="16" t="s">
        <v>71</v>
      </c>
      <c r="C28" s="17" t="s">
        <v>25</v>
      </c>
      <c r="D28" s="18" t="n">
        <f aca="false">SUMIF(LAJES!$AO:$AO,"B",LAJES!$G:$G)</f>
        <v>21.70084</v>
      </c>
      <c r="E28" s="18" t="n">
        <f aca="false">SUMIF(LAJES!$AO:$AO,"B",LAJES!$AP:$AP)</f>
        <v>4119.185136</v>
      </c>
      <c r="F28" s="18" t="n">
        <f aca="false">E28+SUMIF(LAJES!$AO:$AO,"B",LAJES!$AQ:$AQ)</f>
        <v>4119.185136</v>
      </c>
      <c r="G28" s="18" t="n">
        <f aca="false">SUMIF(LAJES!$AO:$AO,"B",LAJES!$I:$I)</f>
        <v>108.5042</v>
      </c>
      <c r="H28" s="3" t="n">
        <v>21.71</v>
      </c>
      <c r="I28" s="3" t="n">
        <v>4299</v>
      </c>
      <c r="J28" s="3" t="n">
        <v>113.98</v>
      </c>
      <c r="L28" s="18" t="n">
        <f aca="false">E28*$N$4</f>
        <v>4531.1036496</v>
      </c>
      <c r="P28" s="19" t="n">
        <f aca="false">IF(ISNUMBER(H28),H28-D28,"")</f>
        <v>0.00916000000000139</v>
      </c>
      <c r="Q28" s="19" t="n">
        <f aca="false">IF(ISNUMBER(I28),I28-F28,"")</f>
        <v>179.814864</v>
      </c>
      <c r="R28" s="19" t="n">
        <f aca="false">IF(ISNUMBER(J28),J28-G28,"")</f>
        <v>5.47580000000001</v>
      </c>
      <c r="T28" s="20" t="n">
        <f aca="false">SUMIF(LAJES!$AO:$AO,"B",LAJES!$AR:$AR)</f>
        <v>21.7008</v>
      </c>
      <c r="U28" s="21"/>
    </row>
    <row r="29" s="2" customFormat="true" ht="13.5" hidden="false" customHeight="true" outlineLevel="0" collapsed="false">
      <c r="B29" s="16" t="s">
        <v>72</v>
      </c>
      <c r="C29" s="17" t="s">
        <v>28</v>
      </c>
      <c r="D29" s="18" t="n">
        <f aca="false">SUMIF(LAJES!$AO:$AO,"C",LAJES!$G:$G)</f>
        <v>5.51284</v>
      </c>
      <c r="E29" s="18" t="n">
        <f aca="false">SUMIF(LAJES!$AO:$AO,"C",LAJES!$AP:$AP)</f>
        <v>512.87116</v>
      </c>
      <c r="F29" s="18" t="n">
        <f aca="false">E29+SUMIF(LAJES!$AO:$AO,"C",LAJES!$AQ:$AQ)</f>
        <v>512.87116</v>
      </c>
      <c r="G29" s="18" t="n">
        <f aca="false">SUMIF(LAJES!$AO:$AO,"C",LAJES!$I:$I)</f>
        <v>27.5642</v>
      </c>
      <c r="H29" s="3" t="n">
        <v>5.515</v>
      </c>
      <c r="I29" s="3" t="n">
        <v>1092</v>
      </c>
      <c r="J29" s="3" t="n">
        <v>28.95</v>
      </c>
      <c r="L29" s="18" t="n">
        <f aca="false">E29*$N$4</f>
        <v>564.158276</v>
      </c>
      <c r="P29" s="19" t="n">
        <f aca="false">IF(ISNUMBER(H29),H29-D29,"")</f>
        <v>0.00215999999999905</v>
      </c>
      <c r="Q29" s="19" t="n">
        <f aca="false">IF(ISNUMBER(I29),I29-F29,"")</f>
        <v>579.12884</v>
      </c>
      <c r="R29" s="19" t="n">
        <f aca="false">IF(ISNUMBER(J29),J29-G29,"")</f>
        <v>1.3858</v>
      </c>
      <c r="T29" s="20" t="n">
        <f aca="false">SUMIF(LAJES!$AO:$AO,"C",LAJES!$AR:$AR)</f>
        <v>5.5128</v>
      </c>
      <c r="U29" s="21"/>
    </row>
    <row r="30" s="2" customFormat="true" ht="13.5" hidden="false" customHeight="true" outlineLevel="0" collapsed="false">
      <c r="B30" s="16" t="s">
        <v>73</v>
      </c>
      <c r="C30" s="17" t="s">
        <v>74</v>
      </c>
      <c r="D30" s="18" t="n">
        <f aca="false">SUMIF(LAJES!$AO:$AO,"D",LAJES!$G:$G)</f>
        <v>0.818</v>
      </c>
      <c r="E30" s="18" t="n">
        <f aca="false">SUMIF(LAJES!$AO:$AO,"D",LAJES!$AP:$AP)</f>
        <v>55.7845333333333</v>
      </c>
      <c r="F30" s="18" t="n">
        <f aca="false">E30+SUMIF(LAJES!$AO:$AO,"D",LAJES!$AQ:$AQ)</f>
        <v>55.7845333333333</v>
      </c>
      <c r="G30" s="18" t="n">
        <f aca="false">SUMIF(LAJES!$AO:$AO,"D",LAJES!$I:$I)</f>
        <v>5.29</v>
      </c>
      <c r="H30" s="3" t="n">
        <v>0.818</v>
      </c>
      <c r="I30" s="3" t="n">
        <v>162</v>
      </c>
      <c r="J30" s="3" t="n">
        <v>4.29</v>
      </c>
      <c r="L30" s="18" t="n">
        <f aca="false">E30*$N$4</f>
        <v>61.3629866666667</v>
      </c>
      <c r="P30" s="19" t="n">
        <f aca="false">IF(ISNUMBER(H30),H30-D30,"")</f>
        <v>0</v>
      </c>
      <c r="Q30" s="19" t="n">
        <f aca="false">IF(ISNUMBER(I30),I30-F30,"")</f>
        <v>106.215466666667</v>
      </c>
      <c r="R30" s="19" t="n">
        <f aca="false">IF(ISNUMBER(J30),J30-G30,"")</f>
        <v>-1</v>
      </c>
      <c r="T30" s="20" t="n">
        <f aca="false">SUMIF(LAJES!$AO:$AO,"D",LAJES!$AR:$AR)</f>
        <v>0.818</v>
      </c>
      <c r="U30" s="21"/>
    </row>
    <row r="31" s="2" customFormat="true" ht="13.5" hidden="false" customHeight="true" outlineLevel="0" collapsed="false">
      <c r="B31" s="16" t="s">
        <v>75</v>
      </c>
      <c r="C31" s="17" t="s">
        <v>34</v>
      </c>
      <c r="D31" s="18" t="n">
        <f aca="false">SUMIF(LAJES!$AO:$AO,"F",LAJES!$G:$G)</f>
        <v>0.6897</v>
      </c>
      <c r="E31" s="18" t="n">
        <f aca="false">SUMIF(LAJES!$AO:$AO,"F",LAJES!$AP:$AP)</f>
        <v>75.61952</v>
      </c>
      <c r="F31" s="18" t="n">
        <f aca="false">E31+SUMIF(LAJES!$AO:$AO,"F",LAJES!$AQ:$AQ)</f>
        <v>75.61952</v>
      </c>
      <c r="G31" s="18" t="n">
        <f aca="false">SUMIF(LAJES!$AO:$AO,"F",LAJES!$I:$I)</f>
        <v>3.4485</v>
      </c>
      <c r="H31" s="3" t="n">
        <v>0.69</v>
      </c>
      <c r="I31" s="3" t="n">
        <v>137</v>
      </c>
      <c r="J31" s="3" t="n">
        <v>3.62</v>
      </c>
      <c r="L31" s="18" t="n">
        <f aca="false">E31*$N$4</f>
        <v>83.181472</v>
      </c>
      <c r="P31" s="19" t="n">
        <f aca="false">IF(ISNUMBER(H31),H31-D31,"")</f>
        <v>0.000299999999999856</v>
      </c>
      <c r="Q31" s="19" t="n">
        <f aca="false">IF(ISNUMBER(I31),I31-F31,"")</f>
        <v>61.38048</v>
      </c>
      <c r="R31" s="19" t="n">
        <f aca="false">IF(ISNUMBER(J31),J31-G31,"")</f>
        <v>0.1715</v>
      </c>
      <c r="T31" s="20" t="n">
        <f aca="false">SUMIF(LAJES!$AO:$AO,"F",LAJES!$AR:$AR)</f>
        <v>0.6897</v>
      </c>
      <c r="U31" s="21"/>
    </row>
    <row r="32" s="2" customFormat="true" ht="13.5" hidden="false" customHeight="true" outlineLevel="0" collapsed="false">
      <c r="B32" s="13" t="s">
        <v>76</v>
      </c>
      <c r="C32" s="14" t="s">
        <v>77</v>
      </c>
      <c r="D32" s="15"/>
      <c r="E32" s="15"/>
      <c r="F32" s="15"/>
      <c r="G32" s="15"/>
      <c r="H32" s="15"/>
      <c r="I32" s="15"/>
      <c r="J32" s="15"/>
      <c r="L32" s="15"/>
      <c r="P32" s="15"/>
      <c r="Q32" s="15"/>
      <c r="R32" s="15"/>
    </row>
    <row r="33" s="2" customFormat="true" ht="13.5" hidden="false" customHeight="true" outlineLevel="0" collapsed="false">
      <c r="B33" s="16" t="s">
        <v>78</v>
      </c>
      <c r="C33" s="17" t="s">
        <v>34</v>
      </c>
      <c r="D33" s="18" t="n">
        <f aca="false">SUMIF(MURETES!$AO:$AO,"F",MURETES!$G:$G)</f>
        <v>0.2302</v>
      </c>
      <c r="E33" s="18" t="n">
        <f aca="false">SUMIF(MURETES!$AO:$AO,"F",MURETES!$AP:$AP)</f>
        <v>35.1189291756272</v>
      </c>
      <c r="F33" s="18" t="n">
        <f aca="false">E33+SUMIF(MURETES!$AO:$AO,"F",MURETES!$AQ:$AQ)</f>
        <v>35.1189291756272</v>
      </c>
      <c r="G33" s="18" t="n">
        <f aca="false">SUMIF(MURETES!$AO:$AO,"F",MURETES!$I:$I)</f>
        <v>3.06933333333333</v>
      </c>
      <c r="H33" s="3" t="n">
        <v>0.23</v>
      </c>
      <c r="I33" s="3" t="n">
        <v>46</v>
      </c>
      <c r="J33" s="3" t="n">
        <v>2.9</v>
      </c>
      <c r="L33" s="18" t="n">
        <f aca="false">E33*$N$4</f>
        <v>38.63082209319</v>
      </c>
      <c r="P33" s="19" t="n">
        <f aca="false">IF(ISNUMBER(H33),H33-D33,"")</f>
        <v>-0.000199999999999978</v>
      </c>
      <c r="Q33" s="19" t="n">
        <f aca="false">IF(ISNUMBER(I33),I33-F33,"")</f>
        <v>10.8810708243728</v>
      </c>
      <c r="R33" s="19" t="n">
        <f aca="false">IF(ISNUMBER(J33),J33-G33,"")</f>
        <v>-0.169333333333333</v>
      </c>
      <c r="T33" s="20" t="n">
        <f aca="false">SUMIF(MURETES!$AO:$AO,"F",MURETES!$AR:$AR)</f>
        <v>0.2302</v>
      </c>
      <c r="U33" s="21" t="s">
        <v>79</v>
      </c>
    </row>
    <row r="34" s="2" customFormat="true" ht="13.5" hidden="false" customHeight="true" outlineLevel="0" collapsed="false">
      <c r="B34" s="13" t="s">
        <v>80</v>
      </c>
      <c r="C34" s="14" t="s">
        <v>81</v>
      </c>
      <c r="D34" s="15"/>
      <c r="E34" s="15"/>
      <c r="F34" s="15"/>
      <c r="G34" s="15"/>
      <c r="H34" s="15"/>
      <c r="I34" s="15"/>
      <c r="J34" s="15"/>
      <c r="L34" s="15"/>
      <c r="P34" s="15"/>
      <c r="Q34" s="15"/>
      <c r="R34" s="15"/>
    </row>
    <row r="35" s="2" customFormat="true" ht="13.5" hidden="false" customHeight="true" outlineLevel="0" collapsed="false">
      <c r="B35" s="16" t="s">
        <v>82</v>
      </c>
      <c r="C35" s="17" t="s">
        <v>83</v>
      </c>
      <c r="D35" s="18" t="n">
        <f aca="false">SUMIF(PAREDES!$AO:$AO,"F1",PAREDES!$G:$G)</f>
        <v>12.06235</v>
      </c>
      <c r="E35" s="18" t="n">
        <f aca="false">SUMIF(PAREDES!$AO:$AO,"F1",PAREDES!$AP:$AP)</f>
        <v>1070.66081807018</v>
      </c>
      <c r="F35" s="18" t="n">
        <f aca="false">E35+SUMIF(PAREDES!$AO:$AO,"F1",PAREDES!$AQ:$AQ)</f>
        <v>1070.66081807018</v>
      </c>
      <c r="G35" s="18" t="n">
        <f aca="false">SUMIF(PAREDES!$AO:$AO,"F1",PAREDES!$I:$I)</f>
        <v>96.4988</v>
      </c>
      <c r="H35" s="3" t="n">
        <v>12.06</v>
      </c>
      <c r="I35" s="3" t="n">
        <v>2388</v>
      </c>
      <c r="J35" s="3" t="n">
        <v>126.63</v>
      </c>
      <c r="L35" s="18" t="n">
        <f aca="false">E35*$N$4</f>
        <v>1177.72689987719</v>
      </c>
      <c r="P35" s="19" t="n">
        <f aca="false">IF(ISNUMBER(H35),H35-D35,"")</f>
        <v>-0.00234999999999985</v>
      </c>
      <c r="Q35" s="19" t="n">
        <f aca="false">IF(ISNUMBER(I35),I35-F35,"")</f>
        <v>1317.33918192982</v>
      </c>
      <c r="R35" s="19" t="n">
        <f aca="false">IF(ISNUMBER(J35),J35-G35,"")</f>
        <v>30.1312</v>
      </c>
      <c r="T35" s="20" t="n">
        <f aca="false">SUMIF(PAREDES!$AO:$AO,"F1",PAREDES!$AR:$AR)</f>
        <v>12.0624</v>
      </c>
      <c r="U35" s="21" t="s">
        <v>84</v>
      </c>
    </row>
    <row r="36" s="2" customFormat="true" ht="13.5" hidden="false" customHeight="true" outlineLevel="0" collapsed="false">
      <c r="B36" s="16" t="s">
        <v>85</v>
      </c>
      <c r="C36" s="17" t="s">
        <v>34</v>
      </c>
      <c r="D36" s="18" t="n">
        <f aca="false">SUMIF(PAREDES!$AO:$AO,"F2",PAREDES!$G:$G)</f>
        <v>1.02588</v>
      </c>
      <c r="E36" s="18" t="n">
        <f aca="false">SUMIF(PAREDES!$AO:$AO,"F2",PAREDES!$AP:$AP)</f>
        <v>173.159945894737</v>
      </c>
      <c r="F36" s="18" t="n">
        <f aca="false">E36+SUMIF(PAREDES!$AO:$AO,"F2",PAREDES!$AQ:$AQ)</f>
        <v>173.159945894737</v>
      </c>
      <c r="G36" s="18" t="n">
        <f aca="false">SUMIF(PAREDES!$AO:$AO,"F2",PAREDES!$I:$I)</f>
        <v>6.8392</v>
      </c>
      <c r="H36" s="3" t="n">
        <v>1.026</v>
      </c>
      <c r="I36" s="3" t="n">
        <v>203</v>
      </c>
      <c r="J36" s="3" t="n">
        <v>10.77</v>
      </c>
      <c r="L36" s="18" t="n">
        <f aca="false">E36*$N$4</f>
        <v>190.475940484211</v>
      </c>
      <c r="P36" s="19" t="n">
        <f aca="false">IF(ISNUMBER(H36),H36-D36,"")</f>
        <v>0.00012000000000012</v>
      </c>
      <c r="Q36" s="19" t="n">
        <f aca="false">IF(ISNUMBER(I36),I36-F36,"")</f>
        <v>29.8400541052632</v>
      </c>
      <c r="R36" s="19" t="n">
        <f aca="false">IF(ISNUMBER(J36),J36-G36,"")</f>
        <v>3.9308</v>
      </c>
      <c r="T36" s="20" t="n">
        <f aca="false">SUMIF(PAREDES!$AO:$AO,"F2",PAREDES!$AR:$AR)</f>
        <v>1.0259</v>
      </c>
      <c r="U36" s="21" t="s">
        <v>86</v>
      </c>
    </row>
    <row r="37" s="2" customFormat="true" ht="13.5" hidden="false" customHeight="true" outlineLevel="0" collapsed="false">
      <c r="B37" s="13" t="s">
        <v>87</v>
      </c>
      <c r="C37" s="14" t="s">
        <v>88</v>
      </c>
      <c r="D37" s="15"/>
      <c r="E37" s="15"/>
      <c r="F37" s="15"/>
      <c r="G37" s="15"/>
      <c r="H37" s="15"/>
      <c r="I37" s="15"/>
      <c r="J37" s="15"/>
      <c r="L37" s="15"/>
      <c r="P37" s="15"/>
      <c r="Q37" s="15"/>
      <c r="R37" s="15"/>
    </row>
    <row r="38" s="2" customFormat="true" ht="13.5" hidden="false" customHeight="true" outlineLevel="0" collapsed="false">
      <c r="B38" s="16" t="s">
        <v>89</v>
      </c>
      <c r="C38" s="17" t="s">
        <v>70</v>
      </c>
      <c r="D38" s="18" t="n">
        <f aca="false">SUMIF(PILARES!$AO:$AO,"A",PILARES!$G:$G)</f>
        <v>4.450325</v>
      </c>
      <c r="E38" s="18" t="n">
        <f aca="false">SUMIF(PILARES!$AO:$AO,"A",PILARES!$AP:$AP)</f>
        <v>1043.75048</v>
      </c>
      <c r="F38" s="18" t="n">
        <f aca="false">E38+SUMIF(PILARES!$AO:$AO,"A",PILARES!$AQ:$AQ)</f>
        <v>1152.25448</v>
      </c>
      <c r="G38" s="18" t="n">
        <f aca="false">SUMIF(PILARES!$AO:$AO,"A",PILARES!$I:$I)</f>
        <v>71.35</v>
      </c>
      <c r="H38" s="3" t="n">
        <v>4.533</v>
      </c>
      <c r="I38" s="3" t="n">
        <v>1072</v>
      </c>
      <c r="J38" s="3" t="n">
        <v>61.88</v>
      </c>
      <c r="L38" s="18" t="n">
        <f aca="false">E38*$N$4</f>
        <v>1148.125528</v>
      </c>
      <c r="P38" s="19" t="n">
        <f aca="false">IF(ISNUMBER(H38),H38-D38,"")</f>
        <v>0.0826750000000001</v>
      </c>
      <c r="Q38" s="19" t="n">
        <f aca="false">IF(ISNUMBER(I38),I38-F38,"")</f>
        <v>-80.2544800000001</v>
      </c>
      <c r="R38" s="19" t="n">
        <f aca="false">IF(ISNUMBER(J38),J38-G38,"")</f>
        <v>-9.46999999999999</v>
      </c>
      <c r="T38" s="20" t="n">
        <f aca="false">SUMIF(PILARES!$AO:$AO,"A",PILARES!$AR:$AR)</f>
        <v>4.4502</v>
      </c>
      <c r="U38" s="21" t="s">
        <v>90</v>
      </c>
    </row>
    <row r="39" s="2" customFormat="true" ht="13.5" hidden="false" customHeight="true" outlineLevel="0" collapsed="false">
      <c r="B39" s="16" t="s">
        <v>91</v>
      </c>
      <c r="C39" s="17" t="s">
        <v>39</v>
      </c>
      <c r="D39" s="18" t="n">
        <f aca="false">SUMIF(PILARES!$AO:$AO,"B",PILARES!$G:$G)</f>
        <v>2.9947825</v>
      </c>
      <c r="E39" s="18" t="n">
        <f aca="false">SUMIF(PILARES!$AO:$AO,"B",PILARES!$AP:$AP)</f>
        <v>738.860792</v>
      </c>
      <c r="F39" s="18" t="n">
        <f aca="false">E39+SUMIF(PILARES!$AO:$AO,"B",PILARES!$AQ:$AQ)</f>
        <v>798.044792</v>
      </c>
      <c r="G39" s="18" t="n">
        <f aca="false">SUMIF(PILARES!$AO:$AO,"B",PILARES!$I:$I)</f>
        <v>45.925</v>
      </c>
      <c r="H39" s="3" t="n">
        <v>2.994</v>
      </c>
      <c r="I39" s="3" t="n">
        <v>708</v>
      </c>
      <c r="J39" s="3" t="n">
        <v>40.87</v>
      </c>
      <c r="L39" s="18" t="n">
        <f aca="false">E39*$N$4</f>
        <v>812.7468712</v>
      </c>
      <c r="P39" s="19" t="n">
        <f aca="false">IF(ISNUMBER(H39),H39-D39,"")</f>
        <v>-0.000782499999999686</v>
      </c>
      <c r="Q39" s="19" t="n">
        <f aca="false">IF(ISNUMBER(I39),I39-F39,"")</f>
        <v>-90.044792</v>
      </c>
      <c r="R39" s="19" t="n">
        <f aca="false">IF(ISNUMBER(J39),J39-G39,"")</f>
        <v>-5.05500000000001</v>
      </c>
      <c r="T39" s="20" t="n">
        <f aca="false">SUMIF(PILARES!$AO:$AO,"B",PILARES!$AR:$AR)</f>
        <v>2.9344</v>
      </c>
      <c r="U39" s="21"/>
    </row>
    <row r="40" s="2" customFormat="true" ht="13.5" hidden="false" customHeight="true" outlineLevel="0" collapsed="false">
      <c r="B40" s="16" t="s">
        <v>92</v>
      </c>
      <c r="C40" s="17" t="s">
        <v>93</v>
      </c>
      <c r="D40" s="18" t="n">
        <f aca="false">SUMIF(PILARES!$AO:$AO,"C",PILARES!$G:$G)</f>
        <v>4.70376</v>
      </c>
      <c r="E40" s="18" t="n">
        <f aca="false">SUMIF(PILARES!$AO:$AO,"C",PILARES!$AP:$AP)</f>
        <v>1175.71989310619</v>
      </c>
      <c r="F40" s="18" t="n">
        <f aca="false">E40+SUMIF(PILARES!$AO:$AO,"C",PILARES!$AQ:$AQ)</f>
        <v>1175.71989310619</v>
      </c>
      <c r="G40" s="18" t="n">
        <f aca="false">SUMIF(PILARES!$AO:$AO,"C",PILARES!$I:$I)</f>
        <v>64.758</v>
      </c>
      <c r="H40" s="3" t="n">
        <v>4.751</v>
      </c>
      <c r="I40" s="3" t="n">
        <v>1124</v>
      </c>
      <c r="J40" s="3" t="n">
        <v>64.85</v>
      </c>
      <c r="L40" s="18" t="n">
        <f aca="false">E40*$N$4</f>
        <v>1293.2918824168</v>
      </c>
      <c r="P40" s="19" t="n">
        <f aca="false">IF(ISNUMBER(H40),H40-D40,"")</f>
        <v>0.0472400000000004</v>
      </c>
      <c r="Q40" s="19" t="n">
        <f aca="false">IF(ISNUMBER(I40),I40-F40,"")</f>
        <v>-51.719893106186</v>
      </c>
      <c r="R40" s="19" t="n">
        <f aca="false">IF(ISNUMBER(J40),J40-G40,"")</f>
        <v>0.0919999999999845</v>
      </c>
      <c r="T40" s="20" t="n">
        <f aca="false">SUMIF(PILARES!$AO:$AO,"C",PILARES!$AR:$AR)</f>
        <v>4.704</v>
      </c>
      <c r="U40" s="21"/>
    </row>
    <row r="41" s="2" customFormat="true" ht="13.5" hidden="false" customHeight="true" outlineLevel="0" collapsed="false">
      <c r="B41" s="16" t="s">
        <v>94</v>
      </c>
      <c r="C41" s="17" t="s">
        <v>74</v>
      </c>
      <c r="D41" s="18" t="n">
        <f aca="false">SUMIF(PILARES!$AO:$AO,"D",PILARES!$G:$G)</f>
        <v>0.32355</v>
      </c>
      <c r="E41" s="18" t="n">
        <f aca="false">SUMIF(PILARES!$AO:$AO,"D",PILARES!$AP:$AP)</f>
        <v>40.11264</v>
      </c>
      <c r="F41" s="18" t="n">
        <f aca="false">E41+SUMIF(PILARES!$AO:$AO,"D",PILARES!$AQ:$AQ)</f>
        <v>40.11264</v>
      </c>
      <c r="G41" s="18" t="n">
        <f aca="false">SUMIF(PILARES!$AO:$AO,"D",PILARES!$I:$I)</f>
        <v>4.314</v>
      </c>
      <c r="H41" s="3" t="n">
        <v>0.324</v>
      </c>
      <c r="I41" s="3" t="n">
        <v>77</v>
      </c>
      <c r="J41" s="3" t="n">
        <v>4.42</v>
      </c>
      <c r="L41" s="18" t="n">
        <f aca="false">E41*$N$4</f>
        <v>44.123904</v>
      </c>
      <c r="P41" s="19" t="n">
        <f aca="false">IF(ISNUMBER(H41),H41-D41,"")</f>
        <v>0.000450000000000006</v>
      </c>
      <c r="Q41" s="19" t="n">
        <f aca="false">IF(ISNUMBER(I41),I41-F41,"")</f>
        <v>36.88736</v>
      </c>
      <c r="R41" s="19" t="n">
        <f aca="false">IF(ISNUMBER(J41),J41-G41,"")</f>
        <v>0.106</v>
      </c>
      <c r="T41" s="20" t="n">
        <f aca="false">SUMIF(PILARES!$AO:$AO,"D",PILARES!$AR:$AR)</f>
        <v>0.3235</v>
      </c>
      <c r="U41" s="21" t="s">
        <v>95</v>
      </c>
    </row>
    <row r="42" s="25" customFormat="true" ht="13.5" hidden="false" customHeight="true" outlineLevel="0" collapsed="false">
      <c r="B42" s="26" t="s">
        <v>96</v>
      </c>
      <c r="C42" s="27" t="s">
        <v>97</v>
      </c>
      <c r="D42" s="28" t="n">
        <f aca="false">SUMIF(PILARES!$AO:$AO,"G",PILARES!$G:$G)</f>
        <v>0.513024</v>
      </c>
      <c r="E42" s="28" t="n">
        <f aca="false">SUMIF(PILARES!$AO:$AO,"G",PILARES!$AP:$AP)</f>
        <v>56.2724608</v>
      </c>
      <c r="F42" s="28" t="n">
        <f aca="false">E42+SUMIF(PILARES!$AO:$AO,"G",PILARES!$AQ:$AQ)</f>
        <v>56.2724608</v>
      </c>
      <c r="G42" s="28" t="n">
        <f aca="false">SUMIF(PILARES!$AO:$AO,"G",PILARES!$I:$I)</f>
        <v>10.26048</v>
      </c>
      <c r="H42" s="29" t="n">
        <v>0.514</v>
      </c>
      <c r="I42" s="29" t="n">
        <v>122</v>
      </c>
      <c r="J42" s="29" t="n">
        <v>7.02</v>
      </c>
      <c r="K42" s="2"/>
      <c r="L42" s="18" t="n">
        <f aca="false">E42*$N$4</f>
        <v>61.89970688</v>
      </c>
      <c r="M42" s="2"/>
      <c r="N42" s="2"/>
      <c r="O42" s="2"/>
      <c r="P42" s="19" t="n">
        <f aca="false">IF(ISNUMBER(H42),H42-D42,"")</f>
        <v>0.000975999999999866</v>
      </c>
      <c r="Q42" s="19" t="n">
        <f aca="false">IF(ISNUMBER(I42),I42-F42,"")</f>
        <v>65.7275392</v>
      </c>
      <c r="R42" s="19" t="n">
        <f aca="false">IF(ISNUMBER(J42),J42-G42,"")</f>
        <v>-3.24048</v>
      </c>
      <c r="S42" s="2"/>
      <c r="T42" s="19" t="n">
        <f aca="false">SUMIF(PILARES!$AO:$AO,"G",PILARES!$AR:$AR)</f>
        <v>0.513</v>
      </c>
      <c r="U42" s="30" t="s">
        <v>98</v>
      </c>
      <c r="V42" s="2"/>
      <c r="W42" s="2"/>
      <c r="X42" s="2"/>
    </row>
    <row r="43" s="2" customFormat="true" ht="13.5" hidden="false" customHeight="true" outlineLevel="0" collapsed="false">
      <c r="B43" s="13" t="s">
        <v>99</v>
      </c>
      <c r="C43" s="14" t="s">
        <v>100</v>
      </c>
      <c r="D43" s="15"/>
      <c r="E43" s="15"/>
      <c r="F43" s="15"/>
      <c r="G43" s="15"/>
      <c r="H43" s="15"/>
      <c r="I43" s="15"/>
      <c r="J43" s="15"/>
      <c r="L43" s="15"/>
      <c r="P43" s="15"/>
      <c r="Q43" s="15"/>
      <c r="R43" s="15"/>
    </row>
    <row r="44" s="2" customFormat="true" ht="13.5" hidden="false" customHeight="true" outlineLevel="0" collapsed="false">
      <c r="B44" s="16" t="s">
        <v>101</v>
      </c>
      <c r="C44" s="17" t="s">
        <v>70</v>
      </c>
      <c r="D44" s="18" t="n">
        <f aca="false">SUMIF('VIGAS E PLATIBANDAS'!$AO:$AO,"A",'VIGAS E PLATIBANDAS'!$G:$G)</f>
        <v>8.8618</v>
      </c>
      <c r="E44" s="18" t="n">
        <f aca="false">SUMIF('VIGAS E PLATIBANDAS'!$AO:$AO,"A",'VIGAS E PLATIBANDAS'!$AP:$AP)</f>
        <v>1478.7567904</v>
      </c>
      <c r="F44" s="18" t="n">
        <f aca="false">E44+SUMIF('VIGAS E PLATIBANDAS'!$AO:$AO,"A",'VIGAS E PLATIBANDAS'!$AQ:$AQ)</f>
        <v>1478.7567904</v>
      </c>
      <c r="G44" s="18" t="n">
        <f aca="false">SUMIF('VIGAS E PLATIBANDAS'!$AO:$AO,"A",'VIGAS E PLATIBANDAS'!$I:$I)</f>
        <v>69.0436693877551</v>
      </c>
      <c r="H44" s="3" t="n">
        <v>8.802</v>
      </c>
      <c r="I44" s="3" t="n">
        <v>1307</v>
      </c>
      <c r="J44" s="3" t="n">
        <v>50.83</v>
      </c>
      <c r="L44" s="18" t="n">
        <f aca="false">E44*$N$4</f>
        <v>1626.63246944</v>
      </c>
      <c r="P44" s="19" t="n">
        <f aca="false">IF(ISNUMBER(H44),H44-D44,"")</f>
        <v>-0.059800000000001</v>
      </c>
      <c r="Q44" s="19" t="n">
        <f aca="false">IF(ISNUMBER(I44),I44-F44,"")</f>
        <v>-171.7567904</v>
      </c>
      <c r="R44" s="19" t="n">
        <f aca="false">IF(ISNUMBER(J44),J44-G44,"")</f>
        <v>-18.2136693877551</v>
      </c>
      <c r="T44" s="20" t="n">
        <f aca="false">SUMIF('VIGAS E PLATIBANDAS'!$AO:$AO,"A",'VIGAS E PLATIBANDAS'!$AR:$AR)</f>
        <v>8.8618</v>
      </c>
      <c r="U44" s="21"/>
    </row>
    <row r="45" s="2" customFormat="true" ht="13.5" hidden="false" customHeight="true" outlineLevel="0" collapsed="false">
      <c r="B45" s="16" t="s">
        <v>102</v>
      </c>
      <c r="C45" s="17" t="s">
        <v>25</v>
      </c>
      <c r="D45" s="18" t="n">
        <f aca="false">SUMIF('VIGAS E PLATIBANDAS'!$AO:$AO,"B",'VIGAS E PLATIBANDAS'!$G:$G)</f>
        <v>5.16</v>
      </c>
      <c r="E45" s="18" t="n">
        <f aca="false">SUMIF('VIGAS E PLATIBANDAS'!$AO:$AO,"B",'VIGAS E PLATIBANDAS'!$AP:$AP)</f>
        <v>793.06152</v>
      </c>
      <c r="F45" s="18" t="n">
        <f aca="false">E45+SUMIF('VIGAS E PLATIBANDAS'!$AO:$AO,"B",'VIGAS E PLATIBANDAS'!$AQ:$AQ)</f>
        <v>793.06152</v>
      </c>
      <c r="G45" s="18" t="n">
        <f aca="false">SUMIF('VIGAS E PLATIBANDAS'!$AO:$AO,"B",'VIGAS E PLATIBANDAS'!$I:$I)</f>
        <v>42.076</v>
      </c>
      <c r="H45" s="3" t="n">
        <v>5.16</v>
      </c>
      <c r="I45" s="3" t="n">
        <v>766</v>
      </c>
      <c r="J45" s="3" t="n">
        <v>29.8</v>
      </c>
      <c r="L45" s="18" t="n">
        <f aca="false">E45*$N$4</f>
        <v>872.367672</v>
      </c>
      <c r="P45" s="19" t="n">
        <f aca="false">IF(ISNUMBER(H45),H45-D45,"")</f>
        <v>0</v>
      </c>
      <c r="Q45" s="19" t="n">
        <f aca="false">IF(ISNUMBER(I45),I45-F45,"")</f>
        <v>-27.0615200000001</v>
      </c>
      <c r="R45" s="19" t="n">
        <f aca="false">IF(ISNUMBER(J45),J45-G45,"")</f>
        <v>-12.276</v>
      </c>
      <c r="T45" s="20" t="n">
        <f aca="false">SUMIF('VIGAS E PLATIBANDAS'!$AO:$AO,"B",'VIGAS E PLATIBANDAS'!$AR:$AR)</f>
        <v>5.16</v>
      </c>
      <c r="U45" s="21"/>
    </row>
    <row r="46" s="2" customFormat="true" ht="13.5" hidden="false" customHeight="true" outlineLevel="0" collapsed="false">
      <c r="B46" s="16" t="s">
        <v>103</v>
      </c>
      <c r="C46" s="17" t="s">
        <v>28</v>
      </c>
      <c r="D46" s="18" t="n">
        <f aca="false">SUMIF('VIGAS E PLATIBANDAS'!$AO:$AO,"C",'VIGAS E PLATIBANDAS'!$G:$G)</f>
        <v>10.8416</v>
      </c>
      <c r="E46" s="18" t="n">
        <f aca="false">SUMIF('VIGAS E PLATIBANDAS'!$AO:$AO,"C",'VIGAS E PLATIBANDAS'!$AP:$AP)</f>
        <v>1231.24982</v>
      </c>
      <c r="F46" s="18" t="n">
        <f aca="false">E46+SUMIF('VIGAS E PLATIBANDAS'!$AO:$AO,"C",'VIGAS E PLATIBANDAS'!$AQ:$AQ)</f>
        <v>1241.11382</v>
      </c>
      <c r="G46" s="18" t="n">
        <f aca="false">SUMIF('VIGAS E PLATIBANDAS'!$AO:$AO,"C",'VIGAS E PLATIBANDAS'!$I:$I)</f>
        <v>85.3117500143257</v>
      </c>
      <c r="H46" s="3" t="n">
        <v>10.757</v>
      </c>
      <c r="I46" s="3" t="n">
        <v>1597</v>
      </c>
      <c r="J46" s="3" t="n">
        <v>62.12</v>
      </c>
      <c r="L46" s="18" t="n">
        <f aca="false">E46*$N$4</f>
        <v>1354.374802</v>
      </c>
      <c r="P46" s="19" t="n">
        <f aca="false">IF(ISNUMBER(H46),H46-D46,"")</f>
        <v>-0.0846</v>
      </c>
      <c r="Q46" s="19" t="n">
        <f aca="false">IF(ISNUMBER(I46),I46-F46,"")</f>
        <v>355.88618</v>
      </c>
      <c r="R46" s="19" t="n">
        <f aca="false">IF(ISNUMBER(J46),J46-G46,"")</f>
        <v>-23.1917500143257</v>
      </c>
      <c r="T46" s="20" t="n">
        <f aca="false">SUMIF('VIGAS E PLATIBANDAS'!$AO:$AO,"C",'VIGAS E PLATIBANDAS'!$AR:$AR)</f>
        <v>10.8416</v>
      </c>
      <c r="U46" s="21"/>
    </row>
    <row r="47" s="2" customFormat="true" ht="13.5" hidden="false" customHeight="true" outlineLevel="0" collapsed="false">
      <c r="B47" s="16" t="s">
        <v>104</v>
      </c>
      <c r="C47" s="17" t="s">
        <v>34</v>
      </c>
      <c r="D47" s="18" t="n">
        <f aca="false">SUMIF('VIGAS E PLATIBANDAS'!$AO:$AO,"F",'VIGAS E PLATIBANDAS'!$G:$G)</f>
        <v>0.7152</v>
      </c>
      <c r="E47" s="18" t="n">
        <f aca="false">SUMIF('VIGAS E PLATIBANDAS'!$AO:$AO,"F",'VIGAS E PLATIBANDAS'!$AP:$AP)</f>
        <v>86.42464</v>
      </c>
      <c r="F47" s="18" t="n">
        <f aca="false">E47+SUMIF('VIGAS E PLATIBANDAS'!$AO:$AO,"F",'VIGAS E PLATIBANDAS'!$AQ:$AQ)</f>
        <v>86.42464</v>
      </c>
      <c r="G47" s="18" t="n">
        <f aca="false">SUMIF('VIGAS E PLATIBANDAS'!$AO:$AO,"F",'VIGAS E PLATIBANDAS'!$I:$I)</f>
        <v>9.94845989826861</v>
      </c>
      <c r="H47" s="3" t="n">
        <v>0.715</v>
      </c>
      <c r="I47" s="3" t="n">
        <v>106</v>
      </c>
      <c r="J47" s="3" t="n">
        <v>4.13</v>
      </c>
      <c r="L47" s="18" t="n">
        <f aca="false">E47*$N$4</f>
        <v>95.067104</v>
      </c>
      <c r="P47" s="19" t="n">
        <f aca="false">IF(ISNUMBER(H47),H47-D47,"")</f>
        <v>-0.000199999999999978</v>
      </c>
      <c r="Q47" s="19" t="n">
        <f aca="false">IF(ISNUMBER(I47),I47-F47,"")</f>
        <v>19.57536</v>
      </c>
      <c r="R47" s="19" t="n">
        <f aca="false">IF(ISNUMBER(J47),J47-G47,"")</f>
        <v>-5.81845989826861</v>
      </c>
      <c r="T47" s="20" t="n">
        <f aca="false">SUMIF('VIGAS E PLATIBANDAS'!$AO:$AO,"F",'VIGAS E PLATIBANDAS'!$AR:$AR)</f>
        <v>0.7152</v>
      </c>
      <c r="U47" s="21"/>
    </row>
    <row r="48" s="2" customFormat="true" ht="13.5" hidden="false" customHeight="true" outlineLevel="0" collapsed="false">
      <c r="B48" s="16" t="s">
        <v>105</v>
      </c>
      <c r="C48" s="17" t="s">
        <v>97</v>
      </c>
      <c r="D48" s="18" t="n">
        <f aca="false">SUMIF('VIGAS E PLATIBANDAS'!$AO:$AO,"G",'VIGAS E PLATIBANDAS'!$G:$G)</f>
        <v>1.6516</v>
      </c>
      <c r="E48" s="18" t="n">
        <f aca="false">SUMIF('VIGAS E PLATIBANDAS'!$AO:$AO,"G",'VIGAS E PLATIBANDAS'!$AP:$AP)</f>
        <v>159.4581068</v>
      </c>
      <c r="F48" s="18" t="n">
        <f aca="false">E48+SUMIF('VIGAS E PLATIBANDAS'!$AO:$AO,"G",'VIGAS E PLATIBANDAS'!$AQ:$AQ)</f>
        <v>160.6921068</v>
      </c>
      <c r="G48" s="18" t="n">
        <f aca="false">SUMIF('VIGAS E PLATIBANDAS'!$AO:$AO,"G",'VIGAS E PLATIBANDAS'!$I:$I)</f>
        <v>16.516</v>
      </c>
      <c r="H48" s="3" t="n">
        <v>1.499</v>
      </c>
      <c r="I48" s="3" t="n">
        <v>223</v>
      </c>
      <c r="J48" s="3" t="n">
        <v>8.66</v>
      </c>
      <c r="L48" s="18" t="n">
        <f aca="false">E48*$N$4</f>
        <v>175.40391748</v>
      </c>
      <c r="P48" s="19" t="n">
        <f aca="false">IF(ISNUMBER(H48),H48-D48,"")</f>
        <v>-0.1526</v>
      </c>
      <c r="Q48" s="19" t="n">
        <f aca="false">IF(ISNUMBER(I48),I48-F48,"")</f>
        <v>62.3078932</v>
      </c>
      <c r="R48" s="19" t="n">
        <f aca="false">IF(ISNUMBER(J48),J48-G48,"")</f>
        <v>-7.856</v>
      </c>
      <c r="T48" s="20" t="n">
        <f aca="false">SUMIF('VIGAS E PLATIBANDAS'!$AO:$AO,"G",'VIGAS E PLATIBANDAS'!$AR:$AR)</f>
        <v>1.6516</v>
      </c>
      <c r="U48" s="21" t="s">
        <v>106</v>
      </c>
    </row>
    <row r="49" s="2" customFormat="true" ht="15" hidden="false" customHeight="true" outlineLevel="0" collapsed="false">
      <c r="B49" s="31" t="s">
        <v>107</v>
      </c>
      <c r="C49" s="32" t="s">
        <v>108</v>
      </c>
      <c r="D49" s="15"/>
      <c r="E49" s="15"/>
      <c r="F49" s="15"/>
      <c r="G49" s="15"/>
      <c r="H49" s="15"/>
      <c r="I49" s="15"/>
      <c r="J49" s="15"/>
      <c r="L49" s="15"/>
      <c r="P49" s="15"/>
      <c r="Q49" s="15"/>
      <c r="R49" s="15"/>
    </row>
    <row r="50" s="2" customFormat="true" ht="13.5" hidden="false" customHeight="true" outlineLevel="0" collapsed="false">
      <c r="B50" s="16" t="s">
        <v>109</v>
      </c>
      <c r="C50" s="17" t="s">
        <v>28</v>
      </c>
      <c r="D50" s="18" t="n">
        <f aca="false">SUMIF('LAJES ALIGEIRADAS'!$AO:$AO,"C",'LAJES ALIGEIRADAS'!$D:$D)</f>
        <v>48.9568</v>
      </c>
      <c r="E50" s="18" t="n">
        <f aca="false">SUMIF('LAJES ALIGEIRADAS'!$AO:$AO,"C",'LAJES ALIGEIRADAS'!$AP:$AP)</f>
        <v>205.79905974352</v>
      </c>
      <c r="F50" s="18" t="n">
        <f aca="false">E50+SUMIF('LAJES ALIGEIRADAS'!$AO:$AO,"C",'LAJES ALIGEIRADAS'!$AQ:$AQ)</f>
        <v>205.79905974352</v>
      </c>
      <c r="G50" s="18" t="s">
        <v>46</v>
      </c>
      <c r="H50" s="3" t="n">
        <v>50</v>
      </c>
      <c r="I50" s="3" t="n">
        <v>89</v>
      </c>
      <c r="J50" s="23" t="s">
        <v>46</v>
      </c>
      <c r="L50" s="18" t="n">
        <f aca="false">E50*$N$4</f>
        <v>226.378965717872</v>
      </c>
      <c r="P50" s="19" t="n">
        <f aca="false">IF(ISNUMBER(H50),H50-D50,"")</f>
        <v>1.0432</v>
      </c>
      <c r="Q50" s="19" t="n">
        <f aca="false">IF(ISNUMBER(I50),I50-F50,"")</f>
        <v>-116.79905974352</v>
      </c>
      <c r="R50" s="19"/>
      <c r="U50" s="21" t="s">
        <v>110</v>
      </c>
    </row>
    <row r="51" s="2" customFormat="true" ht="13.5" hidden="false" customHeight="true" outlineLevel="0" collapsed="false">
      <c r="B51" s="33"/>
      <c r="C51" s="34" t="s">
        <v>111</v>
      </c>
      <c r="D51" s="35" t="n">
        <f aca="false">D5+D7+D8+D9+D10+D11+D13+D14+D23+D25+D27+D28+D29+D30+D31+D33+D35+D36+D38+D39+D40+D41+D42+D44+D45+D46+D47+D48</f>
        <v>172.847126895262</v>
      </c>
      <c r="E51" s="36" t="n">
        <f aca="false">SUM(E4:E50)</f>
        <v>21378.4753622597</v>
      </c>
      <c r="F51" s="36" t="n">
        <f aca="false">SUM(F4:F50)</f>
        <v>21627.3125622597</v>
      </c>
      <c r="G51" s="37" t="n">
        <f aca="false">SUM(G4:G50)</f>
        <v>934.700492633683</v>
      </c>
      <c r="H51" s="35" t="n">
        <f aca="false">H5+H7+H8+H9+H10+H11+H13+H14+H23+H25+H27+H28+H29+H30+H31+H33+H35+H36+H38+H39+H40+H41+H42+H44+H45+H46+H47+H48</f>
        <v>177.749</v>
      </c>
      <c r="I51" s="36" t="n">
        <f aca="false">SUM(I4:I50)</f>
        <v>24469</v>
      </c>
      <c r="J51" s="37" t="n">
        <f aca="false">SUM(J4:J50)</f>
        <v>896.4788</v>
      </c>
      <c r="L51" s="38" t="n">
        <f aca="false">SUM(L4:L50)</f>
        <v>23516.3228984857</v>
      </c>
      <c r="P51" s="35" t="n">
        <f aca="false">H51-D51</f>
        <v>4.90187310473814</v>
      </c>
      <c r="Q51" s="36" t="n">
        <f aca="false">I51-F51</f>
        <v>2841.68743774026</v>
      </c>
      <c r="R51" s="37" t="n">
        <f aca="false">J51-G51</f>
        <v>-38.2216926336828</v>
      </c>
      <c r="T51" s="20" t="n">
        <f aca="false">T5+T7+T8+T9+T10+T11+T13+T14+T23+T25+T27+T28+T29+T30+T31+T33+T35+T36+T38+T39+T40+T41+T42+T44+T45+T46+T47+T48</f>
        <v>172.5917</v>
      </c>
    </row>
    <row r="52" customFormat="false" ht="12.75" hidden="false" customHeight="false" outlineLevel="0" collapsed="false">
      <c r="C52" s="39" t="s">
        <v>112</v>
      </c>
      <c r="D52" s="39" t="n">
        <f aca="false">SUM(D16:D21)</f>
        <v>119.506348</v>
      </c>
      <c r="H52" s="39" t="n">
        <f aca="false">SUM(H16:H21)</f>
        <v>117.853</v>
      </c>
      <c r="P52" s="39" t="n">
        <f aca="false">H52-D52</f>
        <v>-1.65334800000001</v>
      </c>
    </row>
    <row r="53" customFormat="false" ht="12.75" hidden="false" customHeight="false" outlineLevel="0" collapsed="false">
      <c r="C53" s="39" t="s">
        <v>113</v>
      </c>
      <c r="D53" s="39" t="n">
        <f aca="false">D50</f>
        <v>48.9568</v>
      </c>
      <c r="H53" s="39" t="n">
        <f aca="false">H50</f>
        <v>50</v>
      </c>
      <c r="P53" s="39" t="n">
        <f aca="false">H53-D53</f>
        <v>1.0432</v>
      </c>
    </row>
    <row r="54" customFormat="false" ht="12.75" hidden="false" customHeight="true" outlineLevel="0" collapsed="false">
      <c r="G54" s="40"/>
    </row>
    <row r="55" customFormat="false" ht="12.75" hidden="false" customHeight="true" outlineLevel="0" collapsed="false">
      <c r="C55" s="41" t="s">
        <v>114</v>
      </c>
      <c r="G55" s="40"/>
    </row>
  </sheetData>
  <mergeCells count="4">
    <mergeCell ref="B1:J1"/>
    <mergeCell ref="D2:G2"/>
    <mergeCell ref="H2:J2"/>
    <mergeCell ref="P2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T212"/>
  <sheetViews>
    <sheetView showFormulas="false" showGridLines="true" showRowColHeaders="true" showZeros="true" rightToLeft="false" tabSelected="false" showOutlineSymbols="true" defaultGridColor="true" view="normal" topLeftCell="B1" colorId="64" zoomScale="115" zoomScaleNormal="115" zoomScalePageLayoutView="100" workbookViewId="0">
      <pane xSplit="2" ySplit="5" topLeftCell="C6" activePane="bottomRight" state="frozen"/>
      <selection pane="topLeft" activeCell="B1" activeCellId="0" sqref="B1"/>
      <selection pane="topRight" activeCell="C1" activeCellId="0" sqref="C1"/>
      <selection pane="bottomLeft" activeCell="B6" activeCellId="0" sqref="B6"/>
      <selection pane="bottomRight" activeCell="B1" activeCellId="0" sqref="B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7.66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125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84" t="s">
        <v>138</v>
      </c>
      <c r="H5" s="85"/>
      <c r="I5" s="86" t="s">
        <v>139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9.4" hidden="false" customHeight="false" outlineLevel="0" collapsed="false">
      <c r="A6" s="96"/>
      <c r="B6" s="97" t="s">
        <v>158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159</v>
      </c>
      <c r="C7" s="110" t="n">
        <v>1</v>
      </c>
      <c r="D7" s="122" t="n">
        <f aca="false">2.4+2*0.05</f>
        <v>2.5</v>
      </c>
      <c r="E7" s="122" t="n">
        <f aca="false">2.8+2*0.05</f>
        <v>2.9</v>
      </c>
      <c r="F7" s="122" t="n">
        <v>0.1</v>
      </c>
      <c r="G7" s="123" t="n">
        <f aca="false">C7*D7*E7*F7</f>
        <v>0.725</v>
      </c>
      <c r="H7" s="101"/>
      <c r="I7" s="123" t="n">
        <f aca="false">C7*D7*E7</f>
        <v>7.25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160</v>
      </c>
      <c r="AP7" s="118" t="n">
        <f aca="false">SUM(R7:Y7)+SUM(AN7)</f>
        <v>0</v>
      </c>
      <c r="AQ7" s="118" t="n">
        <f aca="false">SUM(AF7:AM7)</f>
        <v>0</v>
      </c>
      <c r="AR7" s="118"/>
      <c r="AS7" s="119" t="s">
        <v>161</v>
      </c>
      <c r="AT7" s="119" t="s">
        <v>162</v>
      </c>
    </row>
    <row r="8" customFormat="false" ht="13.5" hidden="false" customHeight="false" outlineLevel="0" collapsed="false">
      <c r="A8" s="120"/>
      <c r="B8" s="121" t="s">
        <v>163</v>
      </c>
      <c r="C8" s="110" t="n">
        <v>1</v>
      </c>
      <c r="D8" s="122" t="n">
        <f aca="false">1.5+2*0.05</f>
        <v>1.6</v>
      </c>
      <c r="E8" s="122" t="n">
        <f aca="false">2.7+2*0.05</f>
        <v>2.8</v>
      </c>
      <c r="F8" s="122" t="n">
        <v>0.1</v>
      </c>
      <c r="G8" s="123" t="n">
        <f aca="false">C8*D8*E8*F8</f>
        <v>0.448</v>
      </c>
      <c r="H8" s="101"/>
      <c r="I8" s="123" t="n">
        <f aca="false">C8*D8*E8</f>
        <v>4.48</v>
      </c>
      <c r="J8" s="101"/>
      <c r="K8" s="124"/>
      <c r="L8" s="125"/>
      <c r="M8" s="125"/>
      <c r="N8" s="126"/>
      <c r="O8" s="126"/>
      <c r="P8" s="126"/>
      <c r="Q8" s="127"/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160</v>
      </c>
      <c r="AP8" s="118" t="n">
        <f aca="false">SUM(R8:Y8)+SUM(AN8)</f>
        <v>0</v>
      </c>
      <c r="AQ8" s="118" t="n">
        <f aca="false">SUM(AF8:AM8)</f>
        <v>0</v>
      </c>
      <c r="AR8" s="118"/>
      <c r="AS8" s="119" t="s">
        <v>161</v>
      </c>
      <c r="AT8" s="119" t="s">
        <v>162</v>
      </c>
    </row>
    <row r="9" customFormat="false" ht="13.5" hidden="false" customHeight="false" outlineLevel="0" collapsed="false">
      <c r="A9" s="120"/>
      <c r="B9" s="121" t="s">
        <v>164</v>
      </c>
      <c r="C9" s="110" t="n">
        <v>1</v>
      </c>
      <c r="D9" s="122" t="n">
        <f aca="false">1+2*0.05</f>
        <v>1.1</v>
      </c>
      <c r="E9" s="122" t="n">
        <f aca="false">2.35+2*0.05</f>
        <v>2.45</v>
      </c>
      <c r="F9" s="122" t="n">
        <v>0.1</v>
      </c>
      <c r="G9" s="123" t="n">
        <f aca="false">C9*D9*E9*F9</f>
        <v>0.2695</v>
      </c>
      <c r="H9" s="101"/>
      <c r="I9" s="123" t="n">
        <f aca="false">C9*D9*E9</f>
        <v>2.695</v>
      </c>
      <c r="J9" s="101"/>
      <c r="K9" s="124"/>
      <c r="L9" s="125"/>
      <c r="M9" s="125"/>
      <c r="N9" s="126"/>
      <c r="O9" s="126"/>
      <c r="P9" s="126"/>
      <c r="Q9" s="127"/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160</v>
      </c>
      <c r="AP9" s="118" t="n">
        <f aca="false">SUM(R9:Y9)+SUM(AN9)</f>
        <v>0</v>
      </c>
      <c r="AQ9" s="118" t="n">
        <f aca="false">SUM(AF9:AM9)</f>
        <v>0</v>
      </c>
      <c r="AR9" s="118"/>
      <c r="AS9" s="119" t="s">
        <v>161</v>
      </c>
      <c r="AT9" s="119" t="s">
        <v>162</v>
      </c>
    </row>
    <row r="10" customFormat="false" ht="13.5" hidden="false" customHeight="false" outlineLevel="0" collapsed="false">
      <c r="A10" s="120"/>
      <c r="B10" s="121" t="s">
        <v>165</v>
      </c>
      <c r="C10" s="110" t="n">
        <v>1</v>
      </c>
      <c r="D10" s="122" t="n">
        <f aca="false">1.3+2*0.05</f>
        <v>1.4</v>
      </c>
      <c r="E10" s="122" t="n">
        <f aca="false">1.3+2*0.05</f>
        <v>1.4</v>
      </c>
      <c r="F10" s="122" t="n">
        <v>0.1</v>
      </c>
      <c r="G10" s="123" t="n">
        <f aca="false">C10*D10*E10*F10</f>
        <v>0.196</v>
      </c>
      <c r="H10" s="101"/>
      <c r="I10" s="123" t="n">
        <f aca="false">C10*D10*E10</f>
        <v>1.96</v>
      </c>
      <c r="J10" s="101"/>
      <c r="K10" s="124"/>
      <c r="L10" s="125"/>
      <c r="M10" s="125"/>
      <c r="N10" s="126"/>
      <c r="O10" s="126"/>
      <c r="P10" s="126"/>
      <c r="Q10" s="127"/>
      <c r="R10" s="105" t="str">
        <f aca="false">IF(P10=6,N10*O10*Q10*0.222*1,IF(P10&gt;6,"",IF(P10&lt;6,"")))</f>
        <v/>
      </c>
      <c r="S10" s="106" t="str">
        <f aca="false">IF(P10=8,N10*O10*Q10*0.395*1,IF(P10&gt;8,"",IF(P10&lt;8,"")))</f>
        <v/>
      </c>
      <c r="T10" s="106" t="str">
        <f aca="false">IF(P10=10,N10*O10*Q10*0.617*1,IF(P10&gt;10,"",IF(P10&lt;10,"")))</f>
        <v/>
      </c>
      <c r="U10" s="106" t="str">
        <f aca="false">IF(P10=12,N10*O10*Q10*0.888*1,IF(P10&gt;12,"",IF(P10&lt;12,"")))</f>
        <v/>
      </c>
      <c r="V10" s="107" t="str">
        <f aca="false">IF(P10=16,N10*O10*Q10*1.578*1,IF(P10&gt;16,"",IF(P10&lt;16,"")))</f>
        <v/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160</v>
      </c>
      <c r="AP10" s="118" t="n">
        <f aca="false">SUM(R10:Y10)+SUM(AN10)</f>
        <v>0</v>
      </c>
      <c r="AQ10" s="118" t="n">
        <f aca="false">SUM(AF10:AM10)</f>
        <v>0</v>
      </c>
      <c r="AR10" s="118"/>
      <c r="AS10" s="119" t="s">
        <v>161</v>
      </c>
      <c r="AT10" s="119" t="s">
        <v>162</v>
      </c>
    </row>
    <row r="11" customFormat="false" ht="13.5" hidden="false" customHeight="false" outlineLevel="0" collapsed="false">
      <c r="A11" s="120"/>
      <c r="B11" s="121" t="s">
        <v>166</v>
      </c>
      <c r="C11" s="110" t="n">
        <v>1</v>
      </c>
      <c r="D11" s="122" t="n">
        <f aca="false">1.5+2*0.05</f>
        <v>1.6</v>
      </c>
      <c r="E11" s="122" t="n">
        <f aca="false">1.3+2*0.05</f>
        <v>1.4</v>
      </c>
      <c r="F11" s="122" t="n">
        <v>0.1</v>
      </c>
      <c r="G11" s="123" t="n">
        <f aca="false">C11*D11*E11*F11</f>
        <v>0.224</v>
      </c>
      <c r="H11" s="101"/>
      <c r="I11" s="123" t="n">
        <f aca="false">C11*D11*E11</f>
        <v>2.24</v>
      </c>
      <c r="J11" s="101"/>
      <c r="K11" s="124"/>
      <c r="L11" s="125"/>
      <c r="M11" s="125"/>
      <c r="N11" s="126"/>
      <c r="O11" s="126"/>
      <c r="P11" s="126"/>
      <c r="Q11" s="127"/>
      <c r="R11" s="105" t="str">
        <f aca="false">IF(P11=6,N11*O11*Q11*0.222*1,IF(P11&gt;6,"",IF(P11&lt;6,"")))</f>
        <v/>
      </c>
      <c r="S11" s="106" t="str">
        <f aca="false">IF(P11=8,N11*O11*Q11*0.395*1,IF(P11&gt;8,"",IF(P11&lt;8,"")))</f>
        <v/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str">
        <f aca="false">IF(P11=16,N11*O11*Q11*1.578*1,IF(P11&gt;16,"",IF(P11&lt;16,"")))</f>
        <v/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160</v>
      </c>
      <c r="AP11" s="118" t="n">
        <f aca="false">SUM(R11:Y11)+SUM(AN11)</f>
        <v>0</v>
      </c>
      <c r="AQ11" s="118" t="n">
        <f aca="false">SUM(AF11:AM11)</f>
        <v>0</v>
      </c>
      <c r="AR11" s="118"/>
      <c r="AS11" s="119" t="s">
        <v>161</v>
      </c>
      <c r="AT11" s="119" t="s">
        <v>162</v>
      </c>
    </row>
    <row r="12" customFormat="false" ht="13.5" hidden="false" customHeight="false" outlineLevel="0" collapsed="false">
      <c r="A12" s="120"/>
      <c r="B12" s="121" t="s">
        <v>167</v>
      </c>
      <c r="C12" s="110" t="n">
        <v>1</v>
      </c>
      <c r="D12" s="122" t="n">
        <f aca="false">2.5+2*0.05</f>
        <v>2.6</v>
      </c>
      <c r="E12" s="122" t="n">
        <f aca="false">1.3+2*0.05</f>
        <v>1.4</v>
      </c>
      <c r="F12" s="122" t="n">
        <v>0.1</v>
      </c>
      <c r="G12" s="123" t="n">
        <f aca="false">C12*D12*E12*F12</f>
        <v>0.364</v>
      </c>
      <c r="H12" s="101"/>
      <c r="I12" s="123" t="n">
        <f aca="false">C12*D12*E12</f>
        <v>3.64</v>
      </c>
      <c r="J12" s="101"/>
      <c r="K12" s="124"/>
      <c r="L12" s="125"/>
      <c r="M12" s="125"/>
      <c r="N12" s="126"/>
      <c r="O12" s="126"/>
      <c r="P12" s="126"/>
      <c r="Q12" s="127"/>
      <c r="R12" s="105" t="str">
        <f aca="false">IF(P12=6,N12*O12*Q12*0.222*1,IF(P12&gt;6,"",IF(P12&lt;6,"")))</f>
        <v/>
      </c>
      <c r="S12" s="106" t="str">
        <f aca="false">IF(P12=8,N12*O12*Q12*0.395*1,IF(P12&gt;8,"",IF(P12&lt;8,"")))</f>
        <v/>
      </c>
      <c r="T12" s="106" t="str">
        <f aca="false">IF(P12=10,N12*O12*Q12*0.617*1,IF(P12&gt;10,"",IF(P12&lt;10,"")))</f>
        <v/>
      </c>
      <c r="U12" s="106" t="str">
        <f aca="false">IF(P12=12,N12*O12*Q12*0.888*1,IF(P12&gt;12,"",IF(P12&lt;12,"")))</f>
        <v/>
      </c>
      <c r="V12" s="107" t="str">
        <f aca="false">IF(P12=16,N12*O12*Q12*1.578*1,IF(P12&gt;16,"",IF(P12&lt;16,"")))</f>
        <v/>
      </c>
      <c r="W12" s="106" t="str">
        <f aca="false">IF(P12=20,N12*O12*Q12*2.466*1,IF(P12&gt;20,"",IF(P12&lt;20,"")))</f>
        <v/>
      </c>
      <c r="X12" s="106" t="str">
        <f aca="false">IF(P12=25,N12*O12*Q12*3.853*1,IF(P12&gt;25,"",IF(P12&lt;25,"")))</f>
        <v/>
      </c>
      <c r="Y12" s="108" t="str">
        <f aca="false">IF(P12=32,N12*O12*Q12*6.313*1,IF(P12&gt;32,"",IF(P12&lt;32,"")))</f>
        <v/>
      </c>
      <c r="Z12" s="109"/>
      <c r="AA12" s="110" t="str">
        <f aca="false">IF(AC12&gt;0,N12,"")</f>
        <v/>
      </c>
      <c r="AB12" s="111" t="str">
        <f aca="false">IF(AC12&gt;0,O12,"")</f>
        <v/>
      </c>
      <c r="AC12" s="112"/>
      <c r="AD12" s="112"/>
      <c r="AE12" s="113" t="str">
        <f aca="false">IF(AC12&gt;0,P12,"")</f>
        <v/>
      </c>
      <c r="AF12" s="114" t="str">
        <f aca="false">IF(AE12=6,AA12*AB12*AC12*AD12*(AE12/1000)*0.222*1,IF(AE12&gt;6,"",IF(AE12&lt;6,"")))</f>
        <v/>
      </c>
      <c r="AG12" s="107" t="str">
        <f aca="false">IF(AE12=8,AA12*AB12*AC12*AD12*(AE12/1000)*0.395*1,IF(AE12&gt;8,"",IF(AE12&lt;8,"")))</f>
        <v/>
      </c>
      <c r="AH12" s="107" t="str">
        <f aca="false">IF(AE12=10,AA12*AB12*AC12*AD12*(AE12/1000)*0.617*1,IF(AE12&gt;10,"",IF(AE12&lt;10,"")))</f>
        <v/>
      </c>
      <c r="AI12" s="107" t="str">
        <f aca="false">IF(AE12=12,AA12*AB12*AC12*AD12*(AE12/1000)*0.888*1,IF(AE12&gt;12,"",IF(AE12&lt;12,"")))</f>
        <v/>
      </c>
      <c r="AJ12" s="107" t="str">
        <f aca="false">IF(AE12=16,AA12*AB12*AC12*AD12*(AE12/1000)*1.578*1,IF(AE12&gt;16,"",IF(AE12&lt;16,"")))</f>
        <v/>
      </c>
      <c r="AK12" s="107" t="str">
        <f aca="false">IF(AE12=20,AA12*AB12*AC12*AD12*(AE12/1000)*2.466*1,IF(AE12&gt;20,"",IF(AE12&lt;20,"")))</f>
        <v/>
      </c>
      <c r="AL12" s="107" t="str">
        <f aca="false">IF(AE12=25,AA12*AB12*AC12*AD12*(AE12/1000)*3.853*1,IF(AE12&gt;25,"",IF(AE12&lt;25,"")))</f>
        <v/>
      </c>
      <c r="AM12" s="115" t="str">
        <f aca="false">IF(AE12=32,AA12*AB12*AC12*AD12*(AE12/1000)*6.313*1,IF(AE12&gt;32,"",IF(AE12&lt;32,"")))</f>
        <v/>
      </c>
      <c r="AN12" s="128"/>
      <c r="AO12" s="117" t="s">
        <v>160</v>
      </c>
      <c r="AP12" s="118" t="n">
        <f aca="false">SUM(R12:Y12)+SUM(AN12)</f>
        <v>0</v>
      </c>
      <c r="AQ12" s="118" t="n">
        <f aca="false">SUM(AF12:AM12)</f>
        <v>0</v>
      </c>
      <c r="AR12" s="118"/>
      <c r="AS12" s="119" t="s">
        <v>161</v>
      </c>
      <c r="AT12" s="119" t="s">
        <v>162</v>
      </c>
    </row>
    <row r="13" customFormat="false" ht="19.4" hidden="false" customHeight="false" outlineLevel="0" collapsed="false">
      <c r="A13" s="96"/>
      <c r="B13" s="97" t="s">
        <v>168</v>
      </c>
      <c r="C13" s="98"/>
      <c r="D13" s="99"/>
      <c r="E13" s="99"/>
      <c r="F13" s="99"/>
      <c r="G13" s="100"/>
      <c r="H13" s="101"/>
      <c r="I13" s="100"/>
      <c r="J13" s="101"/>
      <c r="K13" s="102"/>
      <c r="L13" s="103"/>
      <c r="M13" s="103"/>
      <c r="N13" s="104"/>
      <c r="O13" s="104"/>
      <c r="P13" s="104"/>
      <c r="Q13" s="100"/>
      <c r="R13" s="105"/>
      <c r="S13" s="106"/>
      <c r="T13" s="106"/>
      <c r="U13" s="106"/>
      <c r="V13" s="107"/>
      <c r="W13" s="106"/>
      <c r="X13" s="106"/>
      <c r="Y13" s="108"/>
      <c r="Z13" s="109"/>
      <c r="AA13" s="110"/>
      <c r="AB13" s="111"/>
      <c r="AC13" s="112"/>
      <c r="AD13" s="112"/>
      <c r="AE13" s="113"/>
      <c r="AF13" s="114"/>
      <c r="AG13" s="107"/>
      <c r="AH13" s="107"/>
      <c r="AI13" s="107"/>
      <c r="AJ13" s="107"/>
      <c r="AK13" s="107"/>
      <c r="AL13" s="107"/>
      <c r="AM13" s="115"/>
      <c r="AO13" s="117"/>
      <c r="AP13" s="118"/>
      <c r="AQ13" s="118"/>
      <c r="AR13" s="118"/>
      <c r="AS13" s="119"/>
      <c r="AT13" s="119"/>
    </row>
    <row r="14" customFormat="false" ht="13.5" hidden="false" customHeight="false" outlineLevel="0" collapsed="false">
      <c r="A14" s="120"/>
      <c r="B14" s="121" t="s">
        <v>169</v>
      </c>
      <c r="C14" s="110" t="n">
        <v>5</v>
      </c>
      <c r="D14" s="122" t="n">
        <f aca="false">1.1+2*0.05</f>
        <v>1.2</v>
      </c>
      <c r="E14" s="122" t="n">
        <f aca="false">1.1+2*0.05</f>
        <v>1.2</v>
      </c>
      <c r="F14" s="122" t="n">
        <v>0.1</v>
      </c>
      <c r="G14" s="123" t="n">
        <f aca="false">C14*D14*E14*F14</f>
        <v>0.72</v>
      </c>
      <c r="H14" s="101"/>
      <c r="I14" s="123" t="n">
        <f aca="false">C14*D14*E14</f>
        <v>7.2</v>
      </c>
      <c r="J14" s="101"/>
      <c r="K14" s="124"/>
      <c r="L14" s="125"/>
      <c r="M14" s="125"/>
      <c r="N14" s="126"/>
      <c r="O14" s="126"/>
      <c r="P14" s="126"/>
      <c r="Q14" s="127"/>
      <c r="R14" s="105" t="str">
        <f aca="false">IF(P14=6,N14*O14*Q14*0.222*1,IF(P14&gt;6,"",IF(P14&lt;6,"")))</f>
        <v/>
      </c>
      <c r="S14" s="106" t="str">
        <f aca="false">IF(P14=8,N14*O14*Q14*0.395*1,IF(P14&gt;8,"",IF(P14&lt;8,"")))</f>
        <v/>
      </c>
      <c r="T14" s="106" t="str">
        <f aca="false">IF(P14=10,N14*O14*Q14*0.617*1,IF(P14&gt;10,"",IF(P14&lt;10,"")))</f>
        <v/>
      </c>
      <c r="U14" s="106" t="str">
        <f aca="false">IF(P14=12,N14*O14*Q14*0.888*1,IF(P14&gt;12,"",IF(P14&lt;12,"")))</f>
        <v/>
      </c>
      <c r="V14" s="107" t="str">
        <f aca="false">IF(P14=16,N14*O14*Q14*1.578*1,IF(P14&gt;16,"",IF(P14&lt;16,"")))</f>
        <v/>
      </c>
      <c r="W14" s="106" t="str">
        <f aca="false">IF(P14=20,N14*O14*Q14*2.466*1,IF(P14&gt;20,"",IF(P14&lt;20,"")))</f>
        <v/>
      </c>
      <c r="X14" s="106" t="str">
        <f aca="false">IF(P14=25,N14*O14*Q14*3.853*1,IF(P14&gt;25,"",IF(P14&lt;25,"")))</f>
        <v/>
      </c>
      <c r="Y14" s="108" t="str">
        <f aca="false">IF(P14=32,N14*O14*Q14*6.313*1,IF(P14&gt;32,"",IF(P14&lt;32,"")))</f>
        <v/>
      </c>
      <c r="Z14" s="109"/>
      <c r="AA14" s="110" t="str">
        <f aca="false">IF(AC14&gt;0,N14,"")</f>
        <v/>
      </c>
      <c r="AB14" s="111" t="str">
        <f aca="false">IF(AC14&gt;0,O14,"")</f>
        <v/>
      </c>
      <c r="AC14" s="112"/>
      <c r="AD14" s="112"/>
      <c r="AE14" s="113" t="str">
        <f aca="false">IF(AC14&gt;0,P14,"")</f>
        <v/>
      </c>
      <c r="AF14" s="114" t="str">
        <f aca="false">IF(AE14=6,AA14*AB14*AC14*AD14*(AE14/1000)*0.222*1,IF(AE14&gt;6,"",IF(AE14&lt;6,"")))</f>
        <v/>
      </c>
      <c r="AG14" s="107" t="str">
        <f aca="false">IF(AE14=8,AA14*AB14*AC14*AD14*(AE14/1000)*0.395*1,IF(AE14&gt;8,"",IF(AE14&lt;8,"")))</f>
        <v/>
      </c>
      <c r="AH14" s="107" t="str">
        <f aca="false">IF(AE14=10,AA14*AB14*AC14*AD14*(AE14/1000)*0.617*1,IF(AE14&gt;10,"",IF(AE14&lt;10,"")))</f>
        <v/>
      </c>
      <c r="AI14" s="107" t="str">
        <f aca="false">IF(AE14=12,AA14*AB14*AC14*AD14*(AE14/1000)*0.888*1,IF(AE14&gt;12,"",IF(AE14&lt;12,"")))</f>
        <v/>
      </c>
      <c r="AJ14" s="107" t="str">
        <f aca="false">IF(AE14=16,AA14*AB14*AC14*AD14*(AE14/1000)*1.578*1,IF(AE14&gt;16,"",IF(AE14&lt;16,"")))</f>
        <v/>
      </c>
      <c r="AK14" s="107" t="str">
        <f aca="false">IF(AE14=20,AA14*AB14*AC14*AD14*(AE14/1000)*2.466*1,IF(AE14&gt;20,"",IF(AE14&lt;20,"")))</f>
        <v/>
      </c>
      <c r="AL14" s="107" t="str">
        <f aca="false">IF(AE14=25,AA14*AB14*AC14*AD14*(AE14/1000)*3.853*1,IF(AE14&gt;25,"",IF(AE14&lt;25,"")))</f>
        <v/>
      </c>
      <c r="AM14" s="115" t="str">
        <f aca="false">IF(AE14=32,AA14*AB14*AC14*AD14*(AE14/1000)*6.313*1,IF(AE14&gt;32,"",IF(AE14&lt;32,"")))</f>
        <v/>
      </c>
      <c r="AN14" s="128"/>
      <c r="AO14" s="117" t="s">
        <v>170</v>
      </c>
      <c r="AP14" s="118" t="n">
        <f aca="false">SUM(R14:Y14)+SUM(AN14)</f>
        <v>0</v>
      </c>
      <c r="AQ14" s="118" t="n">
        <f aca="false">SUM(AF14:AM14)</f>
        <v>0</v>
      </c>
      <c r="AR14" s="118"/>
      <c r="AS14" s="119" t="s">
        <v>161</v>
      </c>
      <c r="AT14" s="119" t="s">
        <v>162</v>
      </c>
    </row>
    <row r="15" customFormat="false" ht="19.4" hidden="false" customHeight="false" outlineLevel="0" collapsed="false">
      <c r="A15" s="120"/>
      <c r="B15" s="121" t="s">
        <v>171</v>
      </c>
      <c r="C15" s="110" t="n">
        <v>2</v>
      </c>
      <c r="D15" s="122" t="n">
        <f aca="false">1.7+2*0.05</f>
        <v>1.8</v>
      </c>
      <c r="E15" s="122" t="n">
        <f aca="false">1.2+2*0.05</f>
        <v>1.3</v>
      </c>
      <c r="F15" s="122" t="n">
        <v>0.1</v>
      </c>
      <c r="G15" s="123" t="n">
        <f aca="false">C15*D15*E15*F15</f>
        <v>0.468</v>
      </c>
      <c r="H15" s="101"/>
      <c r="I15" s="123" t="n">
        <f aca="false">C15*D15*E15</f>
        <v>4.68</v>
      </c>
      <c r="J15" s="101"/>
      <c r="K15" s="124"/>
      <c r="L15" s="125"/>
      <c r="M15" s="125"/>
      <c r="N15" s="126"/>
      <c r="O15" s="126"/>
      <c r="P15" s="126"/>
      <c r="Q15" s="127"/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str">
        <f aca="false">IF(P15=10,N15*O15*Q15*0.617*1,IF(P15&gt;10,"",IF(P15&lt;10,"")))</f>
        <v/>
      </c>
      <c r="U15" s="106" t="str">
        <f aca="false">IF(P15=12,N15*O15*Q15*0.888*1,IF(P15&gt;12,"",IF(P15&lt;12,"")))</f>
        <v/>
      </c>
      <c r="V15" s="107" t="str">
        <f aca="false">IF(P15=16,N15*O15*Q15*1.578*1,IF(P15&gt;16,"",IF(P15&lt;16,"")))</f>
        <v/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170</v>
      </c>
      <c r="AP15" s="118" t="n">
        <f aca="false">SUM(R15:Y15)+SUM(AN15)</f>
        <v>0</v>
      </c>
      <c r="AQ15" s="118" t="n">
        <f aca="false">SUM(AF15:AM15)</f>
        <v>0</v>
      </c>
      <c r="AR15" s="118"/>
      <c r="AS15" s="119" t="s">
        <v>172</v>
      </c>
      <c r="AT15" s="119" t="s">
        <v>173</v>
      </c>
    </row>
    <row r="16" customFormat="false" ht="13.5" hidden="false" customHeight="false" outlineLevel="0" collapsed="false">
      <c r="A16" s="120"/>
      <c r="B16" s="121" t="s">
        <v>174</v>
      </c>
      <c r="C16" s="110" t="n">
        <v>2</v>
      </c>
      <c r="D16" s="122" t="n">
        <f aca="false">0.4+2*0.05</f>
        <v>0.5</v>
      </c>
      <c r="E16" s="122" t="n">
        <v>4.57</v>
      </c>
      <c r="F16" s="122" t="n">
        <v>0.1</v>
      </c>
      <c r="G16" s="123" t="n">
        <f aca="false">C16*D16*E16*F16</f>
        <v>0.457</v>
      </c>
      <c r="H16" s="101"/>
      <c r="I16" s="123" t="n">
        <f aca="false">C16*D16*E16</f>
        <v>4.57</v>
      </c>
      <c r="J16" s="101"/>
      <c r="K16" s="124"/>
      <c r="L16" s="125"/>
      <c r="M16" s="125"/>
      <c r="N16" s="126"/>
      <c r="O16" s="126"/>
      <c r="P16" s="126"/>
      <c r="Q16" s="127"/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str">
        <f aca="false">IF(P16=10,N16*O16*Q16*0.617*1,IF(P16&gt;10,"",IF(P16&lt;10,"")))</f>
        <v/>
      </c>
      <c r="U16" s="106" t="str">
        <f aca="false">IF(P16=12,N16*O16*Q16*0.888*1,IF(P16&gt;12,"",IF(P16&lt;12,"")))</f>
        <v/>
      </c>
      <c r="V16" s="107" t="str">
        <f aca="false">IF(P16=16,N16*O16*Q16*1.578*1,IF(P16&gt;16,"",IF(P16&lt;16,"")))</f>
        <v/>
      </c>
      <c r="W16" s="106" t="str">
        <f aca="false">IF(P16=20,N16*O16*Q16*2.466*1,IF(P16&gt;20,"",IF(P16&lt;20,"")))</f>
        <v/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170</v>
      </c>
      <c r="AP16" s="118" t="n">
        <f aca="false">SUM(R16:Y16)+SUM(AN16)</f>
        <v>0</v>
      </c>
      <c r="AQ16" s="118" t="n">
        <f aca="false">SUM(AF16:AM16)</f>
        <v>0</v>
      </c>
      <c r="AR16" s="118"/>
      <c r="AS16" s="119" t="s">
        <v>175</v>
      </c>
      <c r="AT16" s="119" t="s">
        <v>162</v>
      </c>
    </row>
    <row r="17" customFormat="false" ht="19.4" hidden="false" customHeight="false" outlineLevel="0" collapsed="false">
      <c r="A17" s="96"/>
      <c r="B17" s="97" t="s">
        <v>176</v>
      </c>
      <c r="C17" s="98"/>
      <c r="D17" s="99"/>
      <c r="E17" s="99"/>
      <c r="F17" s="99"/>
      <c r="G17" s="100"/>
      <c r="H17" s="101"/>
      <c r="I17" s="100"/>
      <c r="J17" s="101"/>
      <c r="K17" s="102"/>
      <c r="L17" s="103"/>
      <c r="M17" s="103"/>
      <c r="N17" s="104"/>
      <c r="O17" s="104"/>
      <c r="P17" s="104"/>
      <c r="Q17" s="100"/>
      <c r="R17" s="105"/>
      <c r="S17" s="106"/>
      <c r="T17" s="106"/>
      <c r="U17" s="106"/>
      <c r="V17" s="107"/>
      <c r="W17" s="106"/>
      <c r="X17" s="106"/>
      <c r="Y17" s="108"/>
      <c r="Z17" s="109"/>
      <c r="AA17" s="110"/>
      <c r="AB17" s="111"/>
      <c r="AC17" s="112"/>
      <c r="AD17" s="112"/>
      <c r="AE17" s="113"/>
      <c r="AF17" s="114"/>
      <c r="AG17" s="107"/>
      <c r="AH17" s="107"/>
      <c r="AI17" s="107"/>
      <c r="AJ17" s="107"/>
      <c r="AK17" s="107"/>
      <c r="AL17" s="107"/>
      <c r="AM17" s="115"/>
      <c r="AO17" s="117"/>
      <c r="AP17" s="118"/>
      <c r="AQ17" s="118"/>
      <c r="AR17" s="118"/>
      <c r="AS17" s="119"/>
      <c r="AT17" s="119"/>
    </row>
    <row r="18" customFormat="false" ht="13.5" hidden="false" customHeight="false" outlineLevel="0" collapsed="false">
      <c r="A18" s="120"/>
      <c r="B18" s="121" t="s">
        <v>177</v>
      </c>
      <c r="C18" s="110" t="n">
        <v>4</v>
      </c>
      <c r="D18" s="122" t="n">
        <f aca="false">1.7+2*0.05</f>
        <v>1.8</v>
      </c>
      <c r="E18" s="122" t="n">
        <f aca="false">2.2+2*0.05</f>
        <v>2.3</v>
      </c>
      <c r="F18" s="122" t="n">
        <v>0.1</v>
      </c>
      <c r="G18" s="123" t="n">
        <f aca="false">C18*D18*E18*F18</f>
        <v>1.656</v>
      </c>
      <c r="H18" s="101"/>
      <c r="I18" s="123" t="n">
        <f aca="false">C18*D18*E18</f>
        <v>16.56</v>
      </c>
      <c r="J18" s="101"/>
      <c r="K18" s="124"/>
      <c r="L18" s="125"/>
      <c r="M18" s="125"/>
      <c r="N18" s="126"/>
      <c r="O18" s="126"/>
      <c r="P18" s="126"/>
      <c r="Q18" s="127"/>
      <c r="R18" s="105" t="str">
        <f aca="false">IF(P18=6,N18*O18*Q18*0.222*1,IF(P18&gt;6,"",IF(P18&lt;6,"")))</f>
        <v/>
      </c>
      <c r="S18" s="106" t="str">
        <f aca="false">IF(P18=8,N18*O18*Q18*0.395*1,IF(P18&gt;8,"",IF(P18&lt;8,"")))</f>
        <v/>
      </c>
      <c r="T18" s="106" t="str">
        <f aca="false">IF(P18=10,N18*O18*Q18*0.617*1,IF(P18&gt;10,"",IF(P18&lt;10,"")))</f>
        <v/>
      </c>
      <c r="U18" s="106" t="str">
        <f aca="false">IF(P18=12,N18*O18*Q18*0.888*1,IF(P18&gt;12,"",IF(P18&lt;12,"")))</f>
        <v/>
      </c>
      <c r="V18" s="107" t="str">
        <f aca="false">IF(P18=16,N18*O18*Q18*1.578*1,IF(P18&gt;16,"",IF(P18&lt;16,"")))</f>
        <v/>
      </c>
      <c r="W18" s="106" t="str">
        <f aca="false">IF(P18=20,N18*O18*Q18*2.466*1,IF(P18&gt;20,"",IF(P18&lt;20,"")))</f>
        <v/>
      </c>
      <c r="X18" s="106" t="str">
        <f aca="false">IF(P18=25,N18*O18*Q18*3.853*1,IF(P18&gt;25,"",IF(P18&lt;25,"")))</f>
        <v/>
      </c>
      <c r="Y18" s="108" t="str">
        <f aca="false">IF(P18=32,N18*O18*Q18*6.313*1,IF(P18&gt;32,"",IF(P18&lt;32,"")))</f>
        <v/>
      </c>
      <c r="Z18" s="109"/>
      <c r="AA18" s="110" t="str">
        <f aca="false">IF(AC18&gt;0,N18,"")</f>
        <v/>
      </c>
      <c r="AB18" s="111" t="str">
        <f aca="false">IF(AC18&gt;0,O18,"")</f>
        <v/>
      </c>
      <c r="AC18" s="112"/>
      <c r="AD18" s="112"/>
      <c r="AE18" s="113" t="str">
        <f aca="false">IF(AC18&gt;0,P18,"")</f>
        <v/>
      </c>
      <c r="AF18" s="114" t="str">
        <f aca="false">IF(AE18=6,AA18*AB18*AC18*AD18*(AE18/1000)*0.222*1,IF(AE18&gt;6,"",IF(AE18&lt;6,"")))</f>
        <v/>
      </c>
      <c r="AG18" s="107" t="str">
        <f aca="false">IF(AE18=8,AA18*AB18*AC18*AD18*(AE18/1000)*0.395*1,IF(AE18&gt;8,"",IF(AE18&lt;8,"")))</f>
        <v/>
      </c>
      <c r="AH18" s="107" t="str">
        <f aca="false">IF(AE18=10,AA18*AB18*AC18*AD18*(AE18/1000)*0.617*1,IF(AE18&gt;10,"",IF(AE18&lt;10,"")))</f>
        <v/>
      </c>
      <c r="AI18" s="107" t="str">
        <f aca="false">IF(AE18=12,AA18*AB18*AC18*AD18*(AE18/1000)*0.888*1,IF(AE18&gt;12,"",IF(AE18&lt;12,"")))</f>
        <v/>
      </c>
      <c r="AJ18" s="107" t="str">
        <f aca="false">IF(AE18=16,AA18*AB18*AC18*AD18*(AE18/1000)*1.578*1,IF(AE18&gt;16,"",IF(AE18&lt;16,"")))</f>
        <v/>
      </c>
      <c r="AK18" s="107" t="str">
        <f aca="false">IF(AE18=20,AA18*AB18*AC18*AD18*(AE18/1000)*2.466*1,IF(AE18&gt;20,"",IF(AE18&lt;20,"")))</f>
        <v/>
      </c>
      <c r="AL18" s="107" t="str">
        <f aca="false">IF(AE18=25,AA18*AB18*AC18*AD18*(AE18/1000)*3.853*1,IF(AE18&gt;25,"",IF(AE18&lt;25,"")))</f>
        <v/>
      </c>
      <c r="AM18" s="115" t="str">
        <f aca="false">IF(AE18=32,AA18*AB18*AC18*AD18*(AE18/1000)*6.313*1,IF(AE18&gt;32,"",IF(AE18&lt;32,"")))</f>
        <v/>
      </c>
      <c r="AN18" s="128"/>
      <c r="AO18" s="117" t="s">
        <v>178</v>
      </c>
      <c r="AP18" s="118" t="n">
        <f aca="false">SUM(R18:Y18)+SUM(AN18)</f>
        <v>0</v>
      </c>
      <c r="AQ18" s="118" t="n">
        <f aca="false">SUM(AF18:AM18)</f>
        <v>0</v>
      </c>
      <c r="AR18" s="118"/>
      <c r="AS18" s="119" t="s">
        <v>161</v>
      </c>
      <c r="AT18" s="119" t="s">
        <v>162</v>
      </c>
    </row>
    <row r="19" customFormat="false" ht="19.4" hidden="false" customHeight="false" outlineLevel="0" collapsed="false">
      <c r="A19" s="120"/>
      <c r="B19" s="121" t="s">
        <v>179</v>
      </c>
      <c r="C19" s="110" t="n">
        <v>9</v>
      </c>
      <c r="D19" s="122" t="n">
        <f aca="false">1.2+2*0.05</f>
        <v>1.3</v>
      </c>
      <c r="E19" s="122" t="n">
        <f aca="false">1.2+2*0.05</f>
        <v>1.3</v>
      </c>
      <c r="F19" s="122" t="n">
        <v>0.1</v>
      </c>
      <c r="G19" s="123" t="n">
        <f aca="false">C19*D19*E19*F19</f>
        <v>1.521</v>
      </c>
      <c r="H19" s="101"/>
      <c r="I19" s="123" t="n">
        <f aca="false">C19*D19*E19</f>
        <v>15.21</v>
      </c>
      <c r="J19" s="101"/>
      <c r="K19" s="124"/>
      <c r="L19" s="125"/>
      <c r="M19" s="125"/>
      <c r="N19" s="126"/>
      <c r="O19" s="126"/>
      <c r="P19" s="126"/>
      <c r="Q19" s="127"/>
      <c r="R19" s="105" t="str">
        <f aca="false">IF(P19=6,N19*O19*Q19*0.222*1,IF(P19&gt;6,"",IF(P19&lt;6,"")))</f>
        <v/>
      </c>
      <c r="S19" s="106" t="str">
        <f aca="false">IF(P19=8,N19*O19*Q19*0.395*1,IF(P19&gt;8,"",IF(P19&lt;8,"")))</f>
        <v/>
      </c>
      <c r="T19" s="106" t="str">
        <f aca="false">IF(P19=10,N19*O19*Q19*0.617*1,IF(P19&gt;10,"",IF(P19&lt;10,"")))</f>
        <v/>
      </c>
      <c r="U19" s="106" t="str">
        <f aca="false">IF(P19=12,N19*O19*Q19*0.888*1,IF(P19&gt;12,"",IF(P19&lt;12,"")))</f>
        <v/>
      </c>
      <c r="V19" s="107" t="str">
        <f aca="false">IF(P19=16,N19*O19*Q19*1.578*1,IF(P19&gt;16,"",IF(P19&lt;16,"")))</f>
        <v/>
      </c>
      <c r="W19" s="106" t="str">
        <f aca="false">IF(P19=20,N19*O19*Q19*2.466*1,IF(P19&gt;20,"",IF(P19&lt;20,"")))</f>
        <v/>
      </c>
      <c r="X19" s="106" t="str">
        <f aca="false">IF(P19=25,N19*O19*Q19*3.853*1,IF(P19&gt;25,"",IF(P19&lt;25,"")))</f>
        <v/>
      </c>
      <c r="Y19" s="108" t="str">
        <f aca="false">IF(P19=32,N19*O19*Q19*6.313*1,IF(P19&gt;32,"",IF(P19&lt;32,"")))</f>
        <v/>
      </c>
      <c r="Z19" s="109"/>
      <c r="AA19" s="110" t="str">
        <f aca="false">IF(AC19&gt;0,N19,"")</f>
        <v/>
      </c>
      <c r="AB19" s="111" t="str">
        <f aca="false">IF(AC19&gt;0,O19,"")</f>
        <v/>
      </c>
      <c r="AC19" s="112"/>
      <c r="AD19" s="112"/>
      <c r="AE19" s="113" t="str">
        <f aca="false">IF(AC19&gt;0,P19,"")</f>
        <v/>
      </c>
      <c r="AF19" s="114" t="str">
        <f aca="false">IF(AE19=6,AA19*AB19*AC19*AD19*(AE19/1000)*0.222*1,IF(AE19&gt;6,"",IF(AE19&lt;6,"")))</f>
        <v/>
      </c>
      <c r="AG19" s="107" t="str">
        <f aca="false">IF(AE19=8,AA19*AB19*AC19*AD19*(AE19/1000)*0.395*1,IF(AE19&gt;8,"",IF(AE19&lt;8,"")))</f>
        <v/>
      </c>
      <c r="AH19" s="107" t="str">
        <f aca="false">IF(AE19=10,AA19*AB19*AC19*AD19*(AE19/1000)*0.617*1,IF(AE19&gt;10,"",IF(AE19&lt;10,"")))</f>
        <v/>
      </c>
      <c r="AI19" s="107" t="str">
        <f aca="false">IF(AE19=12,AA19*AB19*AC19*AD19*(AE19/1000)*0.888*1,IF(AE19&gt;12,"",IF(AE19&lt;12,"")))</f>
        <v/>
      </c>
      <c r="AJ19" s="107" t="str">
        <f aca="false">IF(AE19=16,AA19*AB19*AC19*AD19*(AE19/1000)*1.578*1,IF(AE19&gt;16,"",IF(AE19&lt;16,"")))</f>
        <v/>
      </c>
      <c r="AK19" s="107" t="str">
        <f aca="false">IF(AE19=20,AA19*AB19*AC19*AD19*(AE19/1000)*2.466*1,IF(AE19&gt;20,"",IF(AE19&lt;20,"")))</f>
        <v/>
      </c>
      <c r="AL19" s="107" t="str">
        <f aca="false">IF(AE19=25,AA19*AB19*AC19*AD19*(AE19/1000)*3.853*1,IF(AE19&gt;25,"",IF(AE19&lt;25,"")))</f>
        <v/>
      </c>
      <c r="AM19" s="115" t="str">
        <f aca="false">IF(AE19=32,AA19*AB19*AC19*AD19*(AE19/1000)*6.313*1,IF(AE19&gt;32,"",IF(AE19&lt;32,"")))</f>
        <v/>
      </c>
      <c r="AN19" s="128"/>
      <c r="AO19" s="117" t="s">
        <v>178</v>
      </c>
      <c r="AP19" s="118" t="n">
        <f aca="false">SUM(R19:Y19)+SUM(AN19)</f>
        <v>0</v>
      </c>
      <c r="AQ19" s="118" t="n">
        <f aca="false">SUM(AF19:AM19)</f>
        <v>0</v>
      </c>
      <c r="AR19" s="118"/>
      <c r="AS19" s="119" t="s">
        <v>161</v>
      </c>
      <c r="AT19" s="119" t="s">
        <v>162</v>
      </c>
    </row>
    <row r="20" customFormat="false" ht="13.5" hidden="false" customHeight="false" outlineLevel="0" collapsed="false">
      <c r="A20" s="120"/>
      <c r="B20" s="121" t="s">
        <v>180</v>
      </c>
      <c r="C20" s="110" t="n">
        <v>2</v>
      </c>
      <c r="D20" s="122" t="n">
        <f aca="false">1.4+2*0.05</f>
        <v>1.5</v>
      </c>
      <c r="E20" s="122" t="n">
        <f aca="false">0.8+2*0.05</f>
        <v>0.9</v>
      </c>
      <c r="F20" s="122" t="n">
        <v>0.1</v>
      </c>
      <c r="G20" s="123" t="n">
        <f aca="false">C20*D20*E20*F20</f>
        <v>0.27</v>
      </c>
      <c r="H20" s="101"/>
      <c r="I20" s="123" t="n">
        <f aca="false">C20*D20*E20</f>
        <v>2.7</v>
      </c>
      <c r="J20" s="101"/>
      <c r="K20" s="124"/>
      <c r="L20" s="125"/>
      <c r="M20" s="125"/>
      <c r="N20" s="126"/>
      <c r="O20" s="126"/>
      <c r="P20" s="126"/>
      <c r="Q20" s="127"/>
      <c r="R20" s="105" t="str">
        <f aca="false">IF(P20=6,N20*O20*Q20*0.222*1,IF(P20&gt;6,"",IF(P20&lt;6,"")))</f>
        <v/>
      </c>
      <c r="S20" s="106" t="str">
        <f aca="false">IF(P20=8,N20*O20*Q20*0.395*1,IF(P20&gt;8,"",IF(P20&lt;8,"")))</f>
        <v/>
      </c>
      <c r="T20" s="106" t="str">
        <f aca="false">IF(P20=10,N20*O20*Q20*0.617*1,IF(P20&gt;10,"",IF(P20&lt;10,"")))</f>
        <v/>
      </c>
      <c r="U20" s="106" t="str">
        <f aca="false">IF(P20=12,N20*O20*Q20*0.888*1,IF(P20&gt;12,"",IF(P20&lt;12,"")))</f>
        <v/>
      </c>
      <c r="V20" s="107" t="str">
        <f aca="false">IF(P20=16,N20*O20*Q20*1.578*1,IF(P20&gt;16,"",IF(P20&lt;16,"")))</f>
        <v/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str">
        <f aca="false">IF(AC20&gt;0,N20,"")</f>
        <v/>
      </c>
      <c r="AB20" s="111" t="str">
        <f aca="false">IF(AC20&gt;0,O20,"")</f>
        <v/>
      </c>
      <c r="AC20" s="112"/>
      <c r="AD20" s="112"/>
      <c r="AE20" s="113" t="str">
        <f aca="false">IF(AC20&gt;0,P20,"")</f>
        <v/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str">
        <f aca="false">IF(AE20=12,AA20*AB20*AC20*AD20*(AE20/1000)*0.888*1,IF(AE20&gt;12,"",IF(AE20&lt;12,"")))</f>
        <v/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178</v>
      </c>
      <c r="AP20" s="118" t="n">
        <f aca="false">SUM(R20:Y20)+SUM(AN20)</f>
        <v>0</v>
      </c>
      <c r="AQ20" s="118" t="n">
        <f aca="false">SUM(AF20:AM20)</f>
        <v>0</v>
      </c>
      <c r="AR20" s="118"/>
      <c r="AS20" s="119" t="s">
        <v>161</v>
      </c>
      <c r="AT20" s="119" t="s">
        <v>162</v>
      </c>
    </row>
    <row r="21" customFormat="false" ht="13.5" hidden="false" customHeight="false" outlineLevel="0" collapsed="false">
      <c r="A21" s="120"/>
      <c r="B21" s="121" t="s">
        <v>181</v>
      </c>
      <c r="C21" s="110" t="n">
        <v>1</v>
      </c>
      <c r="D21" s="122" t="n">
        <f aca="false">0.24+2*0.05</f>
        <v>0.34</v>
      </c>
      <c r="E21" s="122" t="n">
        <f aca="false">7.0887+5.3877+7.5463+1.3315+3.3468+4.2949+2.5778+3.4271+1.7234+7.5463+3.3342</f>
        <v>47.6047</v>
      </c>
      <c r="F21" s="122" t="n">
        <v>0.1</v>
      </c>
      <c r="G21" s="123" t="n">
        <f aca="false">C21*D21*E21*F21</f>
        <v>1.6185598</v>
      </c>
      <c r="H21" s="101"/>
      <c r="I21" s="123" t="n">
        <f aca="false">C21*D21*E21</f>
        <v>16.185598</v>
      </c>
      <c r="J21" s="101"/>
      <c r="K21" s="124"/>
      <c r="L21" s="125"/>
      <c r="M21" s="125"/>
      <c r="N21" s="126"/>
      <c r="O21" s="126"/>
      <c r="P21" s="126"/>
      <c r="Q21" s="127"/>
      <c r="R21" s="105" t="str">
        <f aca="false">IF(P21=6,N21*O21*Q21*0.222*1,IF(P21&gt;6,"",IF(P21&lt;6,"")))</f>
        <v/>
      </c>
      <c r="S21" s="106" t="str">
        <f aca="false">IF(P21=8,N21*O21*Q21*0.395*1,IF(P21&gt;8,"",IF(P21&lt;8,"")))</f>
        <v/>
      </c>
      <c r="T21" s="106" t="str">
        <f aca="false">IF(P21=10,N21*O21*Q21*0.617*1,IF(P21&gt;10,"",IF(P21&lt;10,"")))</f>
        <v/>
      </c>
      <c r="U21" s="106" t="str">
        <f aca="false">IF(P21=12,N21*O21*Q21*0.888*1,IF(P21&gt;12,"",IF(P21&lt;12,"")))</f>
        <v/>
      </c>
      <c r="V21" s="107" t="str">
        <f aca="false">IF(P21=16,N21*O21*Q21*1.578*1,IF(P21&gt;16,"",IF(P21&lt;16,"")))</f>
        <v/>
      </c>
      <c r="W21" s="106" t="str">
        <f aca="false">IF(P21=20,N21*O21*Q21*2.466*1,IF(P21&gt;20,"",IF(P21&lt;20,"")))</f>
        <v/>
      </c>
      <c r="X21" s="106" t="str">
        <f aca="false">IF(P21=25,N21*O21*Q21*3.853*1,IF(P21&gt;25,"",IF(P21&lt;25,"")))</f>
        <v/>
      </c>
      <c r="Y21" s="108" t="str">
        <f aca="false">IF(P21=32,N21*O21*Q21*6.313*1,IF(P21&gt;32,"",IF(P21&lt;32,"")))</f>
        <v/>
      </c>
      <c r="Z21" s="109"/>
      <c r="AA21" s="110" t="str">
        <f aca="false">IF(AC21&gt;0,N21,"")</f>
        <v/>
      </c>
      <c r="AB21" s="111" t="str">
        <f aca="false">IF(AC21&gt;0,O21,"")</f>
        <v/>
      </c>
      <c r="AC21" s="112"/>
      <c r="AD21" s="112"/>
      <c r="AE21" s="113" t="str">
        <f aca="false">IF(AC21&gt;0,P21,"")</f>
        <v/>
      </c>
      <c r="AF21" s="114" t="str">
        <f aca="false">IF(AE21=6,AA21*AB21*AC21*AD21*(AE21/1000)*0.222*1,IF(AE21&gt;6,"",IF(AE21&lt;6,"")))</f>
        <v/>
      </c>
      <c r="AG21" s="107" t="str">
        <f aca="false">IF(AE21=8,AA21*AB21*AC21*AD21*(AE21/1000)*0.395*1,IF(AE21&gt;8,"",IF(AE21&lt;8,"")))</f>
        <v/>
      </c>
      <c r="AH21" s="107" t="str">
        <f aca="false">IF(AE21=10,AA21*AB21*AC21*AD21*(AE21/1000)*0.617*1,IF(AE21&gt;10,"",IF(AE21&lt;10,"")))</f>
        <v/>
      </c>
      <c r="AI21" s="107" t="str">
        <f aca="false">IF(AE21=12,AA21*AB21*AC21*AD21*(AE21/1000)*0.888*1,IF(AE21&gt;12,"",IF(AE21&lt;12,"")))</f>
        <v/>
      </c>
      <c r="AJ21" s="107" t="str">
        <f aca="false">IF(AE21=16,AA21*AB21*AC21*AD21*(AE21/1000)*1.578*1,IF(AE21&gt;16,"",IF(AE21&lt;16,"")))</f>
        <v/>
      </c>
      <c r="AK21" s="107" t="str">
        <f aca="false">IF(AE21=20,AA21*AB21*AC21*AD21*(AE21/1000)*2.466*1,IF(AE21&gt;20,"",IF(AE21&lt;20,"")))</f>
        <v/>
      </c>
      <c r="AL21" s="107" t="str">
        <f aca="false">IF(AE21=25,AA21*AB21*AC21*AD21*(AE21/1000)*3.853*1,IF(AE21&gt;25,"",IF(AE21&lt;25,"")))</f>
        <v/>
      </c>
      <c r="AM21" s="115" t="str">
        <f aca="false">IF(AE21=32,AA21*AB21*AC21*AD21*(AE21/1000)*6.313*1,IF(AE21&gt;32,"",IF(AE21&lt;32,"")))</f>
        <v/>
      </c>
      <c r="AN21" s="128"/>
      <c r="AO21" s="117" t="s">
        <v>178</v>
      </c>
      <c r="AP21" s="118" t="n">
        <f aca="false">SUM(R21:Y21)+SUM(AN21)</f>
        <v>0</v>
      </c>
      <c r="AQ21" s="118" t="n">
        <f aca="false">SUM(AF21:AM21)</f>
        <v>0</v>
      </c>
      <c r="AR21" s="118"/>
      <c r="AS21" s="119" t="s">
        <v>182</v>
      </c>
      <c r="AT21" s="119" t="s">
        <v>162</v>
      </c>
    </row>
    <row r="22" customFormat="false" ht="19.4" hidden="false" customHeight="false" outlineLevel="0" collapsed="false">
      <c r="A22" s="96"/>
      <c r="B22" s="97" t="s">
        <v>183</v>
      </c>
      <c r="C22" s="98"/>
      <c r="D22" s="99"/>
      <c r="E22" s="99"/>
      <c r="F22" s="99"/>
      <c r="G22" s="100"/>
      <c r="H22" s="101"/>
      <c r="I22" s="100"/>
      <c r="J22" s="101"/>
      <c r="K22" s="102"/>
      <c r="L22" s="103"/>
      <c r="M22" s="103"/>
      <c r="N22" s="104"/>
      <c r="O22" s="104"/>
      <c r="P22" s="104"/>
      <c r="Q22" s="100"/>
      <c r="R22" s="105"/>
      <c r="S22" s="106"/>
      <c r="T22" s="106"/>
      <c r="U22" s="106"/>
      <c r="V22" s="107"/>
      <c r="W22" s="106"/>
      <c r="X22" s="106"/>
      <c r="Y22" s="108"/>
      <c r="Z22" s="109"/>
      <c r="AA22" s="110"/>
      <c r="AB22" s="111"/>
      <c r="AC22" s="112"/>
      <c r="AD22" s="112"/>
      <c r="AE22" s="113"/>
      <c r="AF22" s="114"/>
      <c r="AG22" s="107"/>
      <c r="AH22" s="107"/>
      <c r="AI22" s="107"/>
      <c r="AJ22" s="107"/>
      <c r="AK22" s="107"/>
      <c r="AL22" s="107"/>
      <c r="AM22" s="115"/>
      <c r="AO22" s="117"/>
      <c r="AP22" s="118"/>
      <c r="AQ22" s="118"/>
      <c r="AR22" s="118"/>
      <c r="AS22" s="119"/>
      <c r="AT22" s="119"/>
    </row>
    <row r="23" customFormat="false" ht="13.5" hidden="false" customHeight="false" outlineLevel="0" collapsed="false">
      <c r="A23" s="120"/>
      <c r="B23" s="121" t="s">
        <v>184</v>
      </c>
      <c r="C23" s="110" t="n">
        <v>1</v>
      </c>
      <c r="D23" s="122" t="n">
        <f aca="false">1.1+2*0.05</f>
        <v>1.2</v>
      </c>
      <c r="E23" s="122" t="n">
        <f aca="false">1.1+2*0.05</f>
        <v>1.2</v>
      </c>
      <c r="F23" s="122" t="n">
        <v>0.1</v>
      </c>
      <c r="G23" s="123" t="n">
        <f aca="false">C23*D23*E23*F23</f>
        <v>0.144</v>
      </c>
      <c r="H23" s="101"/>
      <c r="I23" s="123" t="n">
        <f aca="false">C23*D23*E23</f>
        <v>1.44</v>
      </c>
      <c r="J23" s="101"/>
      <c r="K23" s="124"/>
      <c r="L23" s="125"/>
      <c r="M23" s="125"/>
      <c r="N23" s="126"/>
      <c r="O23" s="126"/>
      <c r="P23" s="126"/>
      <c r="Q23" s="127"/>
      <c r="R23" s="105" t="str">
        <f aca="false">IF(P23=6,N23*O23*Q23*0.222*1,IF(P23&gt;6,"",IF(P23&lt;6,"")))</f>
        <v/>
      </c>
      <c r="S23" s="106" t="str">
        <f aca="false">IF(P23=8,N23*O23*Q23*0.395*1,IF(P23&gt;8,"",IF(P23&lt;8,"")))</f>
        <v/>
      </c>
      <c r="T23" s="106" t="str">
        <f aca="false">IF(P23=10,N23*O23*Q23*0.617*1,IF(P23&gt;10,"",IF(P23&lt;10,"")))</f>
        <v/>
      </c>
      <c r="U23" s="106" t="str">
        <f aca="false">IF(P23=12,N23*O23*Q23*0.888*1,IF(P23&gt;12,"",IF(P23&lt;12,"")))</f>
        <v/>
      </c>
      <c r="V23" s="107" t="str">
        <f aca="false">IF(P23=16,N23*O23*Q23*1.578*1,IF(P23&gt;16,"",IF(P23&lt;16,"")))</f>
        <v/>
      </c>
      <c r="W23" s="106" t="str">
        <f aca="false">IF(P23=20,N23*O23*Q23*2.466*1,IF(P23&gt;20,"",IF(P23&lt;20,"")))</f>
        <v/>
      </c>
      <c r="X23" s="106" t="str">
        <f aca="false">IF(P23=25,N23*O23*Q23*3.853*1,IF(P23&gt;25,"",IF(P23&lt;25,"")))</f>
        <v/>
      </c>
      <c r="Y23" s="108" t="str">
        <f aca="false">IF(P23=32,N23*O23*Q23*6.313*1,IF(P23&gt;32,"",IF(P23&lt;32,"")))</f>
        <v/>
      </c>
      <c r="Z23" s="109"/>
      <c r="AA23" s="110" t="str">
        <f aca="false">IF(AC23&gt;0,N23,"")</f>
        <v/>
      </c>
      <c r="AB23" s="111" t="str">
        <f aca="false">IF(AC23&gt;0,O23,"")</f>
        <v/>
      </c>
      <c r="AC23" s="112"/>
      <c r="AD23" s="112"/>
      <c r="AE23" s="113" t="str">
        <f aca="false">IF(AC23&gt;0,P23,"")</f>
        <v/>
      </c>
      <c r="AF23" s="114" t="str">
        <f aca="false">IF(AE23=6,AA23*AB23*AC23*AD23*(AE23/1000)*0.222*1,IF(AE23&gt;6,"",IF(AE23&lt;6,"")))</f>
        <v/>
      </c>
      <c r="AG23" s="107" t="str">
        <f aca="false">IF(AE23=8,AA23*AB23*AC23*AD23*(AE23/1000)*0.395*1,IF(AE23&gt;8,"",IF(AE23&lt;8,"")))</f>
        <v/>
      </c>
      <c r="AH23" s="107" t="str">
        <f aca="false">IF(AE23=10,AA23*AB23*AC23*AD23*(AE23/1000)*0.617*1,IF(AE23&gt;10,"",IF(AE23&lt;10,"")))</f>
        <v/>
      </c>
      <c r="AI23" s="107" t="str">
        <f aca="false">IF(AE23=12,AA23*AB23*AC23*AD23*(AE23/1000)*0.888*1,IF(AE23&gt;12,"",IF(AE23&lt;12,"")))</f>
        <v/>
      </c>
      <c r="AJ23" s="107" t="str">
        <f aca="false">IF(AE23=16,AA23*AB23*AC23*AD23*(AE23/1000)*1.578*1,IF(AE23&gt;16,"",IF(AE23&lt;16,"")))</f>
        <v/>
      </c>
      <c r="AK23" s="107" t="str">
        <f aca="false">IF(AE23=20,AA23*AB23*AC23*AD23*(AE23/1000)*2.466*1,IF(AE23&gt;20,"",IF(AE23&lt;20,"")))</f>
        <v/>
      </c>
      <c r="AL23" s="107" t="str">
        <f aca="false">IF(AE23=25,AA23*AB23*AC23*AD23*(AE23/1000)*3.853*1,IF(AE23&gt;25,"",IF(AE23&lt;25,"")))</f>
        <v/>
      </c>
      <c r="AM23" s="115" t="str">
        <f aca="false">IF(AE23=32,AA23*AB23*AC23*AD23*(AE23/1000)*6.313*1,IF(AE23&gt;32,"",IF(AE23&lt;32,"")))</f>
        <v/>
      </c>
      <c r="AN23" s="128"/>
      <c r="AO23" s="117" t="s">
        <v>185</v>
      </c>
      <c r="AP23" s="118" t="n">
        <f aca="false">SUM(R23:Y23)+SUM(AN23)</f>
        <v>0</v>
      </c>
      <c r="AQ23" s="118" t="n">
        <f aca="false">SUM(AF23:AM23)</f>
        <v>0</v>
      </c>
      <c r="AR23" s="118"/>
      <c r="AS23" s="119" t="s">
        <v>161</v>
      </c>
      <c r="AT23" s="119" t="s">
        <v>162</v>
      </c>
    </row>
    <row r="24" customFormat="false" ht="19.4" hidden="false" customHeight="false" outlineLevel="0" collapsed="false">
      <c r="A24" s="96"/>
      <c r="B24" s="97" t="s">
        <v>186</v>
      </c>
      <c r="C24" s="98"/>
      <c r="D24" s="99"/>
      <c r="E24" s="99"/>
      <c r="F24" s="99"/>
      <c r="G24" s="100"/>
      <c r="H24" s="101"/>
      <c r="I24" s="100"/>
      <c r="J24" s="101"/>
      <c r="K24" s="102"/>
      <c r="L24" s="103"/>
      <c r="M24" s="103"/>
      <c r="N24" s="104"/>
      <c r="O24" s="104"/>
      <c r="P24" s="104"/>
      <c r="Q24" s="100"/>
      <c r="R24" s="105"/>
      <c r="S24" s="106"/>
      <c r="T24" s="106"/>
      <c r="U24" s="106"/>
      <c r="V24" s="107"/>
      <c r="W24" s="106"/>
      <c r="X24" s="106"/>
      <c r="Y24" s="108"/>
      <c r="Z24" s="109"/>
      <c r="AA24" s="110"/>
      <c r="AB24" s="111"/>
      <c r="AC24" s="112"/>
      <c r="AD24" s="112"/>
      <c r="AE24" s="113"/>
      <c r="AF24" s="114"/>
      <c r="AG24" s="107"/>
      <c r="AH24" s="107"/>
      <c r="AI24" s="107"/>
      <c r="AJ24" s="107"/>
      <c r="AK24" s="107"/>
      <c r="AL24" s="107"/>
      <c r="AM24" s="115"/>
      <c r="AO24" s="117"/>
      <c r="AP24" s="118"/>
      <c r="AQ24" s="118"/>
      <c r="AR24" s="118"/>
      <c r="AS24" s="119"/>
      <c r="AT24" s="119"/>
    </row>
    <row r="25" customFormat="false" ht="13.5" hidden="false" customHeight="false" outlineLevel="0" collapsed="false">
      <c r="A25" s="120"/>
      <c r="B25" s="121" t="s">
        <v>187</v>
      </c>
      <c r="C25" s="110" t="n">
        <v>1</v>
      </c>
      <c r="D25" s="122" t="n">
        <f aca="false">3.15+2*0.05</f>
        <v>3.25</v>
      </c>
      <c r="E25" s="122" t="n">
        <f aca="false">2.74+2*0.05</f>
        <v>2.84</v>
      </c>
      <c r="F25" s="122" t="n">
        <v>0.1</v>
      </c>
      <c r="G25" s="123" t="n">
        <f aca="false">C25*D25*E25*F25</f>
        <v>0.923</v>
      </c>
      <c r="H25" s="101"/>
      <c r="I25" s="123" t="n">
        <f aca="false">C25*D25*E25</f>
        <v>9.23</v>
      </c>
      <c r="J25" s="101"/>
      <c r="K25" s="124"/>
      <c r="L25" s="125"/>
      <c r="M25" s="125"/>
      <c r="N25" s="126"/>
      <c r="O25" s="126"/>
      <c r="P25" s="126"/>
      <c r="Q25" s="127"/>
      <c r="R25" s="105" t="str">
        <f aca="false">IF(P25=6,N25*O25*Q25*0.222*1,IF(P25&gt;6,"",IF(P25&lt;6,"")))</f>
        <v/>
      </c>
      <c r="S25" s="106" t="str">
        <f aca="false">IF(P25=8,N25*O25*Q25*0.395*1,IF(P25&gt;8,"",IF(P25&lt;8,"")))</f>
        <v/>
      </c>
      <c r="T25" s="106" t="str">
        <f aca="false">IF(P25=10,N25*O25*Q25*0.617*1,IF(P25&gt;10,"",IF(P25&lt;10,"")))</f>
        <v/>
      </c>
      <c r="U25" s="106" t="str">
        <f aca="false">IF(P25=12,N25*O25*Q25*0.888*1,IF(P25&gt;12,"",IF(P25&lt;12,"")))</f>
        <v/>
      </c>
      <c r="V25" s="107" t="str">
        <f aca="false">IF(P25=16,N25*O25*Q25*1.578*1,IF(P25&gt;16,"",IF(P25&lt;16,"")))</f>
        <v/>
      </c>
      <c r="W25" s="106" t="str">
        <f aca="false">IF(P25=20,N25*O25*Q25*2.466*1,IF(P25&gt;20,"",IF(P25&lt;20,"")))</f>
        <v/>
      </c>
      <c r="X25" s="106" t="str">
        <f aca="false">IF(P25=25,N25*O25*Q25*3.853*1,IF(P25&gt;25,"",IF(P25&lt;25,"")))</f>
        <v/>
      </c>
      <c r="Y25" s="108" t="str">
        <f aca="false">IF(P25=32,N25*O25*Q25*6.313*1,IF(P25&gt;32,"",IF(P25&lt;32,"")))</f>
        <v/>
      </c>
      <c r="Z25" s="109"/>
      <c r="AA25" s="110" t="str">
        <f aca="false">IF(AC25&gt;0,N25,"")</f>
        <v/>
      </c>
      <c r="AB25" s="111" t="str">
        <f aca="false">IF(AC25&gt;0,O25,"")</f>
        <v/>
      </c>
      <c r="AC25" s="112"/>
      <c r="AD25" s="112"/>
      <c r="AE25" s="113" t="str">
        <f aca="false">IF(AC25&gt;0,P25,"")</f>
        <v/>
      </c>
      <c r="AF25" s="114" t="str">
        <f aca="false">IF(AE25=6,AA25*AB25*AC25*AD25*(AE25/1000)*0.222*1,IF(AE25&gt;6,"",IF(AE25&lt;6,"")))</f>
        <v/>
      </c>
      <c r="AG25" s="107" t="str">
        <f aca="false">IF(AE25=8,AA25*AB25*AC25*AD25*(AE25/1000)*0.395*1,IF(AE25&gt;8,"",IF(AE25&lt;8,"")))</f>
        <v/>
      </c>
      <c r="AH25" s="107" t="str">
        <f aca="false">IF(AE25=10,AA25*AB25*AC25*AD25*(AE25/1000)*0.617*1,IF(AE25&gt;10,"",IF(AE25&lt;10,"")))</f>
        <v/>
      </c>
      <c r="AI25" s="107" t="str">
        <f aca="false">IF(AE25=12,AA25*AB25*AC25*AD25*(AE25/1000)*0.888*1,IF(AE25&gt;12,"",IF(AE25&lt;12,"")))</f>
        <v/>
      </c>
      <c r="AJ25" s="107" t="str">
        <f aca="false">IF(AE25=16,AA25*AB25*AC25*AD25*(AE25/1000)*1.578*1,IF(AE25&gt;16,"",IF(AE25&lt;16,"")))</f>
        <v/>
      </c>
      <c r="AK25" s="107" t="str">
        <f aca="false">IF(AE25=20,AA25*AB25*AC25*AD25*(AE25/1000)*2.466*1,IF(AE25&gt;20,"",IF(AE25&lt;20,"")))</f>
        <v/>
      </c>
      <c r="AL25" s="107" t="str">
        <f aca="false">IF(AE25=25,AA25*AB25*AC25*AD25*(AE25/1000)*3.853*1,IF(AE25&gt;25,"",IF(AE25&lt;25,"")))</f>
        <v/>
      </c>
      <c r="AM25" s="115" t="str">
        <f aca="false">IF(AE25=32,AA25*AB25*AC25*AD25*(AE25/1000)*6.313*1,IF(AE25&gt;32,"",IF(AE25&lt;32,"")))</f>
        <v/>
      </c>
      <c r="AN25" s="128"/>
      <c r="AO25" s="117" t="s">
        <v>188</v>
      </c>
      <c r="AP25" s="118" t="n">
        <f aca="false">SUM(R25:Y25)+SUM(AN25)</f>
        <v>0</v>
      </c>
      <c r="AQ25" s="118" t="n">
        <f aca="false">SUM(AF25:AM25)</f>
        <v>0</v>
      </c>
      <c r="AR25" s="118"/>
      <c r="AS25" s="119" t="s">
        <v>161</v>
      </c>
      <c r="AT25" s="119" t="s">
        <v>162</v>
      </c>
    </row>
    <row r="26" customFormat="false" ht="19.4" hidden="false" customHeight="false" outlineLevel="0" collapsed="false">
      <c r="A26" s="96"/>
      <c r="B26" s="97" t="s">
        <v>189</v>
      </c>
      <c r="C26" s="98"/>
      <c r="D26" s="99"/>
      <c r="E26" s="99"/>
      <c r="F26" s="99"/>
      <c r="G26" s="100"/>
      <c r="H26" s="101"/>
      <c r="I26" s="100"/>
      <c r="J26" s="101"/>
      <c r="K26" s="102"/>
      <c r="L26" s="103"/>
      <c r="M26" s="103"/>
      <c r="N26" s="104"/>
      <c r="O26" s="104"/>
      <c r="P26" s="104"/>
      <c r="Q26" s="100"/>
      <c r="R26" s="105"/>
      <c r="S26" s="106"/>
      <c r="T26" s="106"/>
      <c r="U26" s="106"/>
      <c r="V26" s="107"/>
      <c r="W26" s="106"/>
      <c r="X26" s="106"/>
      <c r="Y26" s="108"/>
      <c r="Z26" s="109"/>
      <c r="AA26" s="110"/>
      <c r="AB26" s="111"/>
      <c r="AC26" s="112"/>
      <c r="AD26" s="112"/>
      <c r="AE26" s="113"/>
      <c r="AF26" s="114"/>
      <c r="AG26" s="107"/>
      <c r="AH26" s="107"/>
      <c r="AI26" s="107"/>
      <c r="AJ26" s="107"/>
      <c r="AK26" s="107"/>
      <c r="AL26" s="107"/>
      <c r="AM26" s="115"/>
      <c r="AO26" s="117"/>
      <c r="AP26" s="118"/>
      <c r="AQ26" s="118"/>
      <c r="AR26" s="118"/>
      <c r="AS26" s="119"/>
      <c r="AT26" s="119"/>
    </row>
    <row r="27" customFormat="false" ht="13.5" hidden="false" customHeight="false" outlineLevel="0" collapsed="false">
      <c r="A27" s="120"/>
      <c r="B27" s="121" t="s">
        <v>190</v>
      </c>
      <c r="C27" s="110" t="n">
        <v>1</v>
      </c>
      <c r="D27" s="122" t="n">
        <f aca="false">1.6965/(1.45*0.5)+2*0.05</f>
        <v>2.44</v>
      </c>
      <c r="E27" s="122" t="n">
        <f aca="false">1.45+2*0.05</f>
        <v>1.55</v>
      </c>
      <c r="F27" s="122" t="n">
        <v>0.1</v>
      </c>
      <c r="G27" s="123" t="n">
        <f aca="false">C27*D27*E27*F27</f>
        <v>0.3782</v>
      </c>
      <c r="H27" s="101"/>
      <c r="I27" s="123" t="n">
        <f aca="false">C27*D27*E27</f>
        <v>3.782</v>
      </c>
      <c r="J27" s="101"/>
      <c r="K27" s="124"/>
      <c r="L27" s="125"/>
      <c r="M27" s="125"/>
      <c r="N27" s="126"/>
      <c r="O27" s="126"/>
      <c r="P27" s="126"/>
      <c r="Q27" s="127"/>
      <c r="R27" s="105" t="str">
        <f aca="false">IF(P27=6,N27*O27*Q27*0.222*1,IF(P27&gt;6,"",IF(P27&lt;6,"")))</f>
        <v/>
      </c>
      <c r="S27" s="106" t="str">
        <f aca="false">IF(P27=8,N27*O27*Q27*0.395*1,IF(P27&gt;8,"",IF(P27&lt;8,"")))</f>
        <v/>
      </c>
      <c r="T27" s="106" t="str">
        <f aca="false">IF(P27=10,N27*O27*Q27*0.617*1,IF(P27&gt;10,"",IF(P27&lt;10,"")))</f>
        <v/>
      </c>
      <c r="U27" s="106" t="str">
        <f aca="false">IF(P27=12,N27*O27*Q27*0.888*1,IF(P27&gt;12,"",IF(P27&lt;12,"")))</f>
        <v/>
      </c>
      <c r="V27" s="107" t="str">
        <f aca="false">IF(P27=16,N27*O27*Q27*1.578*1,IF(P27&gt;16,"",IF(P27&lt;16,"")))</f>
        <v/>
      </c>
      <c r="W27" s="106" t="str">
        <f aca="false">IF(P27=20,N27*O27*Q27*2.466*1,IF(P27&gt;20,"",IF(P27&lt;20,"")))</f>
        <v/>
      </c>
      <c r="X27" s="106" t="str">
        <f aca="false">IF(P27=25,N27*O27*Q27*3.853*1,IF(P27&gt;25,"",IF(P27&lt;25,"")))</f>
        <v/>
      </c>
      <c r="Y27" s="108" t="str">
        <f aca="false">IF(P27=32,N27*O27*Q27*6.313*1,IF(P27&gt;32,"",IF(P27&lt;32,"")))</f>
        <v/>
      </c>
      <c r="Z27" s="109"/>
      <c r="AA27" s="110" t="str">
        <f aca="false">IF(AC27&gt;0,N27,"")</f>
        <v/>
      </c>
      <c r="AB27" s="111" t="str">
        <f aca="false">IF(AC27&gt;0,O27,"")</f>
        <v/>
      </c>
      <c r="AC27" s="112"/>
      <c r="AD27" s="112"/>
      <c r="AE27" s="113" t="str">
        <f aca="false">IF(AC27&gt;0,P27,"")</f>
        <v/>
      </c>
      <c r="AF27" s="114" t="str">
        <f aca="false">IF(AE27=6,AA27*AB27*AC27*AD27*(AE27/1000)*0.222*1,IF(AE27&gt;6,"",IF(AE27&lt;6,"")))</f>
        <v/>
      </c>
      <c r="AG27" s="107" t="str">
        <f aca="false">IF(AE27=8,AA27*AB27*AC27*AD27*(AE27/1000)*0.395*1,IF(AE27&gt;8,"",IF(AE27&lt;8,"")))</f>
        <v/>
      </c>
      <c r="AH27" s="107" t="str">
        <f aca="false">IF(AE27=10,AA27*AB27*AC27*AD27*(AE27/1000)*0.617*1,IF(AE27&gt;10,"",IF(AE27&lt;10,"")))</f>
        <v/>
      </c>
      <c r="AI27" s="107" t="str">
        <f aca="false">IF(AE27=12,AA27*AB27*AC27*AD27*(AE27/1000)*0.888*1,IF(AE27&gt;12,"",IF(AE27&lt;12,"")))</f>
        <v/>
      </c>
      <c r="AJ27" s="107" t="str">
        <f aca="false">IF(AE27=16,AA27*AB27*AC27*AD27*(AE27/1000)*1.578*1,IF(AE27&gt;16,"",IF(AE27&lt;16,"")))</f>
        <v/>
      </c>
      <c r="AK27" s="107" t="str">
        <f aca="false">IF(AE27=20,AA27*AB27*AC27*AD27*(AE27/1000)*2.466*1,IF(AE27&gt;20,"",IF(AE27&lt;20,"")))</f>
        <v/>
      </c>
      <c r="AL27" s="107" t="str">
        <f aca="false">IF(AE27=25,AA27*AB27*AC27*AD27*(AE27/1000)*3.853*1,IF(AE27&gt;25,"",IF(AE27&lt;25,"")))</f>
        <v/>
      </c>
      <c r="AM27" s="115" t="str">
        <f aca="false">IF(AE27=32,AA27*AB27*AC27*AD27*(AE27/1000)*6.313*1,IF(AE27&gt;32,"",IF(AE27&lt;32,"")))</f>
        <v/>
      </c>
      <c r="AN27" s="128"/>
      <c r="AO27" s="117" t="s">
        <v>191</v>
      </c>
      <c r="AP27" s="118" t="n">
        <f aca="false">SUM(R27:Y27)+SUM(AN27)</f>
        <v>0</v>
      </c>
      <c r="AQ27" s="118" t="n">
        <f aca="false">SUM(AF27:AM27)</f>
        <v>0</v>
      </c>
      <c r="AR27" s="118"/>
      <c r="AS27" s="119" t="s">
        <v>192</v>
      </c>
      <c r="AT27" s="119" t="s">
        <v>162</v>
      </c>
    </row>
    <row r="28" customFormat="false" ht="13.5" hidden="false" customHeight="false" outlineLevel="0" collapsed="false">
      <c r="A28" s="120"/>
      <c r="B28" s="121" t="s">
        <v>193</v>
      </c>
      <c r="C28" s="110" t="n">
        <v>1</v>
      </c>
      <c r="D28" s="122" t="n">
        <f aca="false">2.8275/(1.45*0.5)+2*0.05</f>
        <v>4</v>
      </c>
      <c r="E28" s="122" t="n">
        <f aca="false">1.45+2*0.05</f>
        <v>1.55</v>
      </c>
      <c r="F28" s="122" t="n">
        <v>0.1</v>
      </c>
      <c r="G28" s="123" t="n">
        <f aca="false">C28*D28*E28*F28</f>
        <v>0.62</v>
      </c>
      <c r="H28" s="101"/>
      <c r="I28" s="123" t="n">
        <f aca="false">C28*D28*E28</f>
        <v>6.2</v>
      </c>
      <c r="J28" s="101"/>
      <c r="K28" s="124"/>
      <c r="L28" s="125"/>
      <c r="M28" s="125"/>
      <c r="N28" s="126"/>
      <c r="O28" s="126"/>
      <c r="P28" s="126"/>
      <c r="Q28" s="127"/>
      <c r="R28" s="105" t="str">
        <f aca="false">IF(P28=6,N28*O28*Q28*0.222*1,IF(P28&gt;6,"",IF(P28&lt;6,"")))</f>
        <v/>
      </c>
      <c r="S28" s="106" t="str">
        <f aca="false">IF(P28=8,N28*O28*Q28*0.395*1,IF(P28&gt;8,"",IF(P28&lt;8,"")))</f>
        <v/>
      </c>
      <c r="T28" s="106" t="str">
        <f aca="false">IF(P28=10,N28*O28*Q28*0.617*1,IF(P28&gt;10,"",IF(P28&lt;10,"")))</f>
        <v/>
      </c>
      <c r="U28" s="106" t="str">
        <f aca="false">IF(P28=12,N28*O28*Q28*0.888*1,IF(P28&gt;12,"",IF(P28&lt;12,"")))</f>
        <v/>
      </c>
      <c r="V28" s="107" t="str">
        <f aca="false">IF(P28=16,N28*O28*Q28*1.578*1,IF(P28&gt;16,"",IF(P28&lt;16,"")))</f>
        <v/>
      </c>
      <c r="W28" s="106" t="str">
        <f aca="false">IF(P28=20,N28*O28*Q28*2.466*1,IF(P28&gt;20,"",IF(P28&lt;20,"")))</f>
        <v/>
      </c>
      <c r="X28" s="106" t="str">
        <f aca="false">IF(P28=25,N28*O28*Q28*3.853*1,IF(P28&gt;25,"",IF(P28&lt;25,"")))</f>
        <v/>
      </c>
      <c r="Y28" s="108" t="str">
        <f aca="false">IF(P28=32,N28*O28*Q28*6.313*1,IF(P28&gt;32,"",IF(P28&lt;32,"")))</f>
        <v/>
      </c>
      <c r="Z28" s="109"/>
      <c r="AA28" s="110" t="str">
        <f aca="false">IF(AC28&gt;0,N28,"")</f>
        <v/>
      </c>
      <c r="AB28" s="111" t="str">
        <f aca="false">IF(AC28&gt;0,O28,"")</f>
        <v/>
      </c>
      <c r="AC28" s="112"/>
      <c r="AD28" s="112"/>
      <c r="AE28" s="113" t="str">
        <f aca="false">IF(AC28&gt;0,P28,"")</f>
        <v/>
      </c>
      <c r="AF28" s="114" t="str">
        <f aca="false">IF(AE28=6,AA28*AB28*AC28*AD28*(AE28/1000)*0.222*1,IF(AE28&gt;6,"",IF(AE28&lt;6,"")))</f>
        <v/>
      </c>
      <c r="AG28" s="107" t="str">
        <f aca="false">IF(AE28=8,AA28*AB28*AC28*AD28*(AE28/1000)*0.395*1,IF(AE28&gt;8,"",IF(AE28&lt;8,"")))</f>
        <v/>
      </c>
      <c r="AH28" s="107" t="str">
        <f aca="false">IF(AE28=10,AA28*AB28*AC28*AD28*(AE28/1000)*0.617*1,IF(AE28&gt;10,"",IF(AE28&lt;10,"")))</f>
        <v/>
      </c>
      <c r="AI28" s="107" t="str">
        <f aca="false">IF(AE28=12,AA28*AB28*AC28*AD28*(AE28/1000)*0.888*1,IF(AE28&gt;12,"",IF(AE28&lt;12,"")))</f>
        <v/>
      </c>
      <c r="AJ28" s="107" t="str">
        <f aca="false">IF(AE28=16,AA28*AB28*AC28*AD28*(AE28/1000)*1.578*1,IF(AE28&gt;16,"",IF(AE28&lt;16,"")))</f>
        <v/>
      </c>
      <c r="AK28" s="107" t="str">
        <f aca="false">IF(AE28=20,AA28*AB28*AC28*AD28*(AE28/1000)*2.466*1,IF(AE28&gt;20,"",IF(AE28&lt;20,"")))</f>
        <v/>
      </c>
      <c r="AL28" s="107" t="str">
        <f aca="false">IF(AE28=25,AA28*AB28*AC28*AD28*(AE28/1000)*3.853*1,IF(AE28&gt;25,"",IF(AE28&lt;25,"")))</f>
        <v/>
      </c>
      <c r="AM28" s="115" t="str">
        <f aca="false">IF(AE28=32,AA28*AB28*AC28*AD28*(AE28/1000)*6.313*1,IF(AE28&gt;32,"",IF(AE28&lt;32,"")))</f>
        <v/>
      </c>
      <c r="AN28" s="128"/>
      <c r="AO28" s="117" t="s">
        <v>191</v>
      </c>
      <c r="AP28" s="118" t="n">
        <f aca="false">SUM(R28:Y28)+SUM(AN28)</f>
        <v>0</v>
      </c>
      <c r="AQ28" s="118" t="n">
        <f aca="false">SUM(AF28:AM28)</f>
        <v>0</v>
      </c>
      <c r="AR28" s="118"/>
      <c r="AS28" s="119" t="s">
        <v>192</v>
      </c>
      <c r="AT28" s="119" t="s">
        <v>162</v>
      </c>
    </row>
    <row r="29" customFormat="false" ht="13.5" hidden="false" customHeight="false" outlineLevel="0" collapsed="false">
      <c r="A29" s="120"/>
      <c r="B29" s="121" t="s">
        <v>194</v>
      </c>
      <c r="C29" s="110" t="n">
        <v>1</v>
      </c>
      <c r="D29" s="122" t="n">
        <f aca="false">2.415/(1.15*0.5)+2*0.05</f>
        <v>4.3</v>
      </c>
      <c r="E29" s="122" t="n">
        <f aca="false">1.15+2*0.05</f>
        <v>1.25</v>
      </c>
      <c r="F29" s="122" t="n">
        <v>0.1</v>
      </c>
      <c r="G29" s="123" t="n">
        <f aca="false">C29*D29*E29*F29</f>
        <v>0.5375</v>
      </c>
      <c r="H29" s="101"/>
      <c r="I29" s="123" t="n">
        <f aca="false">C29*D29*E29</f>
        <v>5.375</v>
      </c>
      <c r="J29" s="101"/>
      <c r="K29" s="124"/>
      <c r="L29" s="125"/>
      <c r="M29" s="125"/>
      <c r="N29" s="126"/>
      <c r="O29" s="126"/>
      <c r="P29" s="126"/>
      <c r="Q29" s="127"/>
      <c r="R29" s="105" t="str">
        <f aca="false">IF(P29=6,N29*O29*Q29*0.222*1,IF(P29&gt;6,"",IF(P29&lt;6,"")))</f>
        <v/>
      </c>
      <c r="S29" s="106" t="str">
        <f aca="false">IF(P29=8,N29*O29*Q29*0.395*1,IF(P29&gt;8,"",IF(P29&lt;8,"")))</f>
        <v/>
      </c>
      <c r="T29" s="106" t="str">
        <f aca="false">IF(P29=10,N29*O29*Q29*0.617*1,IF(P29&gt;10,"",IF(P29&lt;10,"")))</f>
        <v/>
      </c>
      <c r="U29" s="106" t="str">
        <f aca="false">IF(P29=12,N29*O29*Q29*0.888*1,IF(P29&gt;12,"",IF(P29&lt;12,"")))</f>
        <v/>
      </c>
      <c r="V29" s="107" t="str">
        <f aca="false">IF(P29=16,N29*O29*Q29*1.578*1,IF(P29&gt;16,"",IF(P29&lt;16,"")))</f>
        <v/>
      </c>
      <c r="W29" s="106" t="str">
        <f aca="false">IF(P29=20,N29*O29*Q29*2.466*1,IF(P29&gt;20,"",IF(P29&lt;20,"")))</f>
        <v/>
      </c>
      <c r="X29" s="106" t="str">
        <f aca="false">IF(P29=25,N29*O29*Q29*3.853*1,IF(P29&gt;25,"",IF(P29&lt;25,"")))</f>
        <v/>
      </c>
      <c r="Y29" s="108" t="str">
        <f aca="false">IF(P29=32,N29*O29*Q29*6.313*1,IF(P29&gt;32,"",IF(P29&lt;32,"")))</f>
        <v/>
      </c>
      <c r="Z29" s="109"/>
      <c r="AA29" s="110" t="str">
        <f aca="false">IF(AC29&gt;0,N29,"")</f>
        <v/>
      </c>
      <c r="AB29" s="111" t="str">
        <f aca="false">IF(AC29&gt;0,O29,"")</f>
        <v/>
      </c>
      <c r="AC29" s="112"/>
      <c r="AD29" s="112"/>
      <c r="AE29" s="113" t="str">
        <f aca="false">IF(AC29&gt;0,P29,"")</f>
        <v/>
      </c>
      <c r="AF29" s="114" t="str">
        <f aca="false">IF(AE29=6,AA29*AB29*AC29*AD29*(AE29/1000)*0.222*1,IF(AE29&gt;6,"",IF(AE29&lt;6,"")))</f>
        <v/>
      </c>
      <c r="AG29" s="107" t="str">
        <f aca="false">IF(AE29=8,AA29*AB29*AC29*AD29*(AE29/1000)*0.395*1,IF(AE29&gt;8,"",IF(AE29&lt;8,"")))</f>
        <v/>
      </c>
      <c r="AH29" s="107" t="str">
        <f aca="false">IF(AE29=10,AA29*AB29*AC29*AD29*(AE29/1000)*0.617*1,IF(AE29&gt;10,"",IF(AE29&lt;10,"")))</f>
        <v/>
      </c>
      <c r="AI29" s="107" t="str">
        <f aca="false">IF(AE29=12,AA29*AB29*AC29*AD29*(AE29/1000)*0.888*1,IF(AE29&gt;12,"",IF(AE29&lt;12,"")))</f>
        <v/>
      </c>
      <c r="AJ29" s="107" t="str">
        <f aca="false">IF(AE29=16,AA29*AB29*AC29*AD29*(AE29/1000)*1.578*1,IF(AE29&gt;16,"",IF(AE29&lt;16,"")))</f>
        <v/>
      </c>
      <c r="AK29" s="107" t="str">
        <f aca="false">IF(AE29=20,AA29*AB29*AC29*AD29*(AE29/1000)*2.466*1,IF(AE29&gt;20,"",IF(AE29&lt;20,"")))</f>
        <v/>
      </c>
      <c r="AL29" s="107" t="str">
        <f aca="false">IF(AE29=25,AA29*AB29*AC29*AD29*(AE29/1000)*3.853*1,IF(AE29&gt;25,"",IF(AE29&lt;25,"")))</f>
        <v/>
      </c>
      <c r="AM29" s="115" t="str">
        <f aca="false">IF(AE29=32,AA29*AB29*AC29*AD29*(AE29/1000)*6.313*1,IF(AE29&gt;32,"",IF(AE29&lt;32,"")))</f>
        <v/>
      </c>
      <c r="AN29" s="128"/>
      <c r="AO29" s="117" t="s">
        <v>191</v>
      </c>
      <c r="AP29" s="118" t="n">
        <f aca="false">SUM(R29:Y29)+SUM(AN29)</f>
        <v>0</v>
      </c>
      <c r="AQ29" s="118" t="n">
        <f aca="false">SUM(AF29:AM29)</f>
        <v>0</v>
      </c>
      <c r="AR29" s="118"/>
      <c r="AS29" s="119" t="s">
        <v>192</v>
      </c>
      <c r="AT29" s="119" t="s">
        <v>162</v>
      </c>
    </row>
    <row r="30" customFormat="false" ht="13.5" hidden="false" customHeight="false" outlineLevel="0" collapsed="false">
      <c r="A30" s="120"/>
      <c r="B30" s="121" t="s">
        <v>195</v>
      </c>
      <c r="C30" s="110" t="n">
        <v>1</v>
      </c>
      <c r="D30" s="122" t="n">
        <f aca="false">1.4365/(0.85*0.4)+2*0.05</f>
        <v>4.325</v>
      </c>
      <c r="E30" s="122" t="n">
        <f aca="false">0.85+2*0.05</f>
        <v>0.95</v>
      </c>
      <c r="F30" s="122" t="n">
        <v>0.1</v>
      </c>
      <c r="G30" s="123" t="n">
        <f aca="false">C30*D30*E30*F30</f>
        <v>0.410875</v>
      </c>
      <c r="H30" s="101"/>
      <c r="I30" s="123" t="n">
        <f aca="false">C30*D30*E30</f>
        <v>4.10875</v>
      </c>
      <c r="J30" s="101"/>
      <c r="K30" s="124"/>
      <c r="L30" s="125"/>
      <c r="M30" s="125"/>
      <c r="N30" s="126"/>
      <c r="O30" s="126"/>
      <c r="P30" s="126"/>
      <c r="Q30" s="127"/>
      <c r="R30" s="105" t="str">
        <f aca="false">IF(P30=6,N30*O30*Q30*0.222*1,IF(P30&gt;6,"",IF(P30&lt;6,"")))</f>
        <v/>
      </c>
      <c r="S30" s="106" t="str">
        <f aca="false">IF(P30=8,N30*O30*Q30*0.395*1,IF(P30&gt;8,"",IF(P30&lt;8,"")))</f>
        <v/>
      </c>
      <c r="T30" s="106" t="str">
        <f aca="false">IF(P30=10,N30*O30*Q30*0.617*1,IF(P30&gt;10,"",IF(P30&lt;10,"")))</f>
        <v/>
      </c>
      <c r="U30" s="106" t="str">
        <f aca="false">IF(P30=12,N30*O30*Q30*0.888*1,IF(P30&gt;12,"",IF(P30&lt;12,"")))</f>
        <v/>
      </c>
      <c r="V30" s="107" t="str">
        <f aca="false">IF(P30=16,N30*O30*Q30*1.578*1,IF(P30&gt;16,"",IF(P30&lt;16,"")))</f>
        <v/>
      </c>
      <c r="W30" s="106" t="str">
        <f aca="false">IF(P30=20,N30*O30*Q30*2.466*1,IF(P30&gt;20,"",IF(P30&lt;20,"")))</f>
        <v/>
      </c>
      <c r="X30" s="106" t="str">
        <f aca="false">IF(P30=25,N30*O30*Q30*3.853*1,IF(P30&gt;25,"",IF(P30&lt;25,"")))</f>
        <v/>
      </c>
      <c r="Y30" s="108" t="str">
        <f aca="false">IF(P30=32,N30*O30*Q30*6.313*1,IF(P30&gt;32,"",IF(P30&lt;32,"")))</f>
        <v/>
      </c>
      <c r="Z30" s="109"/>
      <c r="AA30" s="110" t="str">
        <f aca="false">IF(AC30&gt;0,N30,"")</f>
        <v/>
      </c>
      <c r="AB30" s="111" t="str">
        <f aca="false">IF(AC30&gt;0,O30,"")</f>
        <v/>
      </c>
      <c r="AC30" s="112"/>
      <c r="AD30" s="112"/>
      <c r="AE30" s="113" t="str">
        <f aca="false">IF(AC30&gt;0,P30,"")</f>
        <v/>
      </c>
      <c r="AF30" s="114" t="str">
        <f aca="false">IF(AE30=6,AA30*AB30*AC30*AD30*(AE30/1000)*0.222*1,IF(AE30&gt;6,"",IF(AE30&lt;6,"")))</f>
        <v/>
      </c>
      <c r="AG30" s="107" t="str">
        <f aca="false">IF(AE30=8,AA30*AB30*AC30*AD30*(AE30/1000)*0.395*1,IF(AE30&gt;8,"",IF(AE30&lt;8,"")))</f>
        <v/>
      </c>
      <c r="AH30" s="107" t="str">
        <f aca="false">IF(AE30=10,AA30*AB30*AC30*AD30*(AE30/1000)*0.617*1,IF(AE30&gt;10,"",IF(AE30&lt;10,"")))</f>
        <v/>
      </c>
      <c r="AI30" s="107" t="str">
        <f aca="false">IF(AE30=12,AA30*AB30*AC30*AD30*(AE30/1000)*0.888*1,IF(AE30&gt;12,"",IF(AE30&lt;12,"")))</f>
        <v/>
      </c>
      <c r="AJ30" s="107" t="str">
        <f aca="false">IF(AE30=16,AA30*AB30*AC30*AD30*(AE30/1000)*1.578*1,IF(AE30&gt;16,"",IF(AE30&lt;16,"")))</f>
        <v/>
      </c>
      <c r="AK30" s="107" t="str">
        <f aca="false">IF(AE30=20,AA30*AB30*AC30*AD30*(AE30/1000)*2.466*1,IF(AE30&gt;20,"",IF(AE30&lt;20,"")))</f>
        <v/>
      </c>
      <c r="AL30" s="107" t="str">
        <f aca="false">IF(AE30=25,AA30*AB30*AC30*AD30*(AE30/1000)*3.853*1,IF(AE30&gt;25,"",IF(AE30&lt;25,"")))</f>
        <v/>
      </c>
      <c r="AM30" s="115" t="str">
        <f aca="false">IF(AE30=32,AA30*AB30*AC30*AD30*(AE30/1000)*6.313*1,IF(AE30&gt;32,"",IF(AE30&lt;32,"")))</f>
        <v/>
      </c>
      <c r="AN30" s="128"/>
      <c r="AO30" s="117" t="s">
        <v>191</v>
      </c>
      <c r="AP30" s="118" t="n">
        <f aca="false">SUM(R30:Y30)+SUM(AN30)</f>
        <v>0</v>
      </c>
      <c r="AQ30" s="118" t="n">
        <f aca="false">SUM(AF30:AM30)</f>
        <v>0</v>
      </c>
      <c r="AR30" s="118"/>
      <c r="AS30" s="119" t="s">
        <v>192</v>
      </c>
      <c r="AT30" s="119" t="s">
        <v>162</v>
      </c>
    </row>
    <row r="31" customFormat="false" ht="13.5" hidden="false" customHeight="false" outlineLevel="0" collapsed="false">
      <c r="A31" s="129"/>
      <c r="B31" s="130"/>
      <c r="C31" s="110"/>
      <c r="D31" s="122"/>
      <c r="E31" s="122"/>
      <c r="F31" s="122"/>
      <c r="G31" s="123"/>
      <c r="H31" s="101"/>
      <c r="I31" s="123"/>
      <c r="J31" s="101"/>
      <c r="K31" s="124"/>
      <c r="L31" s="125"/>
      <c r="M31" s="125"/>
      <c r="N31" s="126"/>
      <c r="O31" s="126"/>
      <c r="P31" s="126"/>
      <c r="Q31" s="127"/>
      <c r="R31" s="105"/>
      <c r="S31" s="106"/>
      <c r="T31" s="106"/>
      <c r="U31" s="106"/>
      <c r="V31" s="107"/>
      <c r="W31" s="106"/>
      <c r="X31" s="106"/>
      <c r="Y31" s="108"/>
      <c r="Z31" s="109"/>
      <c r="AA31" s="110"/>
      <c r="AB31" s="111"/>
      <c r="AC31" s="112"/>
      <c r="AD31" s="112"/>
      <c r="AE31" s="113"/>
      <c r="AF31" s="114"/>
      <c r="AG31" s="107"/>
      <c r="AH31" s="107"/>
      <c r="AI31" s="107"/>
      <c r="AJ31" s="107"/>
      <c r="AK31" s="107"/>
      <c r="AL31" s="107"/>
      <c r="AM31" s="115"/>
      <c r="AO31" s="117"/>
      <c r="AP31" s="118"/>
      <c r="AQ31" s="118"/>
      <c r="AR31" s="118"/>
      <c r="AS31" s="119"/>
      <c r="AT31" s="119"/>
    </row>
    <row r="32" customFormat="false" ht="13.5" hidden="false" customHeight="false" outlineLevel="0" collapsed="false">
      <c r="A32" s="131"/>
      <c r="B32" s="132"/>
      <c r="C32" s="133" t="s">
        <v>196</v>
      </c>
      <c r="D32" s="133"/>
      <c r="E32" s="133"/>
      <c r="F32" s="133"/>
      <c r="G32" s="134" t="n">
        <f aca="false">SUM(G6:G30)</f>
        <v>11.9506348</v>
      </c>
      <c r="H32" s="135"/>
      <c r="I32" s="136"/>
      <c r="J32" s="137"/>
      <c r="K32" s="137"/>
      <c r="L32" s="137"/>
      <c r="M32" s="137"/>
      <c r="N32" s="138"/>
      <c r="O32" s="139" t="s">
        <v>197</v>
      </c>
      <c r="P32" s="139"/>
      <c r="Q32" s="139"/>
      <c r="R32" s="140" t="n">
        <f aca="false">SUM(R6:R30)</f>
        <v>0</v>
      </c>
      <c r="S32" s="140" t="n">
        <f aca="false">SUM(S6:S30)</f>
        <v>0</v>
      </c>
      <c r="T32" s="140" t="n">
        <f aca="false">SUM(T6:T30)</f>
        <v>0</v>
      </c>
      <c r="U32" s="140" t="n">
        <f aca="false">SUM(U6:U30)</f>
        <v>0</v>
      </c>
      <c r="V32" s="140" t="n">
        <f aca="false">SUM(V6:V30)</f>
        <v>0</v>
      </c>
      <c r="W32" s="140" t="n">
        <f aca="false">SUM(W6:W30)</f>
        <v>0</v>
      </c>
      <c r="X32" s="140" t="n">
        <f aca="false">SUM(X6:X30)</f>
        <v>0</v>
      </c>
      <c r="Y32" s="140" t="n">
        <f aca="false">SUM(Y6:Y30)</f>
        <v>0</v>
      </c>
      <c r="Z32" s="141"/>
      <c r="AA32" s="142"/>
      <c r="AB32" s="143" t="s">
        <v>197</v>
      </c>
      <c r="AC32" s="143"/>
      <c r="AD32" s="143"/>
      <c r="AE32" s="143"/>
      <c r="AF32" s="140" t="n">
        <f aca="false">SUM(AF6:AF30)</f>
        <v>0</v>
      </c>
      <c r="AG32" s="140" t="n">
        <f aca="false">SUM(AG6:AG30)</f>
        <v>0</v>
      </c>
      <c r="AH32" s="140" t="n">
        <f aca="false">SUM(AH6:AH30)</f>
        <v>0</v>
      </c>
      <c r="AI32" s="140" t="n">
        <f aca="false">SUM(AI6:AI30)</f>
        <v>0</v>
      </c>
      <c r="AJ32" s="140" t="n">
        <f aca="false">SUM(AJ6:AJ30)</f>
        <v>0</v>
      </c>
      <c r="AK32" s="140" t="n">
        <f aca="false">SUM(AK6:AK30)</f>
        <v>0</v>
      </c>
      <c r="AL32" s="140" t="n">
        <f aca="false">SUM(AL6:AL30)</f>
        <v>0</v>
      </c>
      <c r="AM32" s="140" t="n">
        <f aca="false">SUM(AM6:AM30)</f>
        <v>0</v>
      </c>
      <c r="AN32" s="144" t="n">
        <f aca="false">SUM(AN6:AN30)</f>
        <v>0</v>
      </c>
      <c r="AO32" s="117"/>
      <c r="AP32" s="118"/>
      <c r="AQ32" s="118"/>
      <c r="AR32" s="118"/>
      <c r="AS32" s="119"/>
      <c r="AT32" s="119"/>
    </row>
    <row r="33" customFormat="false" ht="13.5" hidden="false" customHeight="false" outlineLevel="0" collapsed="false">
      <c r="A33" s="131" t="s">
        <v>198</v>
      </c>
      <c r="B33" s="95"/>
      <c r="C33" s="145" t="s">
        <v>199</v>
      </c>
      <c r="D33" s="145"/>
      <c r="E33" s="145"/>
      <c r="F33" s="145"/>
      <c r="G33" s="146" t="n">
        <f aca="false">SUM(I6:I30)</f>
        <v>119.506348</v>
      </c>
      <c r="H33" s="147"/>
      <c r="I33" s="136"/>
      <c r="J33" s="148"/>
      <c r="K33" s="137"/>
      <c r="L33" s="137"/>
      <c r="M33" s="137"/>
      <c r="N33" s="138"/>
      <c r="O33" s="149" t="s">
        <v>200</v>
      </c>
      <c r="P33" s="149"/>
      <c r="Q33" s="149"/>
      <c r="R33" s="150" t="n">
        <f aca="false">SUM(R32:Y32)+AN32</f>
        <v>0</v>
      </c>
      <c r="S33" s="150"/>
      <c r="T33" s="150"/>
      <c r="U33" s="150"/>
      <c r="V33" s="150"/>
      <c r="W33" s="150"/>
      <c r="X33" s="150"/>
      <c r="Y33" s="150"/>
      <c r="Z33" s="151"/>
      <c r="AA33" s="152"/>
      <c r="AB33" s="153" t="s">
        <v>200</v>
      </c>
      <c r="AC33" s="153"/>
      <c r="AD33" s="153"/>
      <c r="AE33" s="153"/>
      <c r="AF33" s="150" t="n">
        <f aca="false">SUM(AF32:AM32)</f>
        <v>0</v>
      </c>
      <c r="AG33" s="150"/>
      <c r="AH33" s="150"/>
      <c r="AI33" s="150"/>
      <c r="AJ33" s="150"/>
      <c r="AK33" s="150"/>
      <c r="AL33" s="150"/>
      <c r="AM33" s="150"/>
      <c r="AN33" s="154"/>
      <c r="AO33" s="117"/>
      <c r="AP33" s="118"/>
      <c r="AQ33" s="118"/>
      <c r="AR33" s="118"/>
      <c r="AS33" s="119"/>
      <c r="AT33" s="119"/>
    </row>
    <row r="34" customFormat="false" ht="13.5" hidden="false" customHeight="false" outlineLevel="0" collapsed="false">
      <c r="A34" s="155"/>
      <c r="B34" s="156"/>
      <c r="C34" s="157" t="s">
        <v>201</v>
      </c>
      <c r="D34" s="157"/>
      <c r="E34" s="157"/>
      <c r="F34" s="157"/>
      <c r="G34" s="158" t="n">
        <f aca="false">IF(G32&gt;0,G33/G32,0)</f>
        <v>10</v>
      </c>
      <c r="H34" s="159"/>
      <c r="I34" s="160"/>
      <c r="J34" s="160"/>
      <c r="K34" s="160"/>
      <c r="L34" s="160"/>
      <c r="M34" s="160"/>
      <c r="N34" s="161"/>
      <c r="O34" s="162" t="s">
        <v>202</v>
      </c>
      <c r="P34" s="162"/>
      <c r="Q34" s="162"/>
      <c r="R34" s="163" t="n">
        <f aca="false">IF(G32&gt;0,R33/G32,0)</f>
        <v>0</v>
      </c>
      <c r="S34" s="164"/>
      <c r="T34" s="165"/>
      <c r="U34" s="165"/>
      <c r="V34" s="165"/>
      <c r="W34" s="165"/>
      <c r="X34" s="165"/>
      <c r="Y34" s="166"/>
      <c r="Z34" s="141"/>
      <c r="AA34" s="167"/>
      <c r="AB34" s="168" t="s">
        <v>203</v>
      </c>
      <c r="AC34" s="168"/>
      <c r="AD34" s="168"/>
      <c r="AE34" s="168"/>
      <c r="AF34" s="163" t="n">
        <f aca="false">IF(G32&gt;0,AF33/G32,0)</f>
        <v>0</v>
      </c>
      <c r="AG34" s="164"/>
      <c r="AH34" s="165"/>
      <c r="AI34" s="165"/>
      <c r="AJ34" s="169" t="s">
        <v>204</v>
      </c>
      <c r="AK34" s="169"/>
      <c r="AL34" s="169"/>
      <c r="AM34" s="170" t="n">
        <f aca="false">IF(R33&gt;0,AF33/R33,0)</f>
        <v>0</v>
      </c>
      <c r="AN34" s="44"/>
      <c r="AO34" s="117"/>
      <c r="AP34" s="118"/>
      <c r="AQ34" s="118"/>
      <c r="AR34" s="118"/>
      <c r="AS34" s="119"/>
      <c r="AT34" s="119"/>
    </row>
    <row r="53" s="116" customFormat="true" ht="13.5" hidden="false" customHeight="false" outlineLevel="0" collapsed="false"/>
    <row r="67" s="116" customFormat="true" ht="13.5" hidden="false" customHeight="false" outlineLevel="0" collapsed="false"/>
    <row r="91" s="116" customFormat="true" ht="13.5" hidden="false" customHeight="false" outlineLevel="0" collapsed="false"/>
    <row r="166" s="116" customFormat="true" ht="13.5" hidden="false" customHeight="false" outlineLevel="0" collapsed="false"/>
    <row r="178" s="55" customFormat="true" ht="13.5" hidden="false" customHeight="false" outlineLevel="0" collapsed="false"/>
    <row r="179" s="55" customFormat="true" ht="13.5" hidden="false" customHeight="false" outlineLevel="0" collapsed="false"/>
    <row r="180" s="55" customFormat="true" ht="13.5" hidden="false" customHeight="false" outlineLevel="0" collapsed="false"/>
    <row r="183" s="55" customFormat="true" ht="13.5" hidden="false" customHeight="false" outlineLevel="0" collapsed="false"/>
    <row r="184" s="95" customFormat="true" ht="13.5" hidden="false" customHeight="false" outlineLevel="0" collapsed="false"/>
    <row r="185" s="116" customFormat="true" ht="13.5" hidden="false" customHeight="false" outlineLevel="0" collapsed="false"/>
    <row r="210" s="55" customFormat="true" ht="13.5" hidden="false" customHeight="false" outlineLevel="0" collapsed="false"/>
    <row r="211" s="55" customFormat="true" ht="13.5" hidden="false" customHeight="false" outlineLevel="0" collapsed="false"/>
    <row r="212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32:F32"/>
    <mergeCell ref="O32:Q32"/>
    <mergeCell ref="AB32:AE32"/>
    <mergeCell ref="C33:F33"/>
    <mergeCell ref="O33:Q33"/>
    <mergeCell ref="R33:Y33"/>
    <mergeCell ref="AB33:AE33"/>
    <mergeCell ref="AF33:AM33"/>
    <mergeCell ref="C34:F34"/>
    <mergeCell ref="O34:Q34"/>
    <mergeCell ref="AB34:AE34"/>
    <mergeCell ref="AJ34:AL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T212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2" ySplit="5" topLeftCell="C6" activePane="bottomRight" state="frozen"/>
      <selection pane="topLeft" activeCell="B1" activeCellId="0" sqref="B1"/>
      <selection pane="topRight" activeCell="C1" activeCellId="0" sqref="C1"/>
      <selection pane="bottomLeft" activeCell="B6" activeCellId="0" sqref="B6"/>
      <selection pane="bottomRight" activeCell="B1" activeCellId="0" sqref="B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7.66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3.5" hidden="false" customHeight="false" outlineLevel="0" collapsed="false">
      <c r="A6" s="96"/>
      <c r="B6" s="97" t="s">
        <v>207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159</v>
      </c>
      <c r="C7" s="110" t="n">
        <v>1</v>
      </c>
      <c r="D7" s="122" t="n">
        <v>2.4</v>
      </c>
      <c r="E7" s="122" t="n">
        <v>2.8</v>
      </c>
      <c r="F7" s="122" t="n">
        <v>0.5</v>
      </c>
      <c r="G7" s="123" t="n">
        <f aca="false">C7*D7*E7*F7</f>
        <v>3.36</v>
      </c>
      <c r="H7" s="101"/>
      <c r="I7" s="123" t="n">
        <f aca="false">2*(D7+E7)*F7*C7</f>
        <v>5.2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160</v>
      </c>
      <c r="AP7" s="118" t="n">
        <f aca="false">SUM(R7:Y7)+SUM(AN7)</f>
        <v>0</v>
      </c>
      <c r="AQ7" s="118" t="n">
        <f aca="false">SUM(AF7:AM7)</f>
        <v>0</v>
      </c>
      <c r="AR7" s="118" t="n">
        <v>3.36</v>
      </c>
      <c r="AS7" s="119" t="s">
        <v>208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210</v>
      </c>
      <c r="L8" s="125" t="n">
        <f aca="false">$E$7-2*0.05</f>
        <v>2.7</v>
      </c>
      <c r="M8" s="125" t="n">
        <v>0.125</v>
      </c>
      <c r="N8" s="126" t="n">
        <f aca="false">$C$7</f>
        <v>1</v>
      </c>
      <c r="O8" s="126" t="n">
        <f aca="false">CEILING(L8/M8,1)+1</f>
        <v>23</v>
      </c>
      <c r="P8" s="126" t="n">
        <v>16</v>
      </c>
      <c r="Q8" s="127" t="n">
        <f aca="false">$D$7-2*0.05+2*($F$7-2*0.05)</f>
        <v>3.1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str">
        <f aca="false">IF(P8=12,N8*O8*Q8*0.888*1,IF(P8&gt;12,"",IF(P8&lt;12,"")))</f>
        <v/>
      </c>
      <c r="V8" s="107" t="n">
        <f aca="false">IF(P8=16,N8*O8*Q8*1.578*1,IF(P8&gt;16,"",IF(P8&lt;16,"")))</f>
        <v>112.5114</v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160</v>
      </c>
      <c r="AP8" s="118" t="n">
        <f aca="false">SUM(R8:Y8)+SUM(AN8)</f>
        <v>112.5114</v>
      </c>
      <c r="AQ8" s="118" t="n">
        <f aca="false">SUM(AF8:AM8)</f>
        <v>0</v>
      </c>
      <c r="AR8" s="118"/>
      <c r="AS8" s="119" t="s">
        <v>211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212</v>
      </c>
      <c r="L9" s="125" t="n">
        <f aca="false">$D$7-2*0.05</f>
        <v>2.3</v>
      </c>
      <c r="M9" s="125" t="n">
        <v>0.125</v>
      </c>
      <c r="N9" s="126" t="n">
        <f aca="false">$C$7</f>
        <v>1</v>
      </c>
      <c r="O9" s="126" t="n">
        <f aca="false">CEILING(L9/M9,1)+1</f>
        <v>20</v>
      </c>
      <c r="P9" s="126" t="n">
        <v>16</v>
      </c>
      <c r="Q9" s="127" t="n">
        <f aca="false">$E$7-2*0.05+2*($F$7-2*0.05)</f>
        <v>3.5</v>
      </c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n">
        <f aca="false">IF(P9=16,N9*O9*Q9*1.578*1,IF(P9&gt;16,"",IF(P9&lt;16,"")))</f>
        <v>110.46</v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160</v>
      </c>
      <c r="AP9" s="118" t="n">
        <f aca="false">SUM(R9:Y9)+SUM(AN9)</f>
        <v>110.46</v>
      </c>
      <c r="AQ9" s="118" t="n">
        <f aca="false">SUM(AF9:AM9)</f>
        <v>0</v>
      </c>
      <c r="AR9" s="118"/>
      <c r="AS9" s="119" t="s">
        <v>211</v>
      </c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213</v>
      </c>
      <c r="L10" s="125" t="n">
        <f aca="false">$E$7-2*0.05</f>
        <v>2.7</v>
      </c>
      <c r="M10" s="125" t="n">
        <v>0.125</v>
      </c>
      <c r="N10" s="126" t="n">
        <f aca="false">$C$7</f>
        <v>1</v>
      </c>
      <c r="O10" s="126" t="n">
        <f aca="false">CEILING(L10/M10,1)+1</f>
        <v>23</v>
      </c>
      <c r="P10" s="126" t="n">
        <v>16</v>
      </c>
      <c r="Q10" s="127" t="n">
        <f aca="false">$D$7-2*0.05+2*($F$7-2*0.05)</f>
        <v>3.1</v>
      </c>
      <c r="R10" s="105" t="str">
        <f aca="false">IF(P10=6,N10*O10*Q10*0.222*1,IF(P10&gt;6,"",IF(P10&lt;6,"")))</f>
        <v/>
      </c>
      <c r="S10" s="106" t="str">
        <f aca="false">IF(P10=8,N10*O10*Q10*0.395*1,IF(P10&gt;8,"",IF(P10&lt;8,"")))</f>
        <v/>
      </c>
      <c r="T10" s="106" t="str">
        <f aca="false">IF(P10=10,N10*O10*Q10*0.617*1,IF(P10&gt;10,"",IF(P10&lt;10,"")))</f>
        <v/>
      </c>
      <c r="U10" s="106" t="str">
        <f aca="false">IF(P10=12,N10*O10*Q10*0.888*1,IF(P10&gt;12,"",IF(P10&lt;12,"")))</f>
        <v/>
      </c>
      <c r="V10" s="107" t="n">
        <f aca="false">IF(P10=16,N10*O10*Q10*1.578*1,IF(P10&gt;16,"",IF(P10&lt;16,"")))</f>
        <v>112.5114</v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160</v>
      </c>
      <c r="AP10" s="118" t="n">
        <f aca="false">SUM(R10:Y10)+SUM(AN10)</f>
        <v>112.5114</v>
      </c>
      <c r="AQ10" s="118" t="n">
        <f aca="false">SUM(AF10:AM10)</f>
        <v>0</v>
      </c>
      <c r="AR10" s="118"/>
      <c r="AS10" s="119" t="s">
        <v>211</v>
      </c>
      <c r="AT10" s="119" t="s">
        <v>162</v>
      </c>
    </row>
    <row r="11" customFormat="false" ht="13.5" hidden="false" customHeight="false" outlineLevel="0" collapsed="false">
      <c r="A11" s="129"/>
      <c r="B11" s="172"/>
      <c r="C11" s="110"/>
      <c r="D11" s="122"/>
      <c r="E11" s="122"/>
      <c r="F11" s="173"/>
      <c r="G11" s="123"/>
      <c r="H11" s="101"/>
      <c r="I11" s="123"/>
      <c r="J11" s="101"/>
      <c r="K11" s="124" t="s">
        <v>214</v>
      </c>
      <c r="L11" s="125" t="n">
        <f aca="false">$D$7-2*0.05</f>
        <v>2.3</v>
      </c>
      <c r="M11" s="125" t="n">
        <v>0.125</v>
      </c>
      <c r="N11" s="126" t="n">
        <f aca="false">$C$7</f>
        <v>1</v>
      </c>
      <c r="O11" s="126" t="n">
        <f aca="false">CEILING(L11/M11,1)+1</f>
        <v>20</v>
      </c>
      <c r="P11" s="126" t="n">
        <v>16</v>
      </c>
      <c r="Q11" s="127" t="n">
        <f aca="false">$E$7-2*0.05+2*($F$7-2*0.05)</f>
        <v>3.5</v>
      </c>
      <c r="R11" s="105" t="str">
        <f aca="false">IF(P11=6,N11*O11*Q11*0.222*1,IF(P11&gt;6,"",IF(P11&lt;6,"")))</f>
        <v/>
      </c>
      <c r="S11" s="106" t="str">
        <f aca="false">IF(P11=8,N11*O11*Q11*0.395*1,IF(P11&gt;8,"",IF(P11&lt;8,"")))</f>
        <v/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n">
        <f aca="false">IF(P11=16,N11*O11*Q11*1.578*1,IF(P11&gt;16,"",IF(P11&lt;16,"")))</f>
        <v>110.46</v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160</v>
      </c>
      <c r="AP11" s="118" t="n">
        <f aca="false">SUM(R11:Y11)+SUM(AN11)</f>
        <v>110.46</v>
      </c>
      <c r="AQ11" s="118" t="n">
        <f aca="false">SUM(AF11:AM11)</f>
        <v>0</v>
      </c>
      <c r="AR11" s="118"/>
      <c r="AS11" s="119" t="s">
        <v>211</v>
      </c>
      <c r="AT11" s="119" t="s">
        <v>162</v>
      </c>
    </row>
    <row r="12" customFormat="false" ht="13.5" hidden="false" customHeight="false" outlineLevel="0" collapsed="false">
      <c r="A12" s="129"/>
      <c r="B12" s="172"/>
      <c r="C12" s="110"/>
      <c r="D12" s="122"/>
      <c r="E12" s="122"/>
      <c r="F12" s="173"/>
      <c r="G12" s="123"/>
      <c r="H12" s="101"/>
      <c r="I12" s="123"/>
      <c r="J12" s="101"/>
      <c r="K12" s="124" t="s">
        <v>215</v>
      </c>
      <c r="L12" s="125"/>
      <c r="M12" s="125"/>
      <c r="N12" s="126" t="n">
        <f aca="false">$C$7</f>
        <v>1</v>
      </c>
      <c r="O12" s="126" t="n">
        <v>4</v>
      </c>
      <c r="P12" s="126" t="n">
        <v>16</v>
      </c>
      <c r="Q12" s="127" t="n">
        <f aca="false">2*($D$7+$E$7)-8*0.05</f>
        <v>10</v>
      </c>
      <c r="R12" s="105" t="str">
        <f aca="false">IF(P12=6,N12*O12*Q12*0.222*1,IF(P12&gt;6,"",IF(P12&lt;6,"")))</f>
        <v/>
      </c>
      <c r="S12" s="106" t="str">
        <f aca="false">IF(P12=8,N12*O12*Q12*0.395*1,IF(P12&gt;8,"",IF(P12&lt;8,"")))</f>
        <v/>
      </c>
      <c r="T12" s="106" t="str">
        <f aca="false">IF(P12=10,N12*O12*Q12*0.617*1,IF(P12&gt;10,"",IF(P12&lt;10,"")))</f>
        <v/>
      </c>
      <c r="U12" s="106" t="str">
        <f aca="false">IF(P12=12,N12*O12*Q12*0.888*1,IF(P12&gt;12,"",IF(P12&lt;12,"")))</f>
        <v/>
      </c>
      <c r="V12" s="107" t="n">
        <f aca="false">IF(P12=16,N12*O12*Q12*1.578*1,IF(P12&gt;16,"",IF(P12&lt;16,"")))</f>
        <v>63.12</v>
      </c>
      <c r="W12" s="106" t="str">
        <f aca="false">IF(P12=20,N12*O12*Q12*2.466*1,IF(P12&gt;20,"",IF(P12&lt;20,"")))</f>
        <v/>
      </c>
      <c r="X12" s="106" t="str">
        <f aca="false">IF(P12=25,N12*O12*Q12*3.853*1,IF(P12&gt;25,"",IF(P12&lt;25,"")))</f>
        <v/>
      </c>
      <c r="Y12" s="108" t="str">
        <f aca="false">IF(P12=32,N12*O12*Q12*6.313*1,IF(P12&gt;32,"",IF(P12&lt;32,"")))</f>
        <v/>
      </c>
      <c r="Z12" s="109"/>
      <c r="AA12" s="110" t="n">
        <f aca="false">IF(AC12&gt;0,N12,"")</f>
        <v>1</v>
      </c>
      <c r="AB12" s="111" t="n">
        <f aca="false">IF(AC12&gt;0,O12,"")</f>
        <v>4</v>
      </c>
      <c r="AC12" s="112" t="n">
        <v>1</v>
      </c>
      <c r="AD12" s="112" t="n">
        <v>50</v>
      </c>
      <c r="AE12" s="113" t="n">
        <f aca="false">IF(AC12&gt;0,P12,"")</f>
        <v>16</v>
      </c>
      <c r="AF12" s="114" t="str">
        <f aca="false">IF(AE12=6,AA12*AB12*AC12*AD12*(AE12/1000)*0.222*1,IF(AE12&gt;6,"",IF(AE12&lt;6,"")))</f>
        <v/>
      </c>
      <c r="AG12" s="107" t="str">
        <f aca="false">IF(AE12=8,AA12*AB12*AC12*AD12*(AE12/1000)*0.395*1,IF(AE12&gt;8,"",IF(AE12&lt;8,"")))</f>
        <v/>
      </c>
      <c r="AH12" s="107" t="str">
        <f aca="false">IF(AE12=10,AA12*AB12*AC12*AD12*(AE12/1000)*0.617*1,IF(AE12&gt;10,"",IF(AE12&lt;10,"")))</f>
        <v/>
      </c>
      <c r="AI12" s="107" t="str">
        <f aca="false">IF(AE12=12,AA12*AB12*AC12*AD12*(AE12/1000)*0.888*1,IF(AE12&gt;12,"",IF(AE12&lt;12,"")))</f>
        <v/>
      </c>
      <c r="AJ12" s="107" t="n">
        <f aca="false">IF(AE12=16,AA12*AB12*AC12*AD12*(AE12/1000)*1.578*1,IF(AE12&gt;16,"",IF(AE12&lt;16,"")))</f>
        <v>5.0496</v>
      </c>
      <c r="AK12" s="107" t="str">
        <f aca="false">IF(AE12=20,AA12*AB12*AC12*AD12*(AE12/1000)*2.466*1,IF(AE12&gt;20,"",IF(AE12&lt;20,"")))</f>
        <v/>
      </c>
      <c r="AL12" s="107" t="str">
        <f aca="false">IF(AE12=25,AA12*AB12*AC12*AD12*(AE12/1000)*3.853*1,IF(AE12&gt;25,"",IF(AE12&lt;25,"")))</f>
        <v/>
      </c>
      <c r="AM12" s="115" t="str">
        <f aca="false">IF(AE12=32,AA12*AB12*AC12*AD12*(AE12/1000)*6.313*1,IF(AE12&gt;32,"",IF(AE12&lt;32,"")))</f>
        <v/>
      </c>
      <c r="AN12" s="128"/>
      <c r="AO12" s="117" t="s">
        <v>160</v>
      </c>
      <c r="AP12" s="118" t="n">
        <f aca="false">SUM(R12:Y12)+SUM(AN12)</f>
        <v>63.12</v>
      </c>
      <c r="AQ12" s="118" t="n">
        <f aca="false">SUM(AF12:AM12)</f>
        <v>5.0496</v>
      </c>
      <c r="AR12" s="118"/>
      <c r="AS12" s="119" t="s">
        <v>216</v>
      </c>
      <c r="AT12" s="119" t="s">
        <v>173</v>
      </c>
    </row>
    <row r="13" customFormat="false" ht="13.5" hidden="false" customHeight="false" outlineLevel="0" collapsed="false">
      <c r="A13" s="129"/>
      <c r="B13" s="172"/>
      <c r="C13" s="110"/>
      <c r="D13" s="122"/>
      <c r="E13" s="122"/>
      <c r="F13" s="173"/>
      <c r="G13" s="123"/>
      <c r="H13" s="101"/>
      <c r="I13" s="123"/>
      <c r="J13" s="101"/>
      <c r="K13" s="124" t="s">
        <v>217</v>
      </c>
      <c r="L13" s="125"/>
      <c r="M13" s="125"/>
      <c r="N13" s="126" t="n">
        <v>2</v>
      </c>
      <c r="O13" s="126" t="n">
        <v>4</v>
      </c>
      <c r="P13" s="126" t="n">
        <v>20</v>
      </c>
      <c r="Q13" s="127" t="n">
        <f aca="false">MAX(50*20/1000,$F$7-2*0.05+0.15)+50*20/1000</f>
        <v>2</v>
      </c>
      <c r="R13" s="105" t="str">
        <f aca="false">IF(P13=6,N13*O13*Q13*0.222*1,IF(P13&gt;6,"",IF(P13&lt;6,"")))</f>
        <v/>
      </c>
      <c r="S13" s="106" t="str">
        <f aca="false">IF(P13=8,N13*O13*Q13*0.395*1,IF(P13&gt;8,"",IF(P13&lt;8,"")))</f>
        <v/>
      </c>
      <c r="T13" s="106" t="str">
        <f aca="false">IF(P13=10,N13*O13*Q13*0.617*1,IF(P13&gt;10,"",IF(P13&lt;10,"")))</f>
        <v/>
      </c>
      <c r="U13" s="106" t="str">
        <f aca="false">IF(P13=12,N13*O13*Q13*0.888*1,IF(P13&gt;12,"",IF(P13&lt;12,"")))</f>
        <v/>
      </c>
      <c r="V13" s="107" t="str">
        <f aca="false">IF(P13=16,N13*O13*Q13*1.578*1,IF(P13&gt;16,"",IF(P13&lt;16,"")))</f>
        <v/>
      </c>
      <c r="W13" s="106" t="n">
        <f aca="false">IF(P13=20,N13*O13*Q13*2.466*1,IF(P13&gt;20,"",IF(P13&lt;20,"")))</f>
        <v>39.456</v>
      </c>
      <c r="X13" s="106" t="str">
        <f aca="false">IF(P13=25,N13*O13*Q13*3.853*1,IF(P13&gt;25,"",IF(P13&lt;25,"")))</f>
        <v/>
      </c>
      <c r="Y13" s="108" t="str">
        <f aca="false">IF(P13=32,N13*O13*Q13*6.313*1,IF(P13&gt;32,"",IF(P13&lt;32,"")))</f>
        <v/>
      </c>
      <c r="Z13" s="109"/>
      <c r="AA13" s="110" t="str">
        <f aca="false">IF(AC13&gt;0,N13,"")</f>
        <v/>
      </c>
      <c r="AB13" s="111" t="str">
        <f aca="false">IF(AC13&gt;0,O13,"")</f>
        <v/>
      </c>
      <c r="AC13" s="112"/>
      <c r="AD13" s="112"/>
      <c r="AE13" s="113" t="str">
        <f aca="false">IF(AC13&gt;0,P13,"")</f>
        <v/>
      </c>
      <c r="AF13" s="114" t="str">
        <f aca="false">IF(AE13=6,AA13*AB13*AC13*AD13*(AE13/1000)*0.222*1,IF(AE13&gt;6,"",IF(AE13&lt;6,"")))</f>
        <v/>
      </c>
      <c r="AG13" s="107" t="str">
        <f aca="false">IF(AE13=8,AA13*AB13*AC13*AD13*(AE13/1000)*0.395*1,IF(AE13&gt;8,"",IF(AE13&lt;8,"")))</f>
        <v/>
      </c>
      <c r="AH13" s="107" t="str">
        <f aca="false">IF(AE13=10,AA13*AB13*AC13*AD13*(AE13/1000)*0.617*1,IF(AE13&gt;10,"",IF(AE13&lt;10,"")))</f>
        <v/>
      </c>
      <c r="AI13" s="107" t="str">
        <f aca="false">IF(AE13=12,AA13*AB13*AC13*AD13*(AE13/1000)*0.888*1,IF(AE13&gt;12,"",IF(AE13&lt;12,"")))</f>
        <v/>
      </c>
      <c r="AJ13" s="107" t="str">
        <f aca="false">IF(AE13=16,AA13*AB13*AC13*AD13*(AE13/1000)*1.578*1,IF(AE13&gt;16,"",IF(AE13&lt;16,"")))</f>
        <v/>
      </c>
      <c r="AK13" s="107" t="str">
        <f aca="false">IF(AE13=20,AA13*AB13*AC13*AD13*(AE13/1000)*2.466*1,IF(AE13&gt;20,"",IF(AE13&lt;20,"")))</f>
        <v/>
      </c>
      <c r="AL13" s="107" t="str">
        <f aca="false">IF(AE13=25,AA13*AB13*AC13*AD13*(AE13/1000)*3.853*1,IF(AE13&gt;25,"",IF(AE13&lt;25,"")))</f>
        <v/>
      </c>
      <c r="AM13" s="115" t="str">
        <f aca="false">IF(AE13=32,AA13*AB13*AC13*AD13*(AE13/1000)*6.313*1,IF(AE13&gt;32,"",IF(AE13&lt;32,"")))</f>
        <v/>
      </c>
      <c r="AN13" s="128"/>
      <c r="AO13" s="117" t="s">
        <v>160</v>
      </c>
      <c r="AP13" s="118" t="n">
        <f aca="false">SUM(R13:Y13)+SUM(AN13)</f>
        <v>39.456</v>
      </c>
      <c r="AQ13" s="118" t="n">
        <f aca="false">SUM(AF13:AM13)</f>
        <v>0</v>
      </c>
      <c r="AR13" s="118"/>
      <c r="AS13" s="119" t="s">
        <v>218</v>
      </c>
      <c r="AT13" s="119" t="s">
        <v>173</v>
      </c>
    </row>
    <row r="14" customFormat="false" ht="13.5" hidden="false" customHeight="false" outlineLevel="0" collapsed="false">
      <c r="A14" s="129"/>
      <c r="B14" s="130"/>
      <c r="C14" s="110"/>
      <c r="D14" s="122"/>
      <c r="E14" s="122"/>
      <c r="F14" s="122"/>
      <c r="G14" s="123"/>
      <c r="H14" s="101"/>
      <c r="I14" s="123"/>
      <c r="J14" s="101"/>
      <c r="K14" s="124"/>
      <c r="L14" s="125"/>
      <c r="M14" s="125"/>
      <c r="N14" s="126"/>
      <c r="O14" s="126"/>
      <c r="P14" s="126"/>
      <c r="Q14" s="127"/>
      <c r="R14" s="105"/>
      <c r="S14" s="106"/>
      <c r="T14" s="106"/>
      <c r="U14" s="106"/>
      <c r="V14" s="107"/>
      <c r="W14" s="106"/>
      <c r="X14" s="106"/>
      <c r="Y14" s="108"/>
      <c r="Z14" s="109"/>
      <c r="AA14" s="110"/>
      <c r="AB14" s="111"/>
      <c r="AC14" s="112"/>
      <c r="AD14" s="112"/>
      <c r="AE14" s="113"/>
      <c r="AF14" s="114"/>
      <c r="AG14" s="107"/>
      <c r="AH14" s="107"/>
      <c r="AI14" s="107"/>
      <c r="AJ14" s="107"/>
      <c r="AK14" s="107"/>
      <c r="AL14" s="107"/>
      <c r="AM14" s="115"/>
      <c r="AO14" s="117"/>
      <c r="AP14" s="118"/>
      <c r="AQ14" s="118"/>
      <c r="AR14" s="118"/>
      <c r="AS14" s="119"/>
      <c r="AT14" s="119"/>
    </row>
    <row r="15" customFormat="false" ht="13.5" hidden="false" customHeight="false" outlineLevel="0" collapsed="false">
      <c r="A15" s="120"/>
      <c r="B15" s="121" t="s">
        <v>163</v>
      </c>
      <c r="C15" s="110" t="n">
        <v>1</v>
      </c>
      <c r="D15" s="122" t="n">
        <v>1.5</v>
      </c>
      <c r="E15" s="122" t="n">
        <v>2.7</v>
      </c>
      <c r="F15" s="122" t="n">
        <v>0.5</v>
      </c>
      <c r="G15" s="123" t="n">
        <f aca="false">C15*D15*E15*F15</f>
        <v>2.025</v>
      </c>
      <c r="H15" s="101"/>
      <c r="I15" s="123" t="n">
        <f aca="false">2*(D15+E15)*F15*C15</f>
        <v>4.2</v>
      </c>
      <c r="J15" s="101"/>
      <c r="K15" s="124"/>
      <c r="L15" s="125"/>
      <c r="M15" s="125"/>
      <c r="N15" s="126"/>
      <c r="O15" s="126"/>
      <c r="P15" s="126"/>
      <c r="Q15" s="127"/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str">
        <f aca="false">IF(P15=10,N15*O15*Q15*0.617*1,IF(P15&gt;10,"",IF(P15&lt;10,"")))</f>
        <v/>
      </c>
      <c r="U15" s="106" t="str">
        <f aca="false">IF(P15=12,N15*O15*Q15*0.888*1,IF(P15&gt;12,"",IF(P15&lt;12,"")))</f>
        <v/>
      </c>
      <c r="V15" s="107" t="str">
        <f aca="false">IF(P15=16,N15*O15*Q15*1.578*1,IF(P15&gt;16,"",IF(P15&lt;16,"")))</f>
        <v/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160</v>
      </c>
      <c r="AP15" s="118" t="n">
        <f aca="false">SUM(R15:Y15)+SUM(AN15)</f>
        <v>0</v>
      </c>
      <c r="AQ15" s="118" t="n">
        <f aca="false">SUM(AF15:AM15)</f>
        <v>0</v>
      </c>
      <c r="AR15" s="118" t="n">
        <v>2.025</v>
      </c>
      <c r="AS15" s="119" t="s">
        <v>219</v>
      </c>
      <c r="AT15" s="119" t="s">
        <v>209</v>
      </c>
    </row>
    <row r="16" customFormat="false" ht="13.5" hidden="false" customHeight="false" outlineLevel="0" collapsed="false">
      <c r="A16" s="129"/>
      <c r="B16" s="172"/>
      <c r="C16" s="110"/>
      <c r="D16" s="122"/>
      <c r="E16" s="122"/>
      <c r="F16" s="173"/>
      <c r="G16" s="123"/>
      <c r="H16" s="101"/>
      <c r="I16" s="123"/>
      <c r="J16" s="101"/>
      <c r="K16" s="124" t="s">
        <v>220</v>
      </c>
      <c r="L16" s="125" t="n">
        <f aca="false">$E$15-2*0.05</f>
        <v>2.6</v>
      </c>
      <c r="M16" s="125" t="n">
        <v>0.1</v>
      </c>
      <c r="N16" s="126" t="n">
        <f aca="false">$C$15</f>
        <v>1</v>
      </c>
      <c r="O16" s="126" t="n">
        <f aca="false">CEILING(L16/M16,1)+1</f>
        <v>27</v>
      </c>
      <c r="P16" s="126" t="n">
        <v>12</v>
      </c>
      <c r="Q16" s="127" t="n">
        <f aca="false">$D$15-2*0.05+2*($F$15-2*0.05)</f>
        <v>2.2</v>
      </c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str">
        <f aca="false">IF(P16=10,N16*O16*Q16*0.617*1,IF(P16&gt;10,"",IF(P16&lt;10,"")))</f>
        <v/>
      </c>
      <c r="U16" s="106" t="n">
        <f aca="false">IF(P16=12,N16*O16*Q16*0.888*1,IF(P16&gt;12,"",IF(P16&lt;12,"")))</f>
        <v>52.7472</v>
      </c>
      <c r="V16" s="107" t="str">
        <f aca="false">IF(P16=16,N16*O16*Q16*1.578*1,IF(P16&gt;16,"",IF(P16&lt;16,"")))</f>
        <v/>
      </c>
      <c r="W16" s="106" t="str">
        <f aca="false">IF(P16=20,N16*O16*Q16*2.466*1,IF(P16&gt;20,"",IF(P16&lt;20,"")))</f>
        <v/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160</v>
      </c>
      <c r="AP16" s="118" t="n">
        <f aca="false">SUM(R16:Y16)+SUM(AN16)</f>
        <v>52.7472</v>
      </c>
      <c r="AQ16" s="118" t="n">
        <f aca="false">SUM(AF16:AM16)</f>
        <v>0</v>
      </c>
      <c r="AR16" s="118"/>
      <c r="AS16" s="119" t="s">
        <v>211</v>
      </c>
      <c r="AT16" s="119" t="s">
        <v>162</v>
      </c>
    </row>
    <row r="17" customFormat="false" ht="13.5" hidden="false" customHeight="false" outlineLevel="0" collapsed="false">
      <c r="A17" s="129"/>
      <c r="B17" s="172"/>
      <c r="C17" s="110"/>
      <c r="D17" s="122"/>
      <c r="E17" s="122"/>
      <c r="F17" s="173"/>
      <c r="G17" s="123"/>
      <c r="H17" s="101"/>
      <c r="I17" s="123"/>
      <c r="J17" s="101"/>
      <c r="K17" s="124" t="s">
        <v>221</v>
      </c>
      <c r="L17" s="125" t="n">
        <f aca="false">$D$15-2*0.05</f>
        <v>1.4</v>
      </c>
      <c r="M17" s="125" t="n">
        <v>0.1</v>
      </c>
      <c r="N17" s="126" t="n">
        <f aca="false">$C$15</f>
        <v>1</v>
      </c>
      <c r="O17" s="126" t="n">
        <f aca="false">CEILING(L17/M17,1)+1</f>
        <v>15</v>
      </c>
      <c r="P17" s="126" t="n">
        <v>12</v>
      </c>
      <c r="Q17" s="127" t="n">
        <f aca="false">$E$15-2*0.05+2*($F$15-2*0.05)</f>
        <v>3.4</v>
      </c>
      <c r="R17" s="105" t="str">
        <f aca="false">IF(P17=6,N17*O17*Q17*0.222*1,IF(P17&gt;6,"",IF(P17&lt;6,"")))</f>
        <v/>
      </c>
      <c r="S17" s="106" t="str">
        <f aca="false">IF(P17=8,N17*O17*Q17*0.395*1,IF(P17&gt;8,"",IF(P17&lt;8,"")))</f>
        <v/>
      </c>
      <c r="T17" s="106" t="str">
        <f aca="false">IF(P17=10,N17*O17*Q17*0.617*1,IF(P17&gt;10,"",IF(P17&lt;10,"")))</f>
        <v/>
      </c>
      <c r="U17" s="106" t="n">
        <f aca="false">IF(P17=12,N17*O17*Q17*0.888*1,IF(P17&gt;12,"",IF(P17&lt;12,"")))</f>
        <v>45.288</v>
      </c>
      <c r="V17" s="107" t="str">
        <f aca="false">IF(P17=16,N17*O17*Q17*1.578*1,IF(P17&gt;16,"",IF(P17&lt;16,"")))</f>
        <v/>
      </c>
      <c r="W17" s="106" t="str">
        <f aca="false">IF(P17=20,N17*O17*Q17*2.466*1,IF(P17&gt;20,"",IF(P17&lt;20,"")))</f>
        <v/>
      </c>
      <c r="X17" s="106" t="str">
        <f aca="false">IF(P17=25,N17*O17*Q17*3.853*1,IF(P17&gt;25,"",IF(P17&lt;25,"")))</f>
        <v/>
      </c>
      <c r="Y17" s="108" t="str">
        <f aca="false">IF(P17=32,N17*O17*Q17*6.313*1,IF(P17&gt;32,"",IF(P17&lt;32,"")))</f>
        <v/>
      </c>
      <c r="Z17" s="109"/>
      <c r="AA17" s="110" t="str">
        <f aca="false">IF(AC17&gt;0,N17,"")</f>
        <v/>
      </c>
      <c r="AB17" s="111" t="str">
        <f aca="false">IF(AC17&gt;0,O17,"")</f>
        <v/>
      </c>
      <c r="AC17" s="112"/>
      <c r="AD17" s="112"/>
      <c r="AE17" s="113" t="str">
        <f aca="false">IF(AC17&gt;0,P17,"")</f>
        <v/>
      </c>
      <c r="AF17" s="114" t="str">
        <f aca="false">IF(AE17=6,AA17*AB17*AC17*AD17*(AE17/1000)*0.222*1,IF(AE17&gt;6,"",IF(AE17&lt;6,"")))</f>
        <v/>
      </c>
      <c r="AG17" s="107" t="str">
        <f aca="false">IF(AE17=8,AA17*AB17*AC17*AD17*(AE17/1000)*0.395*1,IF(AE17&gt;8,"",IF(AE17&lt;8,"")))</f>
        <v/>
      </c>
      <c r="AH17" s="107" t="str">
        <f aca="false">IF(AE17=10,AA17*AB17*AC17*AD17*(AE17/1000)*0.617*1,IF(AE17&gt;10,"",IF(AE17&lt;10,"")))</f>
        <v/>
      </c>
      <c r="AI17" s="107" t="str">
        <f aca="false">IF(AE17=12,AA17*AB17*AC17*AD17*(AE17/1000)*0.888*1,IF(AE17&gt;12,"",IF(AE17&lt;12,"")))</f>
        <v/>
      </c>
      <c r="AJ17" s="107" t="str">
        <f aca="false">IF(AE17=16,AA17*AB17*AC17*AD17*(AE17/1000)*1.578*1,IF(AE17&gt;16,"",IF(AE17&lt;16,"")))</f>
        <v/>
      </c>
      <c r="AK17" s="107" t="str">
        <f aca="false">IF(AE17=20,AA17*AB17*AC17*AD17*(AE17/1000)*2.466*1,IF(AE17&gt;20,"",IF(AE17&lt;20,"")))</f>
        <v/>
      </c>
      <c r="AL17" s="107" t="str">
        <f aca="false">IF(AE17=25,AA17*AB17*AC17*AD17*(AE17/1000)*3.853*1,IF(AE17&gt;25,"",IF(AE17&lt;25,"")))</f>
        <v/>
      </c>
      <c r="AM17" s="115" t="str">
        <f aca="false">IF(AE17=32,AA17*AB17*AC17*AD17*(AE17/1000)*6.313*1,IF(AE17&gt;32,"",IF(AE17&lt;32,"")))</f>
        <v/>
      </c>
      <c r="AN17" s="128"/>
      <c r="AO17" s="117" t="s">
        <v>160</v>
      </c>
      <c r="AP17" s="118" t="n">
        <f aca="false">SUM(R17:Y17)+SUM(AN17)</f>
        <v>45.288</v>
      </c>
      <c r="AQ17" s="118" t="n">
        <f aca="false">SUM(AF17:AM17)</f>
        <v>0</v>
      </c>
      <c r="AR17" s="118"/>
      <c r="AS17" s="119" t="s">
        <v>211</v>
      </c>
      <c r="AT17" s="119" t="s">
        <v>162</v>
      </c>
    </row>
    <row r="18" customFormat="false" ht="13.5" hidden="false" customHeight="false" outlineLevel="0" collapsed="false">
      <c r="A18" s="129"/>
      <c r="B18" s="172"/>
      <c r="C18" s="110"/>
      <c r="D18" s="122"/>
      <c r="E18" s="122"/>
      <c r="F18" s="173"/>
      <c r="G18" s="123"/>
      <c r="H18" s="101"/>
      <c r="I18" s="123"/>
      <c r="J18" s="101"/>
      <c r="K18" s="124" t="s">
        <v>222</v>
      </c>
      <c r="L18" s="125" t="n">
        <f aca="false">$E$15-2*0.05</f>
        <v>2.6</v>
      </c>
      <c r="M18" s="125" t="n">
        <v>0.1</v>
      </c>
      <c r="N18" s="126" t="n">
        <f aca="false">$C$15</f>
        <v>1</v>
      </c>
      <c r="O18" s="126" t="n">
        <f aca="false">CEILING(L18/M18,1)+1</f>
        <v>27</v>
      </c>
      <c r="P18" s="126" t="n">
        <v>12</v>
      </c>
      <c r="Q18" s="127" t="n">
        <f aca="false">$D$15-2*0.05+2*($F$15-2*0.05)</f>
        <v>2.2</v>
      </c>
      <c r="R18" s="105" t="str">
        <f aca="false">IF(P18=6,N18*O18*Q18*0.222*1,IF(P18&gt;6,"",IF(P18&lt;6,"")))</f>
        <v/>
      </c>
      <c r="S18" s="106" t="str">
        <f aca="false">IF(P18=8,N18*O18*Q18*0.395*1,IF(P18&gt;8,"",IF(P18&lt;8,"")))</f>
        <v/>
      </c>
      <c r="T18" s="106" t="str">
        <f aca="false">IF(P18=10,N18*O18*Q18*0.617*1,IF(P18&gt;10,"",IF(P18&lt;10,"")))</f>
        <v/>
      </c>
      <c r="U18" s="106" t="n">
        <f aca="false">IF(P18=12,N18*O18*Q18*0.888*1,IF(P18&gt;12,"",IF(P18&lt;12,"")))</f>
        <v>52.7472</v>
      </c>
      <c r="V18" s="107" t="str">
        <f aca="false">IF(P18=16,N18*O18*Q18*1.578*1,IF(P18&gt;16,"",IF(P18&lt;16,"")))</f>
        <v/>
      </c>
      <c r="W18" s="106" t="str">
        <f aca="false">IF(P18=20,N18*O18*Q18*2.466*1,IF(P18&gt;20,"",IF(P18&lt;20,"")))</f>
        <v/>
      </c>
      <c r="X18" s="106" t="str">
        <f aca="false">IF(P18=25,N18*O18*Q18*3.853*1,IF(P18&gt;25,"",IF(P18&lt;25,"")))</f>
        <v/>
      </c>
      <c r="Y18" s="108" t="str">
        <f aca="false">IF(P18=32,N18*O18*Q18*6.313*1,IF(P18&gt;32,"",IF(P18&lt;32,"")))</f>
        <v/>
      </c>
      <c r="Z18" s="109"/>
      <c r="AA18" s="110" t="str">
        <f aca="false">IF(AC18&gt;0,N18,"")</f>
        <v/>
      </c>
      <c r="AB18" s="111" t="str">
        <f aca="false">IF(AC18&gt;0,O18,"")</f>
        <v/>
      </c>
      <c r="AC18" s="112"/>
      <c r="AD18" s="112"/>
      <c r="AE18" s="113" t="str">
        <f aca="false">IF(AC18&gt;0,P18,"")</f>
        <v/>
      </c>
      <c r="AF18" s="114" t="str">
        <f aca="false">IF(AE18=6,AA18*AB18*AC18*AD18*(AE18/1000)*0.222*1,IF(AE18&gt;6,"",IF(AE18&lt;6,"")))</f>
        <v/>
      </c>
      <c r="AG18" s="107" t="str">
        <f aca="false">IF(AE18=8,AA18*AB18*AC18*AD18*(AE18/1000)*0.395*1,IF(AE18&gt;8,"",IF(AE18&lt;8,"")))</f>
        <v/>
      </c>
      <c r="AH18" s="107" t="str">
        <f aca="false">IF(AE18=10,AA18*AB18*AC18*AD18*(AE18/1000)*0.617*1,IF(AE18&gt;10,"",IF(AE18&lt;10,"")))</f>
        <v/>
      </c>
      <c r="AI18" s="107" t="str">
        <f aca="false">IF(AE18=12,AA18*AB18*AC18*AD18*(AE18/1000)*0.888*1,IF(AE18&gt;12,"",IF(AE18&lt;12,"")))</f>
        <v/>
      </c>
      <c r="AJ18" s="107" t="str">
        <f aca="false">IF(AE18=16,AA18*AB18*AC18*AD18*(AE18/1000)*1.578*1,IF(AE18&gt;16,"",IF(AE18&lt;16,"")))</f>
        <v/>
      </c>
      <c r="AK18" s="107" t="str">
        <f aca="false">IF(AE18=20,AA18*AB18*AC18*AD18*(AE18/1000)*2.466*1,IF(AE18&gt;20,"",IF(AE18&lt;20,"")))</f>
        <v/>
      </c>
      <c r="AL18" s="107" t="str">
        <f aca="false">IF(AE18=25,AA18*AB18*AC18*AD18*(AE18/1000)*3.853*1,IF(AE18&gt;25,"",IF(AE18&lt;25,"")))</f>
        <v/>
      </c>
      <c r="AM18" s="115" t="str">
        <f aca="false">IF(AE18=32,AA18*AB18*AC18*AD18*(AE18/1000)*6.313*1,IF(AE18&gt;32,"",IF(AE18&lt;32,"")))</f>
        <v/>
      </c>
      <c r="AN18" s="128"/>
      <c r="AO18" s="117" t="s">
        <v>160</v>
      </c>
      <c r="AP18" s="118" t="n">
        <f aca="false">SUM(R18:Y18)+SUM(AN18)</f>
        <v>52.7472</v>
      </c>
      <c r="AQ18" s="118" t="n">
        <f aca="false">SUM(AF18:AM18)</f>
        <v>0</v>
      </c>
      <c r="AR18" s="118"/>
      <c r="AS18" s="119" t="s">
        <v>211</v>
      </c>
      <c r="AT18" s="119" t="s">
        <v>162</v>
      </c>
    </row>
    <row r="19" customFormat="false" ht="13.5" hidden="false" customHeight="false" outlineLevel="0" collapsed="false">
      <c r="A19" s="129"/>
      <c r="B19" s="172"/>
      <c r="C19" s="110"/>
      <c r="D19" s="122"/>
      <c r="E19" s="122"/>
      <c r="F19" s="173"/>
      <c r="G19" s="123"/>
      <c r="H19" s="101"/>
      <c r="I19" s="123"/>
      <c r="J19" s="101"/>
      <c r="K19" s="124" t="s">
        <v>223</v>
      </c>
      <c r="L19" s="125" t="n">
        <f aca="false">$D$15-2*0.05</f>
        <v>1.4</v>
      </c>
      <c r="M19" s="125" t="n">
        <v>0.1</v>
      </c>
      <c r="N19" s="126" t="n">
        <f aca="false">$C$15</f>
        <v>1</v>
      </c>
      <c r="O19" s="126" t="n">
        <f aca="false">CEILING(L19/M19,1)+1</f>
        <v>15</v>
      </c>
      <c r="P19" s="126" t="n">
        <v>12</v>
      </c>
      <c r="Q19" s="127" t="n">
        <f aca="false">$E$15-2*0.05+2*($F$15-2*0.05)</f>
        <v>3.4</v>
      </c>
      <c r="R19" s="105" t="str">
        <f aca="false">IF(P19=6,N19*O19*Q19*0.222*1,IF(P19&gt;6,"",IF(P19&lt;6,"")))</f>
        <v/>
      </c>
      <c r="S19" s="106" t="str">
        <f aca="false">IF(P19=8,N19*O19*Q19*0.395*1,IF(P19&gt;8,"",IF(P19&lt;8,"")))</f>
        <v/>
      </c>
      <c r="T19" s="106" t="str">
        <f aca="false">IF(P19=10,N19*O19*Q19*0.617*1,IF(P19&gt;10,"",IF(P19&lt;10,"")))</f>
        <v/>
      </c>
      <c r="U19" s="106" t="n">
        <f aca="false">IF(P19=12,N19*O19*Q19*0.888*1,IF(P19&gt;12,"",IF(P19&lt;12,"")))</f>
        <v>45.288</v>
      </c>
      <c r="V19" s="107" t="str">
        <f aca="false">IF(P19=16,N19*O19*Q19*1.578*1,IF(P19&gt;16,"",IF(P19&lt;16,"")))</f>
        <v/>
      </c>
      <c r="W19" s="106" t="str">
        <f aca="false">IF(P19=20,N19*O19*Q19*2.466*1,IF(P19&gt;20,"",IF(P19&lt;20,"")))</f>
        <v/>
      </c>
      <c r="X19" s="106" t="str">
        <f aca="false">IF(P19=25,N19*O19*Q19*3.853*1,IF(P19&gt;25,"",IF(P19&lt;25,"")))</f>
        <v/>
      </c>
      <c r="Y19" s="108" t="str">
        <f aca="false">IF(P19=32,N19*O19*Q19*6.313*1,IF(P19&gt;32,"",IF(P19&lt;32,"")))</f>
        <v/>
      </c>
      <c r="Z19" s="109"/>
      <c r="AA19" s="110" t="str">
        <f aca="false">IF(AC19&gt;0,N19,"")</f>
        <v/>
      </c>
      <c r="AB19" s="111" t="str">
        <f aca="false">IF(AC19&gt;0,O19,"")</f>
        <v/>
      </c>
      <c r="AC19" s="112"/>
      <c r="AD19" s="112"/>
      <c r="AE19" s="113" t="str">
        <f aca="false">IF(AC19&gt;0,P19,"")</f>
        <v/>
      </c>
      <c r="AF19" s="114" t="str">
        <f aca="false">IF(AE19=6,AA19*AB19*AC19*AD19*(AE19/1000)*0.222*1,IF(AE19&gt;6,"",IF(AE19&lt;6,"")))</f>
        <v/>
      </c>
      <c r="AG19" s="107" t="str">
        <f aca="false">IF(AE19=8,AA19*AB19*AC19*AD19*(AE19/1000)*0.395*1,IF(AE19&gt;8,"",IF(AE19&lt;8,"")))</f>
        <v/>
      </c>
      <c r="AH19" s="107" t="str">
        <f aca="false">IF(AE19=10,AA19*AB19*AC19*AD19*(AE19/1000)*0.617*1,IF(AE19&gt;10,"",IF(AE19&lt;10,"")))</f>
        <v/>
      </c>
      <c r="AI19" s="107" t="str">
        <f aca="false">IF(AE19=12,AA19*AB19*AC19*AD19*(AE19/1000)*0.888*1,IF(AE19&gt;12,"",IF(AE19&lt;12,"")))</f>
        <v/>
      </c>
      <c r="AJ19" s="107" t="str">
        <f aca="false">IF(AE19=16,AA19*AB19*AC19*AD19*(AE19/1000)*1.578*1,IF(AE19&gt;16,"",IF(AE19&lt;16,"")))</f>
        <v/>
      </c>
      <c r="AK19" s="107" t="str">
        <f aca="false">IF(AE19=20,AA19*AB19*AC19*AD19*(AE19/1000)*2.466*1,IF(AE19&gt;20,"",IF(AE19&lt;20,"")))</f>
        <v/>
      </c>
      <c r="AL19" s="107" t="str">
        <f aca="false">IF(AE19=25,AA19*AB19*AC19*AD19*(AE19/1000)*3.853*1,IF(AE19&gt;25,"",IF(AE19&lt;25,"")))</f>
        <v/>
      </c>
      <c r="AM19" s="115" t="str">
        <f aca="false">IF(AE19=32,AA19*AB19*AC19*AD19*(AE19/1000)*6.313*1,IF(AE19&gt;32,"",IF(AE19&lt;32,"")))</f>
        <v/>
      </c>
      <c r="AN19" s="128"/>
      <c r="AO19" s="117" t="s">
        <v>160</v>
      </c>
      <c r="AP19" s="118" t="n">
        <f aca="false">SUM(R19:Y19)+SUM(AN19)</f>
        <v>45.288</v>
      </c>
      <c r="AQ19" s="118" t="n">
        <f aca="false">SUM(AF19:AM19)</f>
        <v>0</v>
      </c>
      <c r="AR19" s="118"/>
      <c r="AS19" s="119" t="s">
        <v>211</v>
      </c>
      <c r="AT19" s="119" t="s">
        <v>162</v>
      </c>
    </row>
    <row r="20" customFormat="false" ht="13.5" hidden="false" customHeight="false" outlineLevel="0" collapsed="false">
      <c r="A20" s="129"/>
      <c r="B20" s="172"/>
      <c r="C20" s="110"/>
      <c r="D20" s="122"/>
      <c r="E20" s="122"/>
      <c r="F20" s="173"/>
      <c r="G20" s="123"/>
      <c r="H20" s="101"/>
      <c r="I20" s="123"/>
      <c r="J20" s="101"/>
      <c r="K20" s="124" t="s">
        <v>224</v>
      </c>
      <c r="L20" s="125"/>
      <c r="M20" s="125"/>
      <c r="N20" s="126" t="n">
        <f aca="false">$C$15</f>
        <v>1</v>
      </c>
      <c r="O20" s="126" t="n">
        <v>4</v>
      </c>
      <c r="P20" s="126" t="n">
        <v>12</v>
      </c>
      <c r="Q20" s="127" t="n">
        <f aca="false">2*($D$15+$E$15)-8*0.05</f>
        <v>8</v>
      </c>
      <c r="R20" s="105" t="str">
        <f aca="false">IF(P20=6,N20*O20*Q20*0.222*1,IF(P20&gt;6,"",IF(P20&lt;6,"")))</f>
        <v/>
      </c>
      <c r="S20" s="106" t="str">
        <f aca="false">IF(P20=8,N20*O20*Q20*0.395*1,IF(P20&gt;8,"",IF(P20&lt;8,"")))</f>
        <v/>
      </c>
      <c r="T20" s="106" t="str">
        <f aca="false">IF(P20=10,N20*O20*Q20*0.617*1,IF(P20&gt;10,"",IF(P20&lt;10,"")))</f>
        <v/>
      </c>
      <c r="U20" s="106" t="n">
        <f aca="false">IF(P20=12,N20*O20*Q20*0.888*1,IF(P20&gt;12,"",IF(P20&lt;12,"")))</f>
        <v>28.416</v>
      </c>
      <c r="V20" s="107" t="str">
        <f aca="false">IF(P20=16,N20*O20*Q20*1.578*1,IF(P20&gt;16,"",IF(P20&lt;16,"")))</f>
        <v/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n">
        <f aca="false">IF(AC20&gt;0,N20,"")</f>
        <v>1</v>
      </c>
      <c r="AB20" s="111" t="n">
        <f aca="false">IF(AC20&gt;0,O20,"")</f>
        <v>4</v>
      </c>
      <c r="AC20" s="112" t="n">
        <v>1</v>
      </c>
      <c r="AD20" s="112" t="n">
        <v>50</v>
      </c>
      <c r="AE20" s="113" t="n">
        <f aca="false">IF(AC20&gt;0,P20,"")</f>
        <v>12</v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n">
        <f aca="false">IF(AE20=12,AA20*AB20*AC20*AD20*(AE20/1000)*0.888*1,IF(AE20&gt;12,"",IF(AE20&lt;12,"")))</f>
        <v>2.1312</v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160</v>
      </c>
      <c r="AP20" s="118" t="n">
        <f aca="false">SUM(R20:Y20)+SUM(AN20)</f>
        <v>28.416</v>
      </c>
      <c r="AQ20" s="118" t="n">
        <f aca="false">SUM(AF20:AM20)</f>
        <v>2.1312</v>
      </c>
      <c r="AR20" s="118"/>
      <c r="AS20" s="119" t="s">
        <v>216</v>
      </c>
      <c r="AT20" s="119" t="s">
        <v>173</v>
      </c>
    </row>
    <row r="21" customFormat="false" ht="13.5" hidden="false" customHeight="false" outlineLevel="0" collapsed="false">
      <c r="A21" s="129"/>
      <c r="B21" s="172"/>
      <c r="C21" s="110"/>
      <c r="D21" s="122"/>
      <c r="E21" s="122"/>
      <c r="F21" s="173"/>
      <c r="G21" s="123"/>
      <c r="H21" s="101"/>
      <c r="I21" s="123"/>
      <c r="J21" s="101"/>
      <c r="K21" s="124" t="s">
        <v>225</v>
      </c>
      <c r="L21" s="125"/>
      <c r="M21" s="125"/>
      <c r="N21" s="126" t="n">
        <v>2</v>
      </c>
      <c r="O21" s="126" t="n">
        <v>4</v>
      </c>
      <c r="P21" s="126" t="n">
        <v>20</v>
      </c>
      <c r="Q21" s="127" t="n">
        <f aca="false">MAX(50*20/1000,$F$15-2*0.05+0.15)+50*20/1000</f>
        <v>2</v>
      </c>
      <c r="R21" s="105" t="str">
        <f aca="false">IF(P21=6,N21*O21*Q21*0.222*1,IF(P21&gt;6,"",IF(P21&lt;6,"")))</f>
        <v/>
      </c>
      <c r="S21" s="106" t="str">
        <f aca="false">IF(P21=8,N21*O21*Q21*0.395*1,IF(P21&gt;8,"",IF(P21&lt;8,"")))</f>
        <v/>
      </c>
      <c r="T21" s="106" t="str">
        <f aca="false">IF(P21=10,N21*O21*Q21*0.617*1,IF(P21&gt;10,"",IF(P21&lt;10,"")))</f>
        <v/>
      </c>
      <c r="U21" s="106" t="str">
        <f aca="false">IF(P21=12,N21*O21*Q21*0.888*1,IF(P21&gt;12,"",IF(P21&lt;12,"")))</f>
        <v/>
      </c>
      <c r="V21" s="107" t="str">
        <f aca="false">IF(P21=16,N21*O21*Q21*1.578*1,IF(P21&gt;16,"",IF(P21&lt;16,"")))</f>
        <v/>
      </c>
      <c r="W21" s="106" t="n">
        <f aca="false">IF(P21=20,N21*O21*Q21*2.466*1,IF(P21&gt;20,"",IF(P21&lt;20,"")))</f>
        <v>39.456</v>
      </c>
      <c r="X21" s="106" t="str">
        <f aca="false">IF(P21=25,N21*O21*Q21*3.853*1,IF(P21&gt;25,"",IF(P21&lt;25,"")))</f>
        <v/>
      </c>
      <c r="Y21" s="108" t="str">
        <f aca="false">IF(P21=32,N21*O21*Q21*6.313*1,IF(P21&gt;32,"",IF(P21&lt;32,"")))</f>
        <v/>
      </c>
      <c r="Z21" s="109"/>
      <c r="AA21" s="110" t="str">
        <f aca="false">IF(AC21&gt;0,N21,"")</f>
        <v/>
      </c>
      <c r="AB21" s="111" t="str">
        <f aca="false">IF(AC21&gt;0,O21,"")</f>
        <v/>
      </c>
      <c r="AC21" s="112"/>
      <c r="AD21" s="112"/>
      <c r="AE21" s="113" t="str">
        <f aca="false">IF(AC21&gt;0,P21,"")</f>
        <v/>
      </c>
      <c r="AF21" s="114" t="str">
        <f aca="false">IF(AE21=6,AA21*AB21*AC21*AD21*(AE21/1000)*0.222*1,IF(AE21&gt;6,"",IF(AE21&lt;6,"")))</f>
        <v/>
      </c>
      <c r="AG21" s="107" t="str">
        <f aca="false">IF(AE21=8,AA21*AB21*AC21*AD21*(AE21/1000)*0.395*1,IF(AE21&gt;8,"",IF(AE21&lt;8,"")))</f>
        <v/>
      </c>
      <c r="AH21" s="107" t="str">
        <f aca="false">IF(AE21=10,AA21*AB21*AC21*AD21*(AE21/1000)*0.617*1,IF(AE21&gt;10,"",IF(AE21&lt;10,"")))</f>
        <v/>
      </c>
      <c r="AI21" s="107" t="str">
        <f aca="false">IF(AE21=12,AA21*AB21*AC21*AD21*(AE21/1000)*0.888*1,IF(AE21&gt;12,"",IF(AE21&lt;12,"")))</f>
        <v/>
      </c>
      <c r="AJ21" s="107" t="str">
        <f aca="false">IF(AE21=16,AA21*AB21*AC21*AD21*(AE21/1000)*1.578*1,IF(AE21&gt;16,"",IF(AE21&lt;16,"")))</f>
        <v/>
      </c>
      <c r="AK21" s="107" t="str">
        <f aca="false">IF(AE21=20,AA21*AB21*AC21*AD21*(AE21/1000)*2.466*1,IF(AE21&gt;20,"",IF(AE21&lt;20,"")))</f>
        <v/>
      </c>
      <c r="AL21" s="107" t="str">
        <f aca="false">IF(AE21=25,AA21*AB21*AC21*AD21*(AE21/1000)*3.853*1,IF(AE21&gt;25,"",IF(AE21&lt;25,"")))</f>
        <v/>
      </c>
      <c r="AM21" s="115" t="str">
        <f aca="false">IF(AE21=32,AA21*AB21*AC21*AD21*(AE21/1000)*6.313*1,IF(AE21&gt;32,"",IF(AE21&lt;32,"")))</f>
        <v/>
      </c>
      <c r="AN21" s="128"/>
      <c r="AO21" s="117" t="s">
        <v>160</v>
      </c>
      <c r="AP21" s="118" t="n">
        <f aca="false">SUM(R21:Y21)+SUM(AN21)</f>
        <v>39.456</v>
      </c>
      <c r="AQ21" s="118" t="n">
        <f aca="false">SUM(AF21:AM21)</f>
        <v>0</v>
      </c>
      <c r="AR21" s="118"/>
      <c r="AS21" s="119" t="s">
        <v>218</v>
      </c>
      <c r="AT21" s="119" t="s">
        <v>173</v>
      </c>
    </row>
    <row r="22" customFormat="false" ht="13.5" hidden="false" customHeight="false" outlineLevel="0" collapsed="false">
      <c r="A22" s="129"/>
      <c r="B22" s="130"/>
      <c r="C22" s="110"/>
      <c r="D22" s="122"/>
      <c r="E22" s="122"/>
      <c r="F22" s="122"/>
      <c r="G22" s="123"/>
      <c r="H22" s="101"/>
      <c r="I22" s="123"/>
      <c r="J22" s="101"/>
      <c r="K22" s="124"/>
      <c r="L22" s="125"/>
      <c r="M22" s="125"/>
      <c r="N22" s="126"/>
      <c r="O22" s="126"/>
      <c r="P22" s="126"/>
      <c r="Q22" s="127"/>
      <c r="R22" s="105"/>
      <c r="S22" s="106"/>
      <c r="T22" s="106"/>
      <c r="U22" s="106"/>
      <c r="V22" s="107"/>
      <c r="W22" s="106"/>
      <c r="X22" s="106"/>
      <c r="Y22" s="108"/>
      <c r="Z22" s="109"/>
      <c r="AA22" s="110"/>
      <c r="AB22" s="111"/>
      <c r="AC22" s="112"/>
      <c r="AD22" s="112"/>
      <c r="AE22" s="113"/>
      <c r="AF22" s="114"/>
      <c r="AG22" s="107"/>
      <c r="AH22" s="107"/>
      <c r="AI22" s="107"/>
      <c r="AJ22" s="107"/>
      <c r="AK22" s="107"/>
      <c r="AL22" s="107"/>
      <c r="AM22" s="115"/>
      <c r="AO22" s="117"/>
      <c r="AP22" s="118"/>
      <c r="AQ22" s="118"/>
      <c r="AR22" s="118"/>
      <c r="AS22" s="119"/>
      <c r="AT22" s="119"/>
    </row>
    <row r="23" customFormat="false" ht="13.5" hidden="false" customHeight="false" outlineLevel="0" collapsed="false">
      <c r="A23" s="120"/>
      <c r="B23" s="121" t="s">
        <v>164</v>
      </c>
      <c r="C23" s="110" t="n">
        <v>1</v>
      </c>
      <c r="D23" s="122" t="n">
        <v>1</v>
      </c>
      <c r="E23" s="122" t="n">
        <v>2.35</v>
      </c>
      <c r="F23" s="122" t="n">
        <v>0.5</v>
      </c>
      <c r="G23" s="123" t="n">
        <f aca="false">C23*D23*E23*F23</f>
        <v>1.175</v>
      </c>
      <c r="H23" s="101"/>
      <c r="I23" s="123" t="n">
        <f aca="false">2*(D23+E23)*F23*C23</f>
        <v>3.35</v>
      </c>
      <c r="J23" s="101"/>
      <c r="K23" s="124"/>
      <c r="L23" s="125"/>
      <c r="M23" s="125"/>
      <c r="N23" s="126"/>
      <c r="O23" s="126"/>
      <c r="P23" s="126"/>
      <c r="Q23" s="127"/>
      <c r="R23" s="105" t="str">
        <f aca="false">IF(P23=6,N23*O23*Q23*0.222*1,IF(P23&gt;6,"",IF(P23&lt;6,"")))</f>
        <v/>
      </c>
      <c r="S23" s="106" t="str">
        <f aca="false">IF(P23=8,N23*O23*Q23*0.395*1,IF(P23&gt;8,"",IF(P23&lt;8,"")))</f>
        <v/>
      </c>
      <c r="T23" s="106" t="str">
        <f aca="false">IF(P23=10,N23*O23*Q23*0.617*1,IF(P23&gt;10,"",IF(P23&lt;10,"")))</f>
        <v/>
      </c>
      <c r="U23" s="106" t="str">
        <f aca="false">IF(P23=12,N23*O23*Q23*0.888*1,IF(P23&gt;12,"",IF(P23&lt;12,"")))</f>
        <v/>
      </c>
      <c r="V23" s="107" t="str">
        <f aca="false">IF(P23=16,N23*O23*Q23*1.578*1,IF(P23&gt;16,"",IF(P23&lt;16,"")))</f>
        <v/>
      </c>
      <c r="W23" s="106" t="str">
        <f aca="false">IF(P23=20,N23*O23*Q23*2.466*1,IF(P23&gt;20,"",IF(P23&lt;20,"")))</f>
        <v/>
      </c>
      <c r="X23" s="106" t="str">
        <f aca="false">IF(P23=25,N23*O23*Q23*3.853*1,IF(P23&gt;25,"",IF(P23&lt;25,"")))</f>
        <v/>
      </c>
      <c r="Y23" s="108" t="str">
        <f aca="false">IF(P23=32,N23*O23*Q23*6.313*1,IF(P23&gt;32,"",IF(P23&lt;32,"")))</f>
        <v/>
      </c>
      <c r="Z23" s="109"/>
      <c r="AA23" s="110" t="str">
        <f aca="false">IF(AC23&gt;0,N23,"")</f>
        <v/>
      </c>
      <c r="AB23" s="111" t="str">
        <f aca="false">IF(AC23&gt;0,O23,"")</f>
        <v/>
      </c>
      <c r="AC23" s="112"/>
      <c r="AD23" s="112"/>
      <c r="AE23" s="113" t="str">
        <f aca="false">IF(AC23&gt;0,P23,"")</f>
        <v/>
      </c>
      <c r="AF23" s="114" t="str">
        <f aca="false">IF(AE23=6,AA23*AB23*AC23*AD23*(AE23/1000)*0.222*1,IF(AE23&gt;6,"",IF(AE23&lt;6,"")))</f>
        <v/>
      </c>
      <c r="AG23" s="107" t="str">
        <f aca="false">IF(AE23=8,AA23*AB23*AC23*AD23*(AE23/1000)*0.395*1,IF(AE23&gt;8,"",IF(AE23&lt;8,"")))</f>
        <v/>
      </c>
      <c r="AH23" s="107" t="str">
        <f aca="false">IF(AE23=10,AA23*AB23*AC23*AD23*(AE23/1000)*0.617*1,IF(AE23&gt;10,"",IF(AE23&lt;10,"")))</f>
        <v/>
      </c>
      <c r="AI23" s="107" t="str">
        <f aca="false">IF(AE23=12,AA23*AB23*AC23*AD23*(AE23/1000)*0.888*1,IF(AE23&gt;12,"",IF(AE23&lt;12,"")))</f>
        <v/>
      </c>
      <c r="AJ23" s="107" t="str">
        <f aca="false">IF(AE23=16,AA23*AB23*AC23*AD23*(AE23/1000)*1.578*1,IF(AE23&gt;16,"",IF(AE23&lt;16,"")))</f>
        <v/>
      </c>
      <c r="AK23" s="107" t="str">
        <f aca="false">IF(AE23=20,AA23*AB23*AC23*AD23*(AE23/1000)*2.466*1,IF(AE23&gt;20,"",IF(AE23&lt;20,"")))</f>
        <v/>
      </c>
      <c r="AL23" s="107" t="str">
        <f aca="false">IF(AE23=25,AA23*AB23*AC23*AD23*(AE23/1000)*3.853*1,IF(AE23&gt;25,"",IF(AE23&lt;25,"")))</f>
        <v/>
      </c>
      <c r="AM23" s="115" t="str">
        <f aca="false">IF(AE23=32,AA23*AB23*AC23*AD23*(AE23/1000)*6.313*1,IF(AE23&gt;32,"",IF(AE23&lt;32,"")))</f>
        <v/>
      </c>
      <c r="AN23" s="128"/>
      <c r="AO23" s="117" t="s">
        <v>160</v>
      </c>
      <c r="AP23" s="118" t="n">
        <f aca="false">SUM(R23:Y23)+SUM(AN23)</f>
        <v>0</v>
      </c>
      <c r="AQ23" s="118" t="n">
        <f aca="false">SUM(AF23:AM23)</f>
        <v>0</v>
      </c>
      <c r="AR23" s="118" t="n">
        <v>1.175</v>
      </c>
      <c r="AS23" s="119" t="s">
        <v>226</v>
      </c>
      <c r="AT23" s="119" t="s">
        <v>209</v>
      </c>
    </row>
    <row r="24" customFormat="false" ht="13.5" hidden="false" customHeight="false" outlineLevel="0" collapsed="false">
      <c r="A24" s="129"/>
      <c r="B24" s="172"/>
      <c r="C24" s="110"/>
      <c r="D24" s="122"/>
      <c r="E24" s="122"/>
      <c r="F24" s="173"/>
      <c r="G24" s="123"/>
      <c r="H24" s="101"/>
      <c r="I24" s="123"/>
      <c r="J24" s="101"/>
      <c r="K24" s="124" t="s">
        <v>220</v>
      </c>
      <c r="L24" s="125" t="n">
        <f aca="false">$E$23-2*0.05</f>
        <v>2.25</v>
      </c>
      <c r="M24" s="125" t="n">
        <v>0.1</v>
      </c>
      <c r="N24" s="126" t="n">
        <f aca="false">$C$23</f>
        <v>1</v>
      </c>
      <c r="O24" s="126" t="n">
        <f aca="false">CEILING(L24/M24,1)+1</f>
        <v>24</v>
      </c>
      <c r="P24" s="126" t="n">
        <v>12</v>
      </c>
      <c r="Q24" s="127" t="n">
        <f aca="false">$D$23-2*0.05+2*($F$23-2*0.05)</f>
        <v>1.7</v>
      </c>
      <c r="R24" s="105" t="str">
        <f aca="false">IF(P24=6,N24*O24*Q24*0.222*1,IF(P24&gt;6,"",IF(P24&lt;6,"")))</f>
        <v/>
      </c>
      <c r="S24" s="106" t="str">
        <f aca="false">IF(P24=8,N24*O24*Q24*0.395*1,IF(P24&gt;8,"",IF(P24&lt;8,"")))</f>
        <v/>
      </c>
      <c r="T24" s="106" t="str">
        <f aca="false">IF(P24=10,N24*O24*Q24*0.617*1,IF(P24&gt;10,"",IF(P24&lt;10,"")))</f>
        <v/>
      </c>
      <c r="U24" s="106" t="n">
        <f aca="false">IF(P24=12,N24*O24*Q24*0.888*1,IF(P24&gt;12,"",IF(P24&lt;12,"")))</f>
        <v>36.2304</v>
      </c>
      <c r="V24" s="107" t="str">
        <f aca="false">IF(P24=16,N24*O24*Q24*1.578*1,IF(P24&gt;16,"",IF(P24&lt;16,"")))</f>
        <v/>
      </c>
      <c r="W24" s="106" t="str">
        <f aca="false">IF(P24=20,N24*O24*Q24*2.466*1,IF(P24&gt;20,"",IF(P24&lt;20,"")))</f>
        <v/>
      </c>
      <c r="X24" s="106" t="str">
        <f aca="false">IF(P24=25,N24*O24*Q24*3.853*1,IF(P24&gt;25,"",IF(P24&lt;25,"")))</f>
        <v/>
      </c>
      <c r="Y24" s="108" t="str">
        <f aca="false">IF(P24=32,N24*O24*Q24*6.313*1,IF(P24&gt;32,"",IF(P24&lt;32,"")))</f>
        <v/>
      </c>
      <c r="Z24" s="109"/>
      <c r="AA24" s="110" t="str">
        <f aca="false">IF(AC24&gt;0,N24,"")</f>
        <v/>
      </c>
      <c r="AB24" s="111" t="str">
        <f aca="false">IF(AC24&gt;0,O24,"")</f>
        <v/>
      </c>
      <c r="AC24" s="112"/>
      <c r="AD24" s="112"/>
      <c r="AE24" s="113" t="str">
        <f aca="false">IF(AC24&gt;0,P24,"")</f>
        <v/>
      </c>
      <c r="AF24" s="114" t="str">
        <f aca="false">IF(AE24=6,AA24*AB24*AC24*AD24*(AE24/1000)*0.222*1,IF(AE24&gt;6,"",IF(AE24&lt;6,"")))</f>
        <v/>
      </c>
      <c r="AG24" s="107" t="str">
        <f aca="false">IF(AE24=8,AA24*AB24*AC24*AD24*(AE24/1000)*0.395*1,IF(AE24&gt;8,"",IF(AE24&lt;8,"")))</f>
        <v/>
      </c>
      <c r="AH24" s="107" t="str">
        <f aca="false">IF(AE24=10,AA24*AB24*AC24*AD24*(AE24/1000)*0.617*1,IF(AE24&gt;10,"",IF(AE24&lt;10,"")))</f>
        <v/>
      </c>
      <c r="AI24" s="107" t="str">
        <f aca="false">IF(AE24=12,AA24*AB24*AC24*AD24*(AE24/1000)*0.888*1,IF(AE24&gt;12,"",IF(AE24&lt;12,"")))</f>
        <v/>
      </c>
      <c r="AJ24" s="107" t="str">
        <f aca="false">IF(AE24=16,AA24*AB24*AC24*AD24*(AE24/1000)*1.578*1,IF(AE24&gt;16,"",IF(AE24&lt;16,"")))</f>
        <v/>
      </c>
      <c r="AK24" s="107" t="str">
        <f aca="false">IF(AE24=20,AA24*AB24*AC24*AD24*(AE24/1000)*2.466*1,IF(AE24&gt;20,"",IF(AE24&lt;20,"")))</f>
        <v/>
      </c>
      <c r="AL24" s="107" t="str">
        <f aca="false">IF(AE24=25,AA24*AB24*AC24*AD24*(AE24/1000)*3.853*1,IF(AE24&gt;25,"",IF(AE24&lt;25,"")))</f>
        <v/>
      </c>
      <c r="AM24" s="115" t="str">
        <f aca="false">IF(AE24=32,AA24*AB24*AC24*AD24*(AE24/1000)*6.313*1,IF(AE24&gt;32,"",IF(AE24&lt;32,"")))</f>
        <v/>
      </c>
      <c r="AN24" s="128"/>
      <c r="AO24" s="117" t="s">
        <v>160</v>
      </c>
      <c r="AP24" s="118" t="n">
        <f aca="false">SUM(R24:Y24)+SUM(AN24)</f>
        <v>36.2304</v>
      </c>
      <c r="AQ24" s="118" t="n">
        <f aca="false">SUM(AF24:AM24)</f>
        <v>0</v>
      </c>
      <c r="AR24" s="118"/>
      <c r="AS24" s="119" t="s">
        <v>211</v>
      </c>
      <c r="AT24" s="119" t="s">
        <v>162</v>
      </c>
    </row>
    <row r="25" customFormat="false" ht="13.5" hidden="false" customHeight="false" outlineLevel="0" collapsed="false">
      <c r="A25" s="129"/>
      <c r="B25" s="172"/>
      <c r="C25" s="110"/>
      <c r="D25" s="122"/>
      <c r="E25" s="122"/>
      <c r="F25" s="173"/>
      <c r="G25" s="123"/>
      <c r="H25" s="101"/>
      <c r="I25" s="123"/>
      <c r="J25" s="101"/>
      <c r="K25" s="124" t="s">
        <v>221</v>
      </c>
      <c r="L25" s="125" t="n">
        <f aca="false">$D$23-2*0.05</f>
        <v>0.9</v>
      </c>
      <c r="M25" s="125" t="n">
        <v>0.1</v>
      </c>
      <c r="N25" s="126" t="n">
        <f aca="false">$C$23</f>
        <v>1</v>
      </c>
      <c r="O25" s="126" t="n">
        <f aca="false">CEILING(L25/M25,1)+1</f>
        <v>10</v>
      </c>
      <c r="P25" s="126" t="n">
        <v>12</v>
      </c>
      <c r="Q25" s="127" t="n">
        <f aca="false">$E$23-2*0.05+2*($F$23-2*0.05)</f>
        <v>3.05</v>
      </c>
      <c r="R25" s="105" t="str">
        <f aca="false">IF(P25=6,N25*O25*Q25*0.222*1,IF(P25&gt;6,"",IF(P25&lt;6,"")))</f>
        <v/>
      </c>
      <c r="S25" s="106" t="str">
        <f aca="false">IF(P25=8,N25*O25*Q25*0.395*1,IF(P25&gt;8,"",IF(P25&lt;8,"")))</f>
        <v/>
      </c>
      <c r="T25" s="106" t="str">
        <f aca="false">IF(P25=10,N25*O25*Q25*0.617*1,IF(P25&gt;10,"",IF(P25&lt;10,"")))</f>
        <v/>
      </c>
      <c r="U25" s="106" t="n">
        <f aca="false">IF(P25=12,N25*O25*Q25*0.888*1,IF(P25&gt;12,"",IF(P25&lt;12,"")))</f>
        <v>27.084</v>
      </c>
      <c r="V25" s="107" t="str">
        <f aca="false">IF(P25=16,N25*O25*Q25*1.578*1,IF(P25&gt;16,"",IF(P25&lt;16,"")))</f>
        <v/>
      </c>
      <c r="W25" s="106" t="str">
        <f aca="false">IF(P25=20,N25*O25*Q25*2.466*1,IF(P25&gt;20,"",IF(P25&lt;20,"")))</f>
        <v/>
      </c>
      <c r="X25" s="106" t="str">
        <f aca="false">IF(P25=25,N25*O25*Q25*3.853*1,IF(P25&gt;25,"",IF(P25&lt;25,"")))</f>
        <v/>
      </c>
      <c r="Y25" s="108" t="str">
        <f aca="false">IF(P25=32,N25*O25*Q25*6.313*1,IF(P25&gt;32,"",IF(P25&lt;32,"")))</f>
        <v/>
      </c>
      <c r="Z25" s="109"/>
      <c r="AA25" s="110" t="str">
        <f aca="false">IF(AC25&gt;0,N25,"")</f>
        <v/>
      </c>
      <c r="AB25" s="111" t="str">
        <f aca="false">IF(AC25&gt;0,O25,"")</f>
        <v/>
      </c>
      <c r="AC25" s="112"/>
      <c r="AD25" s="112"/>
      <c r="AE25" s="113" t="str">
        <f aca="false">IF(AC25&gt;0,P25,"")</f>
        <v/>
      </c>
      <c r="AF25" s="114" t="str">
        <f aca="false">IF(AE25=6,AA25*AB25*AC25*AD25*(AE25/1000)*0.222*1,IF(AE25&gt;6,"",IF(AE25&lt;6,"")))</f>
        <v/>
      </c>
      <c r="AG25" s="107" t="str">
        <f aca="false">IF(AE25=8,AA25*AB25*AC25*AD25*(AE25/1000)*0.395*1,IF(AE25&gt;8,"",IF(AE25&lt;8,"")))</f>
        <v/>
      </c>
      <c r="AH25" s="107" t="str">
        <f aca="false">IF(AE25=10,AA25*AB25*AC25*AD25*(AE25/1000)*0.617*1,IF(AE25&gt;10,"",IF(AE25&lt;10,"")))</f>
        <v/>
      </c>
      <c r="AI25" s="107" t="str">
        <f aca="false">IF(AE25=12,AA25*AB25*AC25*AD25*(AE25/1000)*0.888*1,IF(AE25&gt;12,"",IF(AE25&lt;12,"")))</f>
        <v/>
      </c>
      <c r="AJ25" s="107" t="str">
        <f aca="false">IF(AE25=16,AA25*AB25*AC25*AD25*(AE25/1000)*1.578*1,IF(AE25&gt;16,"",IF(AE25&lt;16,"")))</f>
        <v/>
      </c>
      <c r="AK25" s="107" t="str">
        <f aca="false">IF(AE25=20,AA25*AB25*AC25*AD25*(AE25/1000)*2.466*1,IF(AE25&gt;20,"",IF(AE25&lt;20,"")))</f>
        <v/>
      </c>
      <c r="AL25" s="107" t="str">
        <f aca="false">IF(AE25=25,AA25*AB25*AC25*AD25*(AE25/1000)*3.853*1,IF(AE25&gt;25,"",IF(AE25&lt;25,"")))</f>
        <v/>
      </c>
      <c r="AM25" s="115" t="str">
        <f aca="false">IF(AE25=32,AA25*AB25*AC25*AD25*(AE25/1000)*6.313*1,IF(AE25&gt;32,"",IF(AE25&lt;32,"")))</f>
        <v/>
      </c>
      <c r="AN25" s="128"/>
      <c r="AO25" s="117" t="s">
        <v>160</v>
      </c>
      <c r="AP25" s="118" t="n">
        <f aca="false">SUM(R25:Y25)+SUM(AN25)</f>
        <v>27.084</v>
      </c>
      <c r="AQ25" s="118" t="n">
        <f aca="false">SUM(AF25:AM25)</f>
        <v>0</v>
      </c>
      <c r="AR25" s="118"/>
      <c r="AS25" s="119" t="s">
        <v>211</v>
      </c>
      <c r="AT25" s="119" t="s">
        <v>162</v>
      </c>
    </row>
    <row r="26" customFormat="false" ht="13.5" hidden="false" customHeight="false" outlineLevel="0" collapsed="false">
      <c r="A26" s="129"/>
      <c r="B26" s="172"/>
      <c r="C26" s="110"/>
      <c r="D26" s="122"/>
      <c r="E26" s="122"/>
      <c r="F26" s="173"/>
      <c r="G26" s="123"/>
      <c r="H26" s="101"/>
      <c r="I26" s="123"/>
      <c r="J26" s="101"/>
      <c r="K26" s="124" t="s">
        <v>222</v>
      </c>
      <c r="L26" s="125" t="n">
        <f aca="false">$E$23-2*0.05</f>
        <v>2.25</v>
      </c>
      <c r="M26" s="125" t="n">
        <v>0.1</v>
      </c>
      <c r="N26" s="126" t="n">
        <f aca="false">$C$23</f>
        <v>1</v>
      </c>
      <c r="O26" s="126" t="n">
        <f aca="false">CEILING(L26/M26,1)+1</f>
        <v>24</v>
      </c>
      <c r="P26" s="126" t="n">
        <v>12</v>
      </c>
      <c r="Q26" s="127" t="n">
        <f aca="false">$D$23-2*0.05+2*($F$23-2*0.05)</f>
        <v>1.7</v>
      </c>
      <c r="R26" s="105" t="str">
        <f aca="false">IF(P26=6,N26*O26*Q26*0.222*1,IF(P26&gt;6,"",IF(P26&lt;6,"")))</f>
        <v/>
      </c>
      <c r="S26" s="106" t="str">
        <f aca="false">IF(P26=8,N26*O26*Q26*0.395*1,IF(P26&gt;8,"",IF(P26&lt;8,"")))</f>
        <v/>
      </c>
      <c r="T26" s="106" t="str">
        <f aca="false">IF(P26=10,N26*O26*Q26*0.617*1,IF(P26&gt;10,"",IF(P26&lt;10,"")))</f>
        <v/>
      </c>
      <c r="U26" s="106" t="n">
        <f aca="false">IF(P26=12,N26*O26*Q26*0.888*1,IF(P26&gt;12,"",IF(P26&lt;12,"")))</f>
        <v>36.2304</v>
      </c>
      <c r="V26" s="107" t="str">
        <f aca="false">IF(P26=16,N26*O26*Q26*1.578*1,IF(P26&gt;16,"",IF(P26&lt;16,"")))</f>
        <v/>
      </c>
      <c r="W26" s="106" t="str">
        <f aca="false">IF(P26=20,N26*O26*Q26*2.466*1,IF(P26&gt;20,"",IF(P26&lt;20,"")))</f>
        <v/>
      </c>
      <c r="X26" s="106" t="str">
        <f aca="false">IF(P26=25,N26*O26*Q26*3.853*1,IF(P26&gt;25,"",IF(P26&lt;25,"")))</f>
        <v/>
      </c>
      <c r="Y26" s="108" t="str">
        <f aca="false">IF(P26=32,N26*O26*Q26*6.313*1,IF(P26&gt;32,"",IF(P26&lt;32,"")))</f>
        <v/>
      </c>
      <c r="Z26" s="109"/>
      <c r="AA26" s="110" t="str">
        <f aca="false">IF(AC26&gt;0,N26,"")</f>
        <v/>
      </c>
      <c r="AB26" s="111" t="str">
        <f aca="false">IF(AC26&gt;0,O26,"")</f>
        <v/>
      </c>
      <c r="AC26" s="112"/>
      <c r="AD26" s="112"/>
      <c r="AE26" s="113" t="str">
        <f aca="false">IF(AC26&gt;0,P26,"")</f>
        <v/>
      </c>
      <c r="AF26" s="114" t="str">
        <f aca="false">IF(AE26=6,AA26*AB26*AC26*AD26*(AE26/1000)*0.222*1,IF(AE26&gt;6,"",IF(AE26&lt;6,"")))</f>
        <v/>
      </c>
      <c r="AG26" s="107" t="str">
        <f aca="false">IF(AE26=8,AA26*AB26*AC26*AD26*(AE26/1000)*0.395*1,IF(AE26&gt;8,"",IF(AE26&lt;8,"")))</f>
        <v/>
      </c>
      <c r="AH26" s="107" t="str">
        <f aca="false">IF(AE26=10,AA26*AB26*AC26*AD26*(AE26/1000)*0.617*1,IF(AE26&gt;10,"",IF(AE26&lt;10,"")))</f>
        <v/>
      </c>
      <c r="AI26" s="107" t="str">
        <f aca="false">IF(AE26=12,AA26*AB26*AC26*AD26*(AE26/1000)*0.888*1,IF(AE26&gt;12,"",IF(AE26&lt;12,"")))</f>
        <v/>
      </c>
      <c r="AJ26" s="107" t="str">
        <f aca="false">IF(AE26=16,AA26*AB26*AC26*AD26*(AE26/1000)*1.578*1,IF(AE26&gt;16,"",IF(AE26&lt;16,"")))</f>
        <v/>
      </c>
      <c r="AK26" s="107" t="str">
        <f aca="false">IF(AE26=20,AA26*AB26*AC26*AD26*(AE26/1000)*2.466*1,IF(AE26&gt;20,"",IF(AE26&lt;20,"")))</f>
        <v/>
      </c>
      <c r="AL26" s="107" t="str">
        <f aca="false">IF(AE26=25,AA26*AB26*AC26*AD26*(AE26/1000)*3.853*1,IF(AE26&gt;25,"",IF(AE26&lt;25,"")))</f>
        <v/>
      </c>
      <c r="AM26" s="115" t="str">
        <f aca="false">IF(AE26=32,AA26*AB26*AC26*AD26*(AE26/1000)*6.313*1,IF(AE26&gt;32,"",IF(AE26&lt;32,"")))</f>
        <v/>
      </c>
      <c r="AN26" s="128"/>
      <c r="AO26" s="117" t="s">
        <v>160</v>
      </c>
      <c r="AP26" s="118" t="n">
        <f aca="false">SUM(R26:Y26)+SUM(AN26)</f>
        <v>36.2304</v>
      </c>
      <c r="AQ26" s="118" t="n">
        <f aca="false">SUM(AF26:AM26)</f>
        <v>0</v>
      </c>
      <c r="AR26" s="118"/>
      <c r="AS26" s="119" t="s">
        <v>211</v>
      </c>
      <c r="AT26" s="119" t="s">
        <v>162</v>
      </c>
    </row>
    <row r="27" customFormat="false" ht="13.5" hidden="false" customHeight="false" outlineLevel="0" collapsed="false">
      <c r="A27" s="129"/>
      <c r="B27" s="172"/>
      <c r="C27" s="110"/>
      <c r="D27" s="122"/>
      <c r="E27" s="122"/>
      <c r="F27" s="173"/>
      <c r="G27" s="123"/>
      <c r="H27" s="101"/>
      <c r="I27" s="123"/>
      <c r="J27" s="101"/>
      <c r="K27" s="124" t="s">
        <v>223</v>
      </c>
      <c r="L27" s="125" t="n">
        <f aca="false">$D$23-2*0.05</f>
        <v>0.9</v>
      </c>
      <c r="M27" s="125" t="n">
        <v>0.1</v>
      </c>
      <c r="N27" s="126" t="n">
        <f aca="false">$C$23</f>
        <v>1</v>
      </c>
      <c r="O27" s="126" t="n">
        <f aca="false">CEILING(L27/M27,1)+1</f>
        <v>10</v>
      </c>
      <c r="P27" s="126" t="n">
        <v>12</v>
      </c>
      <c r="Q27" s="127" t="n">
        <f aca="false">$E$23-2*0.05+2*($F$23-2*0.05)</f>
        <v>3.05</v>
      </c>
      <c r="R27" s="105" t="str">
        <f aca="false">IF(P27=6,N27*O27*Q27*0.222*1,IF(P27&gt;6,"",IF(P27&lt;6,"")))</f>
        <v/>
      </c>
      <c r="S27" s="106" t="str">
        <f aca="false">IF(P27=8,N27*O27*Q27*0.395*1,IF(P27&gt;8,"",IF(P27&lt;8,"")))</f>
        <v/>
      </c>
      <c r="T27" s="106" t="str">
        <f aca="false">IF(P27=10,N27*O27*Q27*0.617*1,IF(P27&gt;10,"",IF(P27&lt;10,"")))</f>
        <v/>
      </c>
      <c r="U27" s="106" t="n">
        <f aca="false">IF(P27=12,N27*O27*Q27*0.888*1,IF(P27&gt;12,"",IF(P27&lt;12,"")))</f>
        <v>27.084</v>
      </c>
      <c r="V27" s="107" t="str">
        <f aca="false">IF(P27=16,N27*O27*Q27*1.578*1,IF(P27&gt;16,"",IF(P27&lt;16,"")))</f>
        <v/>
      </c>
      <c r="W27" s="106" t="str">
        <f aca="false">IF(P27=20,N27*O27*Q27*2.466*1,IF(P27&gt;20,"",IF(P27&lt;20,"")))</f>
        <v/>
      </c>
      <c r="X27" s="106" t="str">
        <f aca="false">IF(P27=25,N27*O27*Q27*3.853*1,IF(P27&gt;25,"",IF(P27&lt;25,"")))</f>
        <v/>
      </c>
      <c r="Y27" s="108" t="str">
        <f aca="false">IF(P27=32,N27*O27*Q27*6.313*1,IF(P27&gt;32,"",IF(P27&lt;32,"")))</f>
        <v/>
      </c>
      <c r="Z27" s="109"/>
      <c r="AA27" s="110" t="str">
        <f aca="false">IF(AC27&gt;0,N27,"")</f>
        <v/>
      </c>
      <c r="AB27" s="111" t="str">
        <f aca="false">IF(AC27&gt;0,O27,"")</f>
        <v/>
      </c>
      <c r="AC27" s="112"/>
      <c r="AD27" s="112"/>
      <c r="AE27" s="113" t="str">
        <f aca="false">IF(AC27&gt;0,P27,"")</f>
        <v/>
      </c>
      <c r="AF27" s="114" t="str">
        <f aca="false">IF(AE27=6,AA27*AB27*AC27*AD27*(AE27/1000)*0.222*1,IF(AE27&gt;6,"",IF(AE27&lt;6,"")))</f>
        <v/>
      </c>
      <c r="AG27" s="107" t="str">
        <f aca="false">IF(AE27=8,AA27*AB27*AC27*AD27*(AE27/1000)*0.395*1,IF(AE27&gt;8,"",IF(AE27&lt;8,"")))</f>
        <v/>
      </c>
      <c r="AH27" s="107" t="str">
        <f aca="false">IF(AE27=10,AA27*AB27*AC27*AD27*(AE27/1000)*0.617*1,IF(AE27&gt;10,"",IF(AE27&lt;10,"")))</f>
        <v/>
      </c>
      <c r="AI27" s="107" t="str">
        <f aca="false">IF(AE27=12,AA27*AB27*AC27*AD27*(AE27/1000)*0.888*1,IF(AE27&gt;12,"",IF(AE27&lt;12,"")))</f>
        <v/>
      </c>
      <c r="AJ27" s="107" t="str">
        <f aca="false">IF(AE27=16,AA27*AB27*AC27*AD27*(AE27/1000)*1.578*1,IF(AE27&gt;16,"",IF(AE27&lt;16,"")))</f>
        <v/>
      </c>
      <c r="AK27" s="107" t="str">
        <f aca="false">IF(AE27=20,AA27*AB27*AC27*AD27*(AE27/1000)*2.466*1,IF(AE27&gt;20,"",IF(AE27&lt;20,"")))</f>
        <v/>
      </c>
      <c r="AL27" s="107" t="str">
        <f aca="false">IF(AE27=25,AA27*AB27*AC27*AD27*(AE27/1000)*3.853*1,IF(AE27&gt;25,"",IF(AE27&lt;25,"")))</f>
        <v/>
      </c>
      <c r="AM27" s="115" t="str">
        <f aca="false">IF(AE27=32,AA27*AB27*AC27*AD27*(AE27/1000)*6.313*1,IF(AE27&gt;32,"",IF(AE27&lt;32,"")))</f>
        <v/>
      </c>
      <c r="AN27" s="128"/>
      <c r="AO27" s="117" t="s">
        <v>160</v>
      </c>
      <c r="AP27" s="118" t="n">
        <f aca="false">SUM(R27:Y27)+SUM(AN27)</f>
        <v>27.084</v>
      </c>
      <c r="AQ27" s="118" t="n">
        <f aca="false">SUM(AF27:AM27)</f>
        <v>0</v>
      </c>
      <c r="AR27" s="118"/>
      <c r="AS27" s="119" t="s">
        <v>211</v>
      </c>
      <c r="AT27" s="119" t="s">
        <v>162</v>
      </c>
    </row>
    <row r="28" customFormat="false" ht="13.5" hidden="false" customHeight="false" outlineLevel="0" collapsed="false">
      <c r="A28" s="129"/>
      <c r="B28" s="172"/>
      <c r="C28" s="110"/>
      <c r="D28" s="122"/>
      <c r="E28" s="122"/>
      <c r="F28" s="173"/>
      <c r="G28" s="123"/>
      <c r="H28" s="101"/>
      <c r="I28" s="123"/>
      <c r="J28" s="101"/>
      <c r="K28" s="124" t="s">
        <v>224</v>
      </c>
      <c r="L28" s="125"/>
      <c r="M28" s="125"/>
      <c r="N28" s="126" t="n">
        <f aca="false">$C$23</f>
        <v>1</v>
      </c>
      <c r="O28" s="126" t="n">
        <v>4</v>
      </c>
      <c r="P28" s="126" t="n">
        <v>12</v>
      </c>
      <c r="Q28" s="127" t="n">
        <f aca="false">2*($D$23+$E$23)-8*0.05</f>
        <v>6.3</v>
      </c>
      <c r="R28" s="105" t="str">
        <f aca="false">IF(P28=6,N28*O28*Q28*0.222*1,IF(P28&gt;6,"",IF(P28&lt;6,"")))</f>
        <v/>
      </c>
      <c r="S28" s="106" t="str">
        <f aca="false">IF(P28=8,N28*O28*Q28*0.395*1,IF(P28&gt;8,"",IF(P28&lt;8,"")))</f>
        <v/>
      </c>
      <c r="T28" s="106" t="str">
        <f aca="false">IF(P28=10,N28*O28*Q28*0.617*1,IF(P28&gt;10,"",IF(P28&lt;10,"")))</f>
        <v/>
      </c>
      <c r="U28" s="106" t="n">
        <f aca="false">IF(P28=12,N28*O28*Q28*0.888*1,IF(P28&gt;12,"",IF(P28&lt;12,"")))</f>
        <v>22.3776</v>
      </c>
      <c r="V28" s="107" t="str">
        <f aca="false">IF(P28=16,N28*O28*Q28*1.578*1,IF(P28&gt;16,"",IF(P28&lt;16,"")))</f>
        <v/>
      </c>
      <c r="W28" s="106" t="str">
        <f aca="false">IF(P28=20,N28*O28*Q28*2.466*1,IF(P28&gt;20,"",IF(P28&lt;20,"")))</f>
        <v/>
      </c>
      <c r="X28" s="106" t="str">
        <f aca="false">IF(P28=25,N28*O28*Q28*3.853*1,IF(P28&gt;25,"",IF(P28&lt;25,"")))</f>
        <v/>
      </c>
      <c r="Y28" s="108" t="str">
        <f aca="false">IF(P28=32,N28*O28*Q28*6.313*1,IF(P28&gt;32,"",IF(P28&lt;32,"")))</f>
        <v/>
      </c>
      <c r="Z28" s="109"/>
      <c r="AA28" s="110" t="n">
        <f aca="false">IF(AC28&gt;0,N28,"")</f>
        <v>1</v>
      </c>
      <c r="AB28" s="111" t="n">
        <f aca="false">IF(AC28&gt;0,O28,"")</f>
        <v>4</v>
      </c>
      <c r="AC28" s="112" t="n">
        <v>1</v>
      </c>
      <c r="AD28" s="112" t="n">
        <v>50</v>
      </c>
      <c r="AE28" s="113" t="n">
        <f aca="false">IF(AC28&gt;0,P28,"")</f>
        <v>12</v>
      </c>
      <c r="AF28" s="114" t="str">
        <f aca="false">IF(AE28=6,AA28*AB28*AC28*AD28*(AE28/1000)*0.222*1,IF(AE28&gt;6,"",IF(AE28&lt;6,"")))</f>
        <v/>
      </c>
      <c r="AG28" s="107" t="str">
        <f aca="false">IF(AE28=8,AA28*AB28*AC28*AD28*(AE28/1000)*0.395*1,IF(AE28&gt;8,"",IF(AE28&lt;8,"")))</f>
        <v/>
      </c>
      <c r="AH28" s="107" t="str">
        <f aca="false">IF(AE28=10,AA28*AB28*AC28*AD28*(AE28/1000)*0.617*1,IF(AE28&gt;10,"",IF(AE28&lt;10,"")))</f>
        <v/>
      </c>
      <c r="AI28" s="107" t="n">
        <f aca="false">IF(AE28=12,AA28*AB28*AC28*AD28*(AE28/1000)*0.888*1,IF(AE28&gt;12,"",IF(AE28&lt;12,"")))</f>
        <v>2.1312</v>
      </c>
      <c r="AJ28" s="107" t="str">
        <f aca="false">IF(AE28=16,AA28*AB28*AC28*AD28*(AE28/1000)*1.578*1,IF(AE28&gt;16,"",IF(AE28&lt;16,"")))</f>
        <v/>
      </c>
      <c r="AK28" s="107" t="str">
        <f aca="false">IF(AE28=20,AA28*AB28*AC28*AD28*(AE28/1000)*2.466*1,IF(AE28&gt;20,"",IF(AE28&lt;20,"")))</f>
        <v/>
      </c>
      <c r="AL28" s="107" t="str">
        <f aca="false">IF(AE28=25,AA28*AB28*AC28*AD28*(AE28/1000)*3.853*1,IF(AE28&gt;25,"",IF(AE28&lt;25,"")))</f>
        <v/>
      </c>
      <c r="AM28" s="115" t="str">
        <f aca="false">IF(AE28=32,AA28*AB28*AC28*AD28*(AE28/1000)*6.313*1,IF(AE28&gt;32,"",IF(AE28&lt;32,"")))</f>
        <v/>
      </c>
      <c r="AN28" s="128"/>
      <c r="AO28" s="117" t="s">
        <v>160</v>
      </c>
      <c r="AP28" s="118" t="n">
        <f aca="false">SUM(R28:Y28)+SUM(AN28)</f>
        <v>22.3776</v>
      </c>
      <c r="AQ28" s="118" t="n">
        <f aca="false">SUM(AF28:AM28)</f>
        <v>2.1312</v>
      </c>
      <c r="AR28" s="118"/>
      <c r="AS28" s="119" t="s">
        <v>216</v>
      </c>
      <c r="AT28" s="119" t="s">
        <v>173</v>
      </c>
    </row>
    <row r="29" customFormat="false" ht="13.5" hidden="false" customHeight="false" outlineLevel="0" collapsed="false">
      <c r="A29" s="129"/>
      <c r="B29" s="172"/>
      <c r="C29" s="110"/>
      <c r="D29" s="122"/>
      <c r="E29" s="122"/>
      <c r="F29" s="173"/>
      <c r="G29" s="123"/>
      <c r="H29" s="101"/>
      <c r="I29" s="123"/>
      <c r="J29" s="101"/>
      <c r="K29" s="124" t="s">
        <v>227</v>
      </c>
      <c r="L29" s="125"/>
      <c r="M29" s="125"/>
      <c r="N29" s="126" t="n">
        <v>1</v>
      </c>
      <c r="O29" s="126" t="n">
        <v>4</v>
      </c>
      <c r="P29" s="126" t="n">
        <v>20</v>
      </c>
      <c r="Q29" s="127" t="n">
        <f aca="false">MAX(50*20/1000,$F$23-2*0.05+0.15)+50*20/1000</f>
        <v>2</v>
      </c>
      <c r="R29" s="105" t="str">
        <f aca="false">IF(P29=6,N29*O29*Q29*0.222*1,IF(P29&gt;6,"",IF(P29&lt;6,"")))</f>
        <v/>
      </c>
      <c r="S29" s="106" t="str">
        <f aca="false">IF(P29=8,N29*O29*Q29*0.395*1,IF(P29&gt;8,"",IF(P29&lt;8,"")))</f>
        <v/>
      </c>
      <c r="T29" s="106" t="str">
        <f aca="false">IF(P29=10,N29*O29*Q29*0.617*1,IF(P29&gt;10,"",IF(P29&lt;10,"")))</f>
        <v/>
      </c>
      <c r="U29" s="106" t="str">
        <f aca="false">IF(P29=12,N29*O29*Q29*0.888*1,IF(P29&gt;12,"",IF(P29&lt;12,"")))</f>
        <v/>
      </c>
      <c r="V29" s="107" t="str">
        <f aca="false">IF(P29=16,N29*O29*Q29*1.578*1,IF(P29&gt;16,"",IF(P29&lt;16,"")))</f>
        <v/>
      </c>
      <c r="W29" s="106" t="n">
        <f aca="false">IF(P29=20,N29*O29*Q29*2.466*1,IF(P29&gt;20,"",IF(P29&lt;20,"")))</f>
        <v>19.728</v>
      </c>
      <c r="X29" s="106" t="str">
        <f aca="false">IF(P29=25,N29*O29*Q29*3.853*1,IF(P29&gt;25,"",IF(P29&lt;25,"")))</f>
        <v/>
      </c>
      <c r="Y29" s="108" t="str">
        <f aca="false">IF(P29=32,N29*O29*Q29*6.313*1,IF(P29&gt;32,"",IF(P29&lt;32,"")))</f>
        <v/>
      </c>
      <c r="Z29" s="109"/>
      <c r="AA29" s="110" t="str">
        <f aca="false">IF(AC29&gt;0,N29,"")</f>
        <v/>
      </c>
      <c r="AB29" s="111" t="str">
        <f aca="false">IF(AC29&gt;0,O29,"")</f>
        <v/>
      </c>
      <c r="AC29" s="112"/>
      <c r="AD29" s="112"/>
      <c r="AE29" s="113" t="str">
        <f aca="false">IF(AC29&gt;0,P29,"")</f>
        <v/>
      </c>
      <c r="AF29" s="114" t="str">
        <f aca="false">IF(AE29=6,AA29*AB29*AC29*AD29*(AE29/1000)*0.222*1,IF(AE29&gt;6,"",IF(AE29&lt;6,"")))</f>
        <v/>
      </c>
      <c r="AG29" s="107" t="str">
        <f aca="false">IF(AE29=8,AA29*AB29*AC29*AD29*(AE29/1000)*0.395*1,IF(AE29&gt;8,"",IF(AE29&lt;8,"")))</f>
        <v/>
      </c>
      <c r="AH29" s="107" t="str">
        <f aca="false">IF(AE29=10,AA29*AB29*AC29*AD29*(AE29/1000)*0.617*1,IF(AE29&gt;10,"",IF(AE29&lt;10,"")))</f>
        <v/>
      </c>
      <c r="AI29" s="107" t="str">
        <f aca="false">IF(AE29=12,AA29*AB29*AC29*AD29*(AE29/1000)*0.888*1,IF(AE29&gt;12,"",IF(AE29&lt;12,"")))</f>
        <v/>
      </c>
      <c r="AJ29" s="107" t="str">
        <f aca="false">IF(AE29=16,AA29*AB29*AC29*AD29*(AE29/1000)*1.578*1,IF(AE29&gt;16,"",IF(AE29&lt;16,"")))</f>
        <v/>
      </c>
      <c r="AK29" s="107" t="str">
        <f aca="false">IF(AE29=20,AA29*AB29*AC29*AD29*(AE29/1000)*2.466*1,IF(AE29&gt;20,"",IF(AE29&lt;20,"")))</f>
        <v/>
      </c>
      <c r="AL29" s="107" t="str">
        <f aca="false">IF(AE29=25,AA29*AB29*AC29*AD29*(AE29/1000)*3.853*1,IF(AE29&gt;25,"",IF(AE29&lt;25,"")))</f>
        <v/>
      </c>
      <c r="AM29" s="115" t="str">
        <f aca="false">IF(AE29=32,AA29*AB29*AC29*AD29*(AE29/1000)*6.313*1,IF(AE29&gt;32,"",IF(AE29&lt;32,"")))</f>
        <v/>
      </c>
      <c r="AN29" s="128"/>
      <c r="AO29" s="117" t="s">
        <v>160</v>
      </c>
      <c r="AP29" s="118" t="n">
        <f aca="false">SUM(R29:Y29)+SUM(AN29)</f>
        <v>19.728</v>
      </c>
      <c r="AQ29" s="118" t="n">
        <f aca="false">SUM(AF29:AM29)</f>
        <v>0</v>
      </c>
      <c r="AR29" s="118"/>
      <c r="AS29" s="119" t="s">
        <v>218</v>
      </c>
      <c r="AT29" s="119" t="s">
        <v>173</v>
      </c>
    </row>
    <row r="30" customFormat="false" ht="13.5" hidden="false" customHeight="false" outlineLevel="0" collapsed="false">
      <c r="A30" s="129"/>
      <c r="B30" s="172"/>
      <c r="C30" s="110"/>
      <c r="D30" s="122"/>
      <c r="E30" s="122"/>
      <c r="F30" s="173"/>
      <c r="G30" s="123"/>
      <c r="H30" s="101"/>
      <c r="I30" s="123"/>
      <c r="J30" s="101"/>
      <c r="K30" s="124" t="s">
        <v>228</v>
      </c>
      <c r="L30" s="125"/>
      <c r="M30" s="125"/>
      <c r="N30" s="126" t="n">
        <v>1</v>
      </c>
      <c r="O30" s="126" t="n">
        <v>4</v>
      </c>
      <c r="P30" s="126" t="n">
        <v>16</v>
      </c>
      <c r="Q30" s="127" t="n">
        <f aca="false">MAX(50*16/1000,$F$23-2*0.05+0.15)+50*16/1000</f>
        <v>1.6</v>
      </c>
      <c r="R30" s="105" t="str">
        <f aca="false">IF(P30=6,N30*O30*Q30*0.222*1,IF(P30&gt;6,"",IF(P30&lt;6,"")))</f>
        <v/>
      </c>
      <c r="S30" s="106" t="str">
        <f aca="false">IF(P30=8,N30*O30*Q30*0.395*1,IF(P30&gt;8,"",IF(P30&lt;8,"")))</f>
        <v/>
      </c>
      <c r="T30" s="106" t="str">
        <f aca="false">IF(P30=10,N30*O30*Q30*0.617*1,IF(P30&gt;10,"",IF(P30&lt;10,"")))</f>
        <v/>
      </c>
      <c r="U30" s="106" t="str">
        <f aca="false">IF(P30=12,N30*O30*Q30*0.888*1,IF(P30&gt;12,"",IF(P30&lt;12,"")))</f>
        <v/>
      </c>
      <c r="V30" s="107" t="n">
        <f aca="false">IF(P30=16,N30*O30*Q30*1.578*1,IF(P30&gt;16,"",IF(P30&lt;16,"")))</f>
        <v>10.0992</v>
      </c>
      <c r="W30" s="106" t="str">
        <f aca="false">IF(P30=20,N30*O30*Q30*2.466*1,IF(P30&gt;20,"",IF(P30&lt;20,"")))</f>
        <v/>
      </c>
      <c r="X30" s="106" t="str">
        <f aca="false">IF(P30=25,N30*O30*Q30*3.853*1,IF(P30&gt;25,"",IF(P30&lt;25,"")))</f>
        <v/>
      </c>
      <c r="Y30" s="108" t="str">
        <f aca="false">IF(P30=32,N30*O30*Q30*6.313*1,IF(P30&gt;32,"",IF(P30&lt;32,"")))</f>
        <v/>
      </c>
      <c r="Z30" s="109"/>
      <c r="AA30" s="110" t="str">
        <f aca="false">IF(AC30&gt;0,N30,"")</f>
        <v/>
      </c>
      <c r="AB30" s="111" t="str">
        <f aca="false">IF(AC30&gt;0,O30,"")</f>
        <v/>
      </c>
      <c r="AC30" s="112"/>
      <c r="AD30" s="112"/>
      <c r="AE30" s="113" t="str">
        <f aca="false">IF(AC30&gt;0,P30,"")</f>
        <v/>
      </c>
      <c r="AF30" s="114" t="str">
        <f aca="false">IF(AE30=6,AA30*AB30*AC30*AD30*(AE30/1000)*0.222*1,IF(AE30&gt;6,"",IF(AE30&lt;6,"")))</f>
        <v/>
      </c>
      <c r="AG30" s="107" t="str">
        <f aca="false">IF(AE30=8,AA30*AB30*AC30*AD30*(AE30/1000)*0.395*1,IF(AE30&gt;8,"",IF(AE30&lt;8,"")))</f>
        <v/>
      </c>
      <c r="AH30" s="107" t="str">
        <f aca="false">IF(AE30=10,AA30*AB30*AC30*AD30*(AE30/1000)*0.617*1,IF(AE30&gt;10,"",IF(AE30&lt;10,"")))</f>
        <v/>
      </c>
      <c r="AI30" s="107" t="str">
        <f aca="false">IF(AE30=12,AA30*AB30*AC30*AD30*(AE30/1000)*0.888*1,IF(AE30&gt;12,"",IF(AE30&lt;12,"")))</f>
        <v/>
      </c>
      <c r="AJ30" s="107" t="str">
        <f aca="false">IF(AE30=16,AA30*AB30*AC30*AD30*(AE30/1000)*1.578*1,IF(AE30&gt;16,"",IF(AE30&lt;16,"")))</f>
        <v/>
      </c>
      <c r="AK30" s="107" t="str">
        <f aca="false">IF(AE30=20,AA30*AB30*AC30*AD30*(AE30/1000)*2.466*1,IF(AE30&gt;20,"",IF(AE30&lt;20,"")))</f>
        <v/>
      </c>
      <c r="AL30" s="107" t="str">
        <f aca="false">IF(AE30=25,AA30*AB30*AC30*AD30*(AE30/1000)*3.853*1,IF(AE30&gt;25,"",IF(AE30&lt;25,"")))</f>
        <v/>
      </c>
      <c r="AM30" s="115" t="str">
        <f aca="false">IF(AE30=32,AA30*AB30*AC30*AD30*(AE30/1000)*6.313*1,IF(AE30&gt;32,"",IF(AE30&lt;32,"")))</f>
        <v/>
      </c>
      <c r="AN30" s="128"/>
      <c r="AO30" s="117" t="s">
        <v>160</v>
      </c>
      <c r="AP30" s="118" t="n">
        <f aca="false">SUM(R30:Y30)+SUM(AN30)</f>
        <v>10.0992</v>
      </c>
      <c r="AQ30" s="118" t="n">
        <f aca="false">SUM(AF30:AM30)</f>
        <v>0</v>
      </c>
      <c r="AR30" s="118"/>
      <c r="AS30" s="119" t="s">
        <v>218</v>
      </c>
      <c r="AT30" s="119" t="s">
        <v>173</v>
      </c>
    </row>
    <row r="31" customFormat="false" ht="13.5" hidden="false" customHeight="false" outlineLevel="0" collapsed="false">
      <c r="A31" s="129"/>
      <c r="B31" s="172"/>
      <c r="C31" s="110"/>
      <c r="D31" s="122"/>
      <c r="E31" s="122"/>
      <c r="F31" s="173"/>
      <c r="G31" s="123"/>
      <c r="H31" s="101"/>
      <c r="I31" s="123"/>
      <c r="J31" s="101"/>
      <c r="K31" s="124" t="s">
        <v>229</v>
      </c>
      <c r="L31" s="125"/>
      <c r="M31" s="125"/>
      <c r="N31" s="126" t="n">
        <v>1</v>
      </c>
      <c r="O31" s="126" t="n">
        <v>2</v>
      </c>
      <c r="P31" s="126" t="n">
        <v>12</v>
      </c>
      <c r="Q31" s="127" t="n">
        <f aca="false">MAX(50*12/1000,$F$23-2*0.05+0.15)+50*12/1000</f>
        <v>1.2</v>
      </c>
      <c r="R31" s="105" t="str">
        <f aca="false">IF(P31=6,N31*O31*Q31*0.222*1,IF(P31&gt;6,"",IF(P31&lt;6,"")))</f>
        <v/>
      </c>
      <c r="S31" s="106" t="str">
        <f aca="false">IF(P31=8,N31*O31*Q31*0.395*1,IF(P31&gt;8,"",IF(P31&lt;8,"")))</f>
        <v/>
      </c>
      <c r="T31" s="106" t="str">
        <f aca="false">IF(P31=10,N31*O31*Q31*0.617*1,IF(P31&gt;10,"",IF(P31&lt;10,"")))</f>
        <v/>
      </c>
      <c r="U31" s="106" t="n">
        <f aca="false">IF(P31=12,N31*O31*Q31*0.888*1,IF(P31&gt;12,"",IF(P31&lt;12,"")))</f>
        <v>2.1312</v>
      </c>
      <c r="V31" s="107" t="str">
        <f aca="false">IF(P31=16,N31*O31*Q31*1.578*1,IF(P31&gt;16,"",IF(P31&lt;16,"")))</f>
        <v/>
      </c>
      <c r="W31" s="106" t="str">
        <f aca="false">IF(P31=20,N31*O31*Q31*2.466*1,IF(P31&gt;20,"",IF(P31&lt;20,"")))</f>
        <v/>
      </c>
      <c r="X31" s="106" t="str">
        <f aca="false">IF(P31=25,N31*O31*Q31*3.853*1,IF(P31&gt;25,"",IF(P31&lt;25,"")))</f>
        <v/>
      </c>
      <c r="Y31" s="108" t="str">
        <f aca="false">IF(P31=32,N31*O31*Q31*6.313*1,IF(P31&gt;32,"",IF(P31&lt;32,"")))</f>
        <v/>
      </c>
      <c r="Z31" s="109"/>
      <c r="AA31" s="110" t="str">
        <f aca="false">IF(AC31&gt;0,N31,"")</f>
        <v/>
      </c>
      <c r="AB31" s="111" t="str">
        <f aca="false">IF(AC31&gt;0,O31,"")</f>
        <v/>
      </c>
      <c r="AC31" s="112"/>
      <c r="AD31" s="112"/>
      <c r="AE31" s="113" t="str">
        <f aca="false">IF(AC31&gt;0,P31,"")</f>
        <v/>
      </c>
      <c r="AF31" s="114" t="str">
        <f aca="false">IF(AE31=6,AA31*AB31*AC31*AD31*(AE31/1000)*0.222*1,IF(AE31&gt;6,"",IF(AE31&lt;6,"")))</f>
        <v/>
      </c>
      <c r="AG31" s="107" t="str">
        <f aca="false">IF(AE31=8,AA31*AB31*AC31*AD31*(AE31/1000)*0.395*1,IF(AE31&gt;8,"",IF(AE31&lt;8,"")))</f>
        <v/>
      </c>
      <c r="AH31" s="107" t="str">
        <f aca="false">IF(AE31=10,AA31*AB31*AC31*AD31*(AE31/1000)*0.617*1,IF(AE31&gt;10,"",IF(AE31&lt;10,"")))</f>
        <v/>
      </c>
      <c r="AI31" s="107" t="str">
        <f aca="false">IF(AE31=12,AA31*AB31*AC31*AD31*(AE31/1000)*0.888*1,IF(AE31&gt;12,"",IF(AE31&lt;12,"")))</f>
        <v/>
      </c>
      <c r="AJ31" s="107" t="str">
        <f aca="false">IF(AE31=16,AA31*AB31*AC31*AD31*(AE31/1000)*1.578*1,IF(AE31&gt;16,"",IF(AE31&lt;16,"")))</f>
        <v/>
      </c>
      <c r="AK31" s="107" t="str">
        <f aca="false">IF(AE31=20,AA31*AB31*AC31*AD31*(AE31/1000)*2.466*1,IF(AE31&gt;20,"",IF(AE31&lt;20,"")))</f>
        <v/>
      </c>
      <c r="AL31" s="107" t="str">
        <f aca="false">IF(AE31=25,AA31*AB31*AC31*AD31*(AE31/1000)*3.853*1,IF(AE31&gt;25,"",IF(AE31&lt;25,"")))</f>
        <v/>
      </c>
      <c r="AM31" s="115" t="str">
        <f aca="false">IF(AE31=32,AA31*AB31*AC31*AD31*(AE31/1000)*6.313*1,IF(AE31&gt;32,"",IF(AE31&lt;32,"")))</f>
        <v/>
      </c>
      <c r="AN31" s="128"/>
      <c r="AO31" s="117" t="s">
        <v>160</v>
      </c>
      <c r="AP31" s="118" t="n">
        <f aca="false">SUM(R31:Y31)+SUM(AN31)</f>
        <v>2.1312</v>
      </c>
      <c r="AQ31" s="118" t="n">
        <f aca="false">SUM(AF31:AM31)</f>
        <v>0</v>
      </c>
      <c r="AR31" s="118"/>
      <c r="AS31" s="119" t="s">
        <v>218</v>
      </c>
      <c r="AT31" s="119" t="s">
        <v>173</v>
      </c>
    </row>
    <row r="32" customFormat="false" ht="13.5" hidden="false" customHeight="false" outlineLevel="0" collapsed="false">
      <c r="A32" s="129"/>
      <c r="B32" s="130"/>
      <c r="C32" s="110"/>
      <c r="D32" s="122"/>
      <c r="E32" s="122"/>
      <c r="F32" s="122"/>
      <c r="G32" s="123"/>
      <c r="H32" s="101"/>
      <c r="I32" s="123"/>
      <c r="J32" s="101"/>
      <c r="K32" s="124"/>
      <c r="L32" s="125"/>
      <c r="M32" s="125"/>
      <c r="N32" s="126"/>
      <c r="O32" s="126"/>
      <c r="P32" s="126"/>
      <c r="Q32" s="127"/>
      <c r="R32" s="105"/>
      <c r="S32" s="106"/>
      <c r="T32" s="106"/>
      <c r="U32" s="106"/>
      <c r="V32" s="107"/>
      <c r="W32" s="106"/>
      <c r="X32" s="106"/>
      <c r="Y32" s="108"/>
      <c r="Z32" s="109"/>
      <c r="AA32" s="110"/>
      <c r="AB32" s="111"/>
      <c r="AC32" s="112"/>
      <c r="AD32" s="112"/>
      <c r="AE32" s="113"/>
      <c r="AF32" s="114"/>
      <c r="AG32" s="107"/>
      <c r="AH32" s="107"/>
      <c r="AI32" s="107"/>
      <c r="AJ32" s="107"/>
      <c r="AK32" s="107"/>
      <c r="AL32" s="107"/>
      <c r="AM32" s="115"/>
      <c r="AO32" s="117"/>
      <c r="AP32" s="118"/>
      <c r="AQ32" s="118"/>
      <c r="AR32" s="118"/>
      <c r="AS32" s="119"/>
      <c r="AT32" s="119"/>
    </row>
    <row r="33" customFormat="false" ht="13.5" hidden="false" customHeight="false" outlineLevel="0" collapsed="false">
      <c r="A33" s="120"/>
      <c r="B33" s="121" t="s">
        <v>165</v>
      </c>
      <c r="C33" s="110" t="n">
        <v>1</v>
      </c>
      <c r="D33" s="122" t="n">
        <v>1.3</v>
      </c>
      <c r="E33" s="122" t="n">
        <v>1.3</v>
      </c>
      <c r="F33" s="122" t="n">
        <v>0.6</v>
      </c>
      <c r="G33" s="123" t="n">
        <f aca="false">C33*D33*E33*F33</f>
        <v>1.014</v>
      </c>
      <c r="H33" s="101"/>
      <c r="I33" s="123" t="n">
        <f aca="false">2*(D33+E33)*F33*C33</f>
        <v>3.12</v>
      </c>
      <c r="J33" s="101"/>
      <c r="K33" s="124"/>
      <c r="L33" s="125"/>
      <c r="M33" s="125"/>
      <c r="N33" s="126"/>
      <c r="O33" s="126"/>
      <c r="P33" s="126"/>
      <c r="Q33" s="127"/>
      <c r="R33" s="105" t="str">
        <f aca="false">IF(P33=6,N33*O33*Q33*0.222*1,IF(P33&gt;6,"",IF(P33&lt;6,"")))</f>
        <v/>
      </c>
      <c r="S33" s="106" t="str">
        <f aca="false">IF(P33=8,N33*O33*Q33*0.395*1,IF(P33&gt;8,"",IF(P33&lt;8,"")))</f>
        <v/>
      </c>
      <c r="T33" s="106" t="str">
        <f aca="false">IF(P33=10,N33*O33*Q33*0.617*1,IF(P33&gt;10,"",IF(P33&lt;10,"")))</f>
        <v/>
      </c>
      <c r="U33" s="106" t="str">
        <f aca="false">IF(P33=12,N33*O33*Q33*0.888*1,IF(P33&gt;12,"",IF(P33&lt;12,"")))</f>
        <v/>
      </c>
      <c r="V33" s="107" t="str">
        <f aca="false">IF(P33=16,N33*O33*Q33*1.578*1,IF(P33&gt;16,"",IF(P33&lt;16,"")))</f>
        <v/>
      </c>
      <c r="W33" s="106" t="str">
        <f aca="false">IF(P33=20,N33*O33*Q33*2.466*1,IF(P33&gt;20,"",IF(P33&lt;20,"")))</f>
        <v/>
      </c>
      <c r="X33" s="106" t="str">
        <f aca="false">IF(P33=25,N33*O33*Q33*3.853*1,IF(P33&gt;25,"",IF(P33&lt;25,"")))</f>
        <v/>
      </c>
      <c r="Y33" s="108" t="str">
        <f aca="false">IF(P33=32,N33*O33*Q33*6.313*1,IF(P33&gt;32,"",IF(P33&lt;32,"")))</f>
        <v/>
      </c>
      <c r="Z33" s="109"/>
      <c r="AA33" s="110" t="str">
        <f aca="false">IF(AC33&gt;0,N33,"")</f>
        <v/>
      </c>
      <c r="AB33" s="111" t="str">
        <f aca="false">IF(AC33&gt;0,O33,"")</f>
        <v/>
      </c>
      <c r="AC33" s="112"/>
      <c r="AD33" s="112"/>
      <c r="AE33" s="113" t="str">
        <f aca="false">IF(AC33&gt;0,P33,"")</f>
        <v/>
      </c>
      <c r="AF33" s="114" t="str">
        <f aca="false">IF(AE33=6,AA33*AB33*AC33*AD33*(AE33/1000)*0.222*1,IF(AE33&gt;6,"",IF(AE33&lt;6,"")))</f>
        <v/>
      </c>
      <c r="AG33" s="107" t="str">
        <f aca="false">IF(AE33=8,AA33*AB33*AC33*AD33*(AE33/1000)*0.395*1,IF(AE33&gt;8,"",IF(AE33&lt;8,"")))</f>
        <v/>
      </c>
      <c r="AH33" s="107" t="str">
        <f aca="false">IF(AE33=10,AA33*AB33*AC33*AD33*(AE33/1000)*0.617*1,IF(AE33&gt;10,"",IF(AE33&lt;10,"")))</f>
        <v/>
      </c>
      <c r="AI33" s="107" t="str">
        <f aca="false">IF(AE33=12,AA33*AB33*AC33*AD33*(AE33/1000)*0.888*1,IF(AE33&gt;12,"",IF(AE33&lt;12,"")))</f>
        <v/>
      </c>
      <c r="AJ33" s="107" t="str">
        <f aca="false">IF(AE33=16,AA33*AB33*AC33*AD33*(AE33/1000)*1.578*1,IF(AE33&gt;16,"",IF(AE33&lt;16,"")))</f>
        <v/>
      </c>
      <c r="AK33" s="107" t="str">
        <f aca="false">IF(AE33=20,AA33*AB33*AC33*AD33*(AE33/1000)*2.466*1,IF(AE33&gt;20,"",IF(AE33&lt;20,"")))</f>
        <v/>
      </c>
      <c r="AL33" s="107" t="str">
        <f aca="false">IF(AE33=25,AA33*AB33*AC33*AD33*(AE33/1000)*3.853*1,IF(AE33&gt;25,"",IF(AE33&lt;25,"")))</f>
        <v/>
      </c>
      <c r="AM33" s="115" t="str">
        <f aca="false">IF(AE33=32,AA33*AB33*AC33*AD33*(AE33/1000)*6.313*1,IF(AE33&gt;32,"",IF(AE33&lt;32,"")))</f>
        <v/>
      </c>
      <c r="AN33" s="128"/>
      <c r="AO33" s="117" t="s">
        <v>160</v>
      </c>
      <c r="AP33" s="118" t="n">
        <f aca="false">SUM(R33:Y33)+SUM(AN33)</f>
        <v>0</v>
      </c>
      <c r="AQ33" s="118" t="n">
        <f aca="false">SUM(AF33:AM33)</f>
        <v>0</v>
      </c>
      <c r="AR33" s="118" t="n">
        <v>1.014</v>
      </c>
      <c r="AS33" s="119" t="s">
        <v>230</v>
      </c>
      <c r="AT33" s="119" t="s">
        <v>209</v>
      </c>
    </row>
    <row r="34" customFormat="false" ht="13.5" hidden="false" customHeight="false" outlineLevel="0" collapsed="false">
      <c r="A34" s="129"/>
      <c r="B34" s="172"/>
      <c r="C34" s="110"/>
      <c r="D34" s="122"/>
      <c r="E34" s="122"/>
      <c r="F34" s="173"/>
      <c r="G34" s="123"/>
      <c r="H34" s="101"/>
      <c r="I34" s="123"/>
      <c r="J34" s="101"/>
      <c r="K34" s="124" t="s">
        <v>220</v>
      </c>
      <c r="L34" s="125" t="n">
        <f aca="false">$E$33-2*0.05</f>
        <v>1.2</v>
      </c>
      <c r="M34" s="125" t="n">
        <v>0.1</v>
      </c>
      <c r="N34" s="126" t="n">
        <f aca="false">$C$33</f>
        <v>1</v>
      </c>
      <c r="O34" s="126" t="n">
        <f aca="false">CEILING(L34/M34,1)+1</f>
        <v>13</v>
      </c>
      <c r="P34" s="126" t="n">
        <v>12</v>
      </c>
      <c r="Q34" s="127" t="n">
        <f aca="false">$D$33-2*0.05+2*($F$33-2*0.05)</f>
        <v>2.2</v>
      </c>
      <c r="R34" s="105" t="str">
        <f aca="false">IF(P34=6,N34*O34*Q34*0.222*1,IF(P34&gt;6,"",IF(P34&lt;6,"")))</f>
        <v/>
      </c>
      <c r="S34" s="106" t="str">
        <f aca="false">IF(P34=8,N34*O34*Q34*0.395*1,IF(P34&gt;8,"",IF(P34&lt;8,"")))</f>
        <v/>
      </c>
      <c r="T34" s="106" t="str">
        <f aca="false">IF(P34=10,N34*O34*Q34*0.617*1,IF(P34&gt;10,"",IF(P34&lt;10,"")))</f>
        <v/>
      </c>
      <c r="U34" s="106" t="n">
        <f aca="false">IF(P34=12,N34*O34*Q34*0.888*1,IF(P34&gt;12,"",IF(P34&lt;12,"")))</f>
        <v>25.3968</v>
      </c>
      <c r="V34" s="107" t="str">
        <f aca="false">IF(P34=16,N34*O34*Q34*1.578*1,IF(P34&gt;16,"",IF(P34&lt;16,"")))</f>
        <v/>
      </c>
      <c r="W34" s="106" t="str">
        <f aca="false">IF(P34=20,N34*O34*Q34*2.466*1,IF(P34&gt;20,"",IF(P34&lt;20,"")))</f>
        <v/>
      </c>
      <c r="X34" s="106" t="str">
        <f aca="false">IF(P34=25,N34*O34*Q34*3.853*1,IF(P34&gt;25,"",IF(P34&lt;25,"")))</f>
        <v/>
      </c>
      <c r="Y34" s="108" t="str">
        <f aca="false">IF(P34=32,N34*O34*Q34*6.313*1,IF(P34&gt;32,"",IF(P34&lt;32,"")))</f>
        <v/>
      </c>
      <c r="Z34" s="109"/>
      <c r="AA34" s="110" t="str">
        <f aca="false">IF(AC34&gt;0,N34,"")</f>
        <v/>
      </c>
      <c r="AB34" s="111" t="str">
        <f aca="false">IF(AC34&gt;0,O34,"")</f>
        <v/>
      </c>
      <c r="AC34" s="112"/>
      <c r="AD34" s="112"/>
      <c r="AE34" s="113" t="str">
        <f aca="false">IF(AC34&gt;0,P34,"")</f>
        <v/>
      </c>
      <c r="AF34" s="114" t="str">
        <f aca="false">IF(AE34=6,AA34*AB34*AC34*AD34*(AE34/1000)*0.222*1,IF(AE34&gt;6,"",IF(AE34&lt;6,"")))</f>
        <v/>
      </c>
      <c r="AG34" s="107" t="str">
        <f aca="false">IF(AE34=8,AA34*AB34*AC34*AD34*(AE34/1000)*0.395*1,IF(AE34&gt;8,"",IF(AE34&lt;8,"")))</f>
        <v/>
      </c>
      <c r="AH34" s="107" t="str">
        <f aca="false">IF(AE34=10,AA34*AB34*AC34*AD34*(AE34/1000)*0.617*1,IF(AE34&gt;10,"",IF(AE34&lt;10,"")))</f>
        <v/>
      </c>
      <c r="AI34" s="107" t="str">
        <f aca="false">IF(AE34=12,AA34*AB34*AC34*AD34*(AE34/1000)*0.888*1,IF(AE34&gt;12,"",IF(AE34&lt;12,"")))</f>
        <v/>
      </c>
      <c r="AJ34" s="107" t="str">
        <f aca="false">IF(AE34=16,AA34*AB34*AC34*AD34*(AE34/1000)*1.578*1,IF(AE34&gt;16,"",IF(AE34&lt;16,"")))</f>
        <v/>
      </c>
      <c r="AK34" s="107" t="str">
        <f aca="false">IF(AE34=20,AA34*AB34*AC34*AD34*(AE34/1000)*2.466*1,IF(AE34&gt;20,"",IF(AE34&lt;20,"")))</f>
        <v/>
      </c>
      <c r="AL34" s="107" t="str">
        <f aca="false">IF(AE34=25,AA34*AB34*AC34*AD34*(AE34/1000)*3.853*1,IF(AE34&gt;25,"",IF(AE34&lt;25,"")))</f>
        <v/>
      </c>
      <c r="AM34" s="115" t="str">
        <f aca="false">IF(AE34=32,AA34*AB34*AC34*AD34*(AE34/1000)*6.313*1,IF(AE34&gt;32,"",IF(AE34&lt;32,"")))</f>
        <v/>
      </c>
      <c r="AN34" s="128"/>
      <c r="AO34" s="117" t="s">
        <v>160</v>
      </c>
      <c r="AP34" s="118" t="n">
        <f aca="false">SUM(R34:Y34)+SUM(AN34)</f>
        <v>25.3968</v>
      </c>
      <c r="AQ34" s="118" t="n">
        <f aca="false">SUM(AF34:AM34)</f>
        <v>0</v>
      </c>
      <c r="AR34" s="118"/>
      <c r="AS34" s="119" t="s">
        <v>211</v>
      </c>
      <c r="AT34" s="119" t="s">
        <v>162</v>
      </c>
    </row>
    <row r="35" customFormat="false" ht="13.5" hidden="false" customHeight="false" outlineLevel="0" collapsed="false">
      <c r="A35" s="129"/>
      <c r="B35" s="172"/>
      <c r="C35" s="110"/>
      <c r="D35" s="122"/>
      <c r="E35" s="122"/>
      <c r="F35" s="173"/>
      <c r="G35" s="123"/>
      <c r="H35" s="101"/>
      <c r="I35" s="123"/>
      <c r="J35" s="101"/>
      <c r="K35" s="124" t="s">
        <v>221</v>
      </c>
      <c r="L35" s="125" t="n">
        <f aca="false">$D$33-2*0.05</f>
        <v>1.2</v>
      </c>
      <c r="M35" s="125" t="n">
        <v>0.1</v>
      </c>
      <c r="N35" s="126" t="n">
        <f aca="false">$C$33</f>
        <v>1</v>
      </c>
      <c r="O35" s="126" t="n">
        <f aca="false">CEILING(L35/M35,1)+1</f>
        <v>13</v>
      </c>
      <c r="P35" s="126" t="n">
        <v>12</v>
      </c>
      <c r="Q35" s="127" t="n">
        <f aca="false">$E$33-2*0.05+2*($F$33-2*0.05)</f>
        <v>2.2</v>
      </c>
      <c r="R35" s="105" t="str">
        <f aca="false">IF(P35=6,N35*O35*Q35*0.222*1,IF(P35&gt;6,"",IF(P35&lt;6,"")))</f>
        <v/>
      </c>
      <c r="S35" s="106" t="str">
        <f aca="false">IF(P35=8,N35*O35*Q35*0.395*1,IF(P35&gt;8,"",IF(P35&lt;8,"")))</f>
        <v/>
      </c>
      <c r="T35" s="106" t="str">
        <f aca="false">IF(P35=10,N35*O35*Q35*0.617*1,IF(P35&gt;10,"",IF(P35&lt;10,"")))</f>
        <v/>
      </c>
      <c r="U35" s="106" t="n">
        <f aca="false">IF(P35=12,N35*O35*Q35*0.888*1,IF(P35&gt;12,"",IF(P35&lt;12,"")))</f>
        <v>25.3968</v>
      </c>
      <c r="V35" s="107" t="str">
        <f aca="false">IF(P35=16,N35*O35*Q35*1.578*1,IF(P35&gt;16,"",IF(P35&lt;16,"")))</f>
        <v/>
      </c>
      <c r="W35" s="106" t="str">
        <f aca="false">IF(P35=20,N35*O35*Q35*2.466*1,IF(P35&gt;20,"",IF(P35&lt;20,"")))</f>
        <v/>
      </c>
      <c r="X35" s="106" t="str">
        <f aca="false">IF(P35=25,N35*O35*Q35*3.853*1,IF(P35&gt;25,"",IF(P35&lt;25,"")))</f>
        <v/>
      </c>
      <c r="Y35" s="108" t="str">
        <f aca="false">IF(P35=32,N35*O35*Q35*6.313*1,IF(P35&gt;32,"",IF(P35&lt;32,"")))</f>
        <v/>
      </c>
      <c r="Z35" s="109"/>
      <c r="AA35" s="110" t="str">
        <f aca="false">IF(AC35&gt;0,N35,"")</f>
        <v/>
      </c>
      <c r="AB35" s="111" t="str">
        <f aca="false">IF(AC35&gt;0,O35,"")</f>
        <v/>
      </c>
      <c r="AC35" s="112"/>
      <c r="AD35" s="112"/>
      <c r="AE35" s="113" t="str">
        <f aca="false">IF(AC35&gt;0,P35,"")</f>
        <v/>
      </c>
      <c r="AF35" s="114" t="str">
        <f aca="false">IF(AE35=6,AA35*AB35*AC35*AD35*(AE35/1000)*0.222*1,IF(AE35&gt;6,"",IF(AE35&lt;6,"")))</f>
        <v/>
      </c>
      <c r="AG35" s="107" t="str">
        <f aca="false">IF(AE35=8,AA35*AB35*AC35*AD35*(AE35/1000)*0.395*1,IF(AE35&gt;8,"",IF(AE35&lt;8,"")))</f>
        <v/>
      </c>
      <c r="AH35" s="107" t="str">
        <f aca="false">IF(AE35=10,AA35*AB35*AC35*AD35*(AE35/1000)*0.617*1,IF(AE35&gt;10,"",IF(AE35&lt;10,"")))</f>
        <v/>
      </c>
      <c r="AI35" s="107" t="str">
        <f aca="false">IF(AE35=12,AA35*AB35*AC35*AD35*(AE35/1000)*0.888*1,IF(AE35&gt;12,"",IF(AE35&lt;12,"")))</f>
        <v/>
      </c>
      <c r="AJ35" s="107" t="str">
        <f aca="false">IF(AE35=16,AA35*AB35*AC35*AD35*(AE35/1000)*1.578*1,IF(AE35&gt;16,"",IF(AE35&lt;16,"")))</f>
        <v/>
      </c>
      <c r="AK35" s="107" t="str">
        <f aca="false">IF(AE35=20,AA35*AB35*AC35*AD35*(AE35/1000)*2.466*1,IF(AE35&gt;20,"",IF(AE35&lt;20,"")))</f>
        <v/>
      </c>
      <c r="AL35" s="107" t="str">
        <f aca="false">IF(AE35=25,AA35*AB35*AC35*AD35*(AE35/1000)*3.853*1,IF(AE35&gt;25,"",IF(AE35&lt;25,"")))</f>
        <v/>
      </c>
      <c r="AM35" s="115" t="str">
        <f aca="false">IF(AE35=32,AA35*AB35*AC35*AD35*(AE35/1000)*6.313*1,IF(AE35&gt;32,"",IF(AE35&lt;32,"")))</f>
        <v/>
      </c>
      <c r="AN35" s="128"/>
      <c r="AO35" s="117" t="s">
        <v>160</v>
      </c>
      <c r="AP35" s="118" t="n">
        <f aca="false">SUM(R35:Y35)+SUM(AN35)</f>
        <v>25.3968</v>
      </c>
      <c r="AQ35" s="118" t="n">
        <f aca="false">SUM(AF35:AM35)</f>
        <v>0</v>
      </c>
      <c r="AR35" s="118"/>
      <c r="AS35" s="119" t="s">
        <v>211</v>
      </c>
      <c r="AT35" s="119" t="s">
        <v>162</v>
      </c>
    </row>
    <row r="36" customFormat="false" ht="13.5" hidden="false" customHeight="false" outlineLevel="0" collapsed="false">
      <c r="A36" s="129"/>
      <c r="B36" s="172"/>
      <c r="C36" s="110"/>
      <c r="D36" s="122"/>
      <c r="E36" s="122"/>
      <c r="F36" s="173"/>
      <c r="G36" s="123"/>
      <c r="H36" s="101"/>
      <c r="I36" s="123"/>
      <c r="J36" s="101"/>
      <c r="K36" s="124" t="s">
        <v>222</v>
      </c>
      <c r="L36" s="125" t="n">
        <f aca="false">$E$33-2*0.05</f>
        <v>1.2</v>
      </c>
      <c r="M36" s="125" t="n">
        <v>0.1</v>
      </c>
      <c r="N36" s="126" t="n">
        <f aca="false">$C$33</f>
        <v>1</v>
      </c>
      <c r="O36" s="126" t="n">
        <f aca="false">CEILING(L36/M36,1)+1</f>
        <v>13</v>
      </c>
      <c r="P36" s="126" t="n">
        <v>12</v>
      </c>
      <c r="Q36" s="127" t="n">
        <f aca="false">$D$33-2*0.05+2*($F$33-2*0.05)</f>
        <v>2.2</v>
      </c>
      <c r="R36" s="105" t="str">
        <f aca="false">IF(P36=6,N36*O36*Q36*0.222*1,IF(P36&gt;6,"",IF(P36&lt;6,"")))</f>
        <v/>
      </c>
      <c r="S36" s="106" t="str">
        <f aca="false">IF(P36=8,N36*O36*Q36*0.395*1,IF(P36&gt;8,"",IF(P36&lt;8,"")))</f>
        <v/>
      </c>
      <c r="T36" s="106" t="str">
        <f aca="false">IF(P36=10,N36*O36*Q36*0.617*1,IF(P36&gt;10,"",IF(P36&lt;10,"")))</f>
        <v/>
      </c>
      <c r="U36" s="106" t="n">
        <f aca="false">IF(P36=12,N36*O36*Q36*0.888*1,IF(P36&gt;12,"",IF(P36&lt;12,"")))</f>
        <v>25.3968</v>
      </c>
      <c r="V36" s="107" t="str">
        <f aca="false">IF(P36=16,N36*O36*Q36*1.578*1,IF(P36&gt;16,"",IF(P36&lt;16,"")))</f>
        <v/>
      </c>
      <c r="W36" s="106" t="str">
        <f aca="false">IF(P36=20,N36*O36*Q36*2.466*1,IF(P36&gt;20,"",IF(P36&lt;20,"")))</f>
        <v/>
      </c>
      <c r="X36" s="106" t="str">
        <f aca="false">IF(P36=25,N36*O36*Q36*3.853*1,IF(P36&gt;25,"",IF(P36&lt;25,"")))</f>
        <v/>
      </c>
      <c r="Y36" s="108" t="str">
        <f aca="false">IF(P36=32,N36*O36*Q36*6.313*1,IF(P36&gt;32,"",IF(P36&lt;32,"")))</f>
        <v/>
      </c>
      <c r="Z36" s="109"/>
      <c r="AA36" s="110" t="str">
        <f aca="false">IF(AC36&gt;0,N36,"")</f>
        <v/>
      </c>
      <c r="AB36" s="111" t="str">
        <f aca="false">IF(AC36&gt;0,O36,"")</f>
        <v/>
      </c>
      <c r="AC36" s="112"/>
      <c r="AD36" s="112"/>
      <c r="AE36" s="113" t="str">
        <f aca="false">IF(AC36&gt;0,P36,"")</f>
        <v/>
      </c>
      <c r="AF36" s="114" t="str">
        <f aca="false">IF(AE36=6,AA36*AB36*AC36*AD36*(AE36/1000)*0.222*1,IF(AE36&gt;6,"",IF(AE36&lt;6,"")))</f>
        <v/>
      </c>
      <c r="AG36" s="107" t="str">
        <f aca="false">IF(AE36=8,AA36*AB36*AC36*AD36*(AE36/1000)*0.395*1,IF(AE36&gt;8,"",IF(AE36&lt;8,"")))</f>
        <v/>
      </c>
      <c r="AH36" s="107" t="str">
        <f aca="false">IF(AE36=10,AA36*AB36*AC36*AD36*(AE36/1000)*0.617*1,IF(AE36&gt;10,"",IF(AE36&lt;10,"")))</f>
        <v/>
      </c>
      <c r="AI36" s="107" t="str">
        <f aca="false">IF(AE36=12,AA36*AB36*AC36*AD36*(AE36/1000)*0.888*1,IF(AE36&gt;12,"",IF(AE36&lt;12,"")))</f>
        <v/>
      </c>
      <c r="AJ36" s="107" t="str">
        <f aca="false">IF(AE36=16,AA36*AB36*AC36*AD36*(AE36/1000)*1.578*1,IF(AE36&gt;16,"",IF(AE36&lt;16,"")))</f>
        <v/>
      </c>
      <c r="AK36" s="107" t="str">
        <f aca="false">IF(AE36=20,AA36*AB36*AC36*AD36*(AE36/1000)*2.466*1,IF(AE36&gt;20,"",IF(AE36&lt;20,"")))</f>
        <v/>
      </c>
      <c r="AL36" s="107" t="str">
        <f aca="false">IF(AE36=25,AA36*AB36*AC36*AD36*(AE36/1000)*3.853*1,IF(AE36&gt;25,"",IF(AE36&lt;25,"")))</f>
        <v/>
      </c>
      <c r="AM36" s="115" t="str">
        <f aca="false">IF(AE36=32,AA36*AB36*AC36*AD36*(AE36/1000)*6.313*1,IF(AE36&gt;32,"",IF(AE36&lt;32,"")))</f>
        <v/>
      </c>
      <c r="AN36" s="128"/>
      <c r="AO36" s="117" t="s">
        <v>160</v>
      </c>
      <c r="AP36" s="118" t="n">
        <f aca="false">SUM(R36:Y36)+SUM(AN36)</f>
        <v>25.3968</v>
      </c>
      <c r="AQ36" s="118" t="n">
        <f aca="false">SUM(AF36:AM36)</f>
        <v>0</v>
      </c>
      <c r="AR36" s="118"/>
      <c r="AS36" s="119" t="s">
        <v>211</v>
      </c>
      <c r="AT36" s="119" t="s">
        <v>162</v>
      </c>
    </row>
    <row r="37" customFormat="false" ht="13.5" hidden="false" customHeight="false" outlineLevel="0" collapsed="false">
      <c r="A37" s="129"/>
      <c r="B37" s="172"/>
      <c r="C37" s="110"/>
      <c r="D37" s="122"/>
      <c r="E37" s="122"/>
      <c r="F37" s="173"/>
      <c r="G37" s="123"/>
      <c r="H37" s="101"/>
      <c r="I37" s="123"/>
      <c r="J37" s="101"/>
      <c r="K37" s="124" t="s">
        <v>223</v>
      </c>
      <c r="L37" s="125" t="n">
        <f aca="false">$D$33-2*0.05</f>
        <v>1.2</v>
      </c>
      <c r="M37" s="125" t="n">
        <v>0.1</v>
      </c>
      <c r="N37" s="126" t="n">
        <f aca="false">$C$33</f>
        <v>1</v>
      </c>
      <c r="O37" s="126" t="n">
        <f aca="false">CEILING(L37/M37,1)+1</f>
        <v>13</v>
      </c>
      <c r="P37" s="126" t="n">
        <v>12</v>
      </c>
      <c r="Q37" s="127" t="n">
        <f aca="false">$E$33-2*0.05+2*($F$33-2*0.05)</f>
        <v>2.2</v>
      </c>
      <c r="R37" s="105" t="str">
        <f aca="false">IF(P37=6,N37*O37*Q37*0.222*1,IF(P37&gt;6,"",IF(P37&lt;6,"")))</f>
        <v/>
      </c>
      <c r="S37" s="106" t="str">
        <f aca="false">IF(P37=8,N37*O37*Q37*0.395*1,IF(P37&gt;8,"",IF(P37&lt;8,"")))</f>
        <v/>
      </c>
      <c r="T37" s="106" t="str">
        <f aca="false">IF(P37=10,N37*O37*Q37*0.617*1,IF(P37&gt;10,"",IF(P37&lt;10,"")))</f>
        <v/>
      </c>
      <c r="U37" s="106" t="n">
        <f aca="false">IF(P37=12,N37*O37*Q37*0.888*1,IF(P37&gt;12,"",IF(P37&lt;12,"")))</f>
        <v>25.3968</v>
      </c>
      <c r="V37" s="107" t="str">
        <f aca="false">IF(P37=16,N37*O37*Q37*1.578*1,IF(P37&gt;16,"",IF(P37&lt;16,"")))</f>
        <v/>
      </c>
      <c r="W37" s="106" t="str">
        <f aca="false">IF(P37=20,N37*O37*Q37*2.466*1,IF(P37&gt;20,"",IF(P37&lt;20,"")))</f>
        <v/>
      </c>
      <c r="X37" s="106" t="str">
        <f aca="false">IF(P37=25,N37*O37*Q37*3.853*1,IF(P37&gt;25,"",IF(P37&lt;25,"")))</f>
        <v/>
      </c>
      <c r="Y37" s="108" t="str">
        <f aca="false">IF(P37=32,N37*O37*Q37*6.313*1,IF(P37&gt;32,"",IF(P37&lt;32,"")))</f>
        <v/>
      </c>
      <c r="Z37" s="109"/>
      <c r="AA37" s="110" t="str">
        <f aca="false">IF(AC37&gt;0,N37,"")</f>
        <v/>
      </c>
      <c r="AB37" s="111" t="str">
        <f aca="false">IF(AC37&gt;0,O37,"")</f>
        <v/>
      </c>
      <c r="AC37" s="112"/>
      <c r="AD37" s="112"/>
      <c r="AE37" s="113" t="str">
        <f aca="false">IF(AC37&gt;0,P37,"")</f>
        <v/>
      </c>
      <c r="AF37" s="114" t="str">
        <f aca="false">IF(AE37=6,AA37*AB37*AC37*AD37*(AE37/1000)*0.222*1,IF(AE37&gt;6,"",IF(AE37&lt;6,"")))</f>
        <v/>
      </c>
      <c r="AG37" s="107" t="str">
        <f aca="false">IF(AE37=8,AA37*AB37*AC37*AD37*(AE37/1000)*0.395*1,IF(AE37&gt;8,"",IF(AE37&lt;8,"")))</f>
        <v/>
      </c>
      <c r="AH37" s="107" t="str">
        <f aca="false">IF(AE37=10,AA37*AB37*AC37*AD37*(AE37/1000)*0.617*1,IF(AE37&gt;10,"",IF(AE37&lt;10,"")))</f>
        <v/>
      </c>
      <c r="AI37" s="107" t="str">
        <f aca="false">IF(AE37=12,AA37*AB37*AC37*AD37*(AE37/1000)*0.888*1,IF(AE37&gt;12,"",IF(AE37&lt;12,"")))</f>
        <v/>
      </c>
      <c r="AJ37" s="107" t="str">
        <f aca="false">IF(AE37=16,AA37*AB37*AC37*AD37*(AE37/1000)*1.578*1,IF(AE37&gt;16,"",IF(AE37&lt;16,"")))</f>
        <v/>
      </c>
      <c r="AK37" s="107" t="str">
        <f aca="false">IF(AE37=20,AA37*AB37*AC37*AD37*(AE37/1000)*2.466*1,IF(AE37&gt;20,"",IF(AE37&lt;20,"")))</f>
        <v/>
      </c>
      <c r="AL37" s="107" t="str">
        <f aca="false">IF(AE37=25,AA37*AB37*AC37*AD37*(AE37/1000)*3.853*1,IF(AE37&gt;25,"",IF(AE37&lt;25,"")))</f>
        <v/>
      </c>
      <c r="AM37" s="115" t="str">
        <f aca="false">IF(AE37=32,AA37*AB37*AC37*AD37*(AE37/1000)*6.313*1,IF(AE37&gt;32,"",IF(AE37&lt;32,"")))</f>
        <v/>
      </c>
      <c r="AN37" s="128"/>
      <c r="AO37" s="117" t="s">
        <v>160</v>
      </c>
      <c r="AP37" s="118" t="n">
        <f aca="false">SUM(R37:Y37)+SUM(AN37)</f>
        <v>25.3968</v>
      </c>
      <c r="AQ37" s="118" t="n">
        <f aca="false">SUM(AF37:AM37)</f>
        <v>0</v>
      </c>
      <c r="AR37" s="118"/>
      <c r="AS37" s="119" t="s">
        <v>211</v>
      </c>
      <c r="AT37" s="119" t="s">
        <v>162</v>
      </c>
    </row>
    <row r="38" customFormat="false" ht="13.5" hidden="false" customHeight="false" outlineLevel="0" collapsed="false">
      <c r="A38" s="129"/>
      <c r="B38" s="172"/>
      <c r="C38" s="110"/>
      <c r="D38" s="122"/>
      <c r="E38" s="122"/>
      <c r="F38" s="173"/>
      <c r="G38" s="123"/>
      <c r="H38" s="101"/>
      <c r="I38" s="123"/>
      <c r="J38" s="101"/>
      <c r="K38" s="124" t="s">
        <v>224</v>
      </c>
      <c r="L38" s="125"/>
      <c r="M38" s="125"/>
      <c r="N38" s="126" t="n">
        <f aca="false">$C$33</f>
        <v>1</v>
      </c>
      <c r="O38" s="126" t="n">
        <v>4</v>
      </c>
      <c r="P38" s="126" t="n">
        <v>12</v>
      </c>
      <c r="Q38" s="127" t="n">
        <f aca="false">2*($D$33+$E$33)-8*0.05</f>
        <v>4.8</v>
      </c>
      <c r="R38" s="105" t="str">
        <f aca="false">IF(P38=6,N38*O38*Q38*0.222*1,IF(P38&gt;6,"",IF(P38&lt;6,"")))</f>
        <v/>
      </c>
      <c r="S38" s="106" t="str">
        <f aca="false">IF(P38=8,N38*O38*Q38*0.395*1,IF(P38&gt;8,"",IF(P38&lt;8,"")))</f>
        <v/>
      </c>
      <c r="T38" s="106" t="str">
        <f aca="false">IF(P38=10,N38*O38*Q38*0.617*1,IF(P38&gt;10,"",IF(P38&lt;10,"")))</f>
        <v/>
      </c>
      <c r="U38" s="106" t="n">
        <f aca="false">IF(P38=12,N38*O38*Q38*0.888*1,IF(P38&gt;12,"",IF(P38&lt;12,"")))</f>
        <v>17.0496</v>
      </c>
      <c r="V38" s="107" t="str">
        <f aca="false">IF(P38=16,N38*O38*Q38*1.578*1,IF(P38&gt;16,"",IF(P38&lt;16,"")))</f>
        <v/>
      </c>
      <c r="W38" s="106" t="str">
        <f aca="false">IF(P38=20,N38*O38*Q38*2.466*1,IF(P38&gt;20,"",IF(P38&lt;20,"")))</f>
        <v/>
      </c>
      <c r="X38" s="106" t="str">
        <f aca="false">IF(P38=25,N38*O38*Q38*3.853*1,IF(P38&gt;25,"",IF(P38&lt;25,"")))</f>
        <v/>
      </c>
      <c r="Y38" s="108" t="str">
        <f aca="false">IF(P38=32,N38*O38*Q38*6.313*1,IF(P38&gt;32,"",IF(P38&lt;32,"")))</f>
        <v/>
      </c>
      <c r="Z38" s="109"/>
      <c r="AA38" s="110" t="n">
        <f aca="false">IF(AC38&gt;0,N38,"")</f>
        <v>1</v>
      </c>
      <c r="AB38" s="111" t="n">
        <f aca="false">IF(AC38&gt;0,O38,"")</f>
        <v>4</v>
      </c>
      <c r="AC38" s="112" t="n">
        <v>1</v>
      </c>
      <c r="AD38" s="112" t="n">
        <v>50</v>
      </c>
      <c r="AE38" s="113" t="n">
        <f aca="false">IF(AC38&gt;0,P38,"")</f>
        <v>12</v>
      </c>
      <c r="AF38" s="114" t="str">
        <f aca="false">IF(AE38=6,AA38*AB38*AC38*AD38*(AE38/1000)*0.222*1,IF(AE38&gt;6,"",IF(AE38&lt;6,"")))</f>
        <v/>
      </c>
      <c r="AG38" s="107" t="str">
        <f aca="false">IF(AE38=8,AA38*AB38*AC38*AD38*(AE38/1000)*0.395*1,IF(AE38&gt;8,"",IF(AE38&lt;8,"")))</f>
        <v/>
      </c>
      <c r="AH38" s="107" t="str">
        <f aca="false">IF(AE38=10,AA38*AB38*AC38*AD38*(AE38/1000)*0.617*1,IF(AE38&gt;10,"",IF(AE38&lt;10,"")))</f>
        <v/>
      </c>
      <c r="AI38" s="107" t="n">
        <f aca="false">IF(AE38=12,AA38*AB38*AC38*AD38*(AE38/1000)*0.888*1,IF(AE38&gt;12,"",IF(AE38&lt;12,"")))</f>
        <v>2.1312</v>
      </c>
      <c r="AJ38" s="107" t="str">
        <f aca="false">IF(AE38=16,AA38*AB38*AC38*AD38*(AE38/1000)*1.578*1,IF(AE38&gt;16,"",IF(AE38&lt;16,"")))</f>
        <v/>
      </c>
      <c r="AK38" s="107" t="str">
        <f aca="false">IF(AE38=20,AA38*AB38*AC38*AD38*(AE38/1000)*2.466*1,IF(AE38&gt;20,"",IF(AE38&lt;20,"")))</f>
        <v/>
      </c>
      <c r="AL38" s="107" t="str">
        <f aca="false">IF(AE38=25,AA38*AB38*AC38*AD38*(AE38/1000)*3.853*1,IF(AE38&gt;25,"",IF(AE38&lt;25,"")))</f>
        <v/>
      </c>
      <c r="AM38" s="115" t="str">
        <f aca="false">IF(AE38=32,AA38*AB38*AC38*AD38*(AE38/1000)*6.313*1,IF(AE38&gt;32,"",IF(AE38&lt;32,"")))</f>
        <v/>
      </c>
      <c r="AN38" s="128"/>
      <c r="AO38" s="117" t="s">
        <v>160</v>
      </c>
      <c r="AP38" s="118" t="n">
        <f aca="false">SUM(R38:Y38)+SUM(AN38)</f>
        <v>17.0496</v>
      </c>
      <c r="AQ38" s="118" t="n">
        <f aca="false">SUM(AF38:AM38)</f>
        <v>2.1312</v>
      </c>
      <c r="AR38" s="118"/>
      <c r="AS38" s="119" t="s">
        <v>216</v>
      </c>
      <c r="AT38" s="119" t="s">
        <v>173</v>
      </c>
    </row>
    <row r="39" customFormat="false" ht="13.5" hidden="false" customHeight="false" outlineLevel="0" collapsed="false">
      <c r="A39" s="129"/>
      <c r="B39" s="172"/>
      <c r="C39" s="110"/>
      <c r="D39" s="122"/>
      <c r="E39" s="122"/>
      <c r="F39" s="173"/>
      <c r="G39" s="123"/>
      <c r="H39" s="101"/>
      <c r="I39" s="123"/>
      <c r="J39" s="101"/>
      <c r="K39" s="124" t="s">
        <v>231</v>
      </c>
      <c r="L39" s="125"/>
      <c r="M39" s="125"/>
      <c r="N39" s="126" t="n">
        <v>1</v>
      </c>
      <c r="O39" s="126" t="n">
        <v>4</v>
      </c>
      <c r="P39" s="126" t="n">
        <v>20</v>
      </c>
      <c r="Q39" s="127" t="n">
        <f aca="false">MAX(50*20/1000,$F$33-2*0.05+0.15)+50*20/1000</f>
        <v>2</v>
      </c>
      <c r="R39" s="105" t="str">
        <f aca="false">IF(P39=6,N39*O39*Q39*0.222*1,IF(P39&gt;6,"",IF(P39&lt;6,"")))</f>
        <v/>
      </c>
      <c r="S39" s="106" t="str">
        <f aca="false">IF(P39=8,N39*O39*Q39*0.395*1,IF(P39&gt;8,"",IF(P39&lt;8,"")))</f>
        <v/>
      </c>
      <c r="T39" s="106" t="str">
        <f aca="false">IF(P39=10,N39*O39*Q39*0.617*1,IF(P39&gt;10,"",IF(P39&lt;10,"")))</f>
        <v/>
      </c>
      <c r="U39" s="106" t="str">
        <f aca="false">IF(P39=12,N39*O39*Q39*0.888*1,IF(P39&gt;12,"",IF(P39&lt;12,"")))</f>
        <v/>
      </c>
      <c r="V39" s="107" t="str">
        <f aca="false">IF(P39=16,N39*O39*Q39*1.578*1,IF(P39&gt;16,"",IF(P39&lt;16,"")))</f>
        <v/>
      </c>
      <c r="W39" s="106" t="n">
        <f aca="false">IF(P39=20,N39*O39*Q39*2.466*1,IF(P39&gt;20,"",IF(P39&lt;20,"")))</f>
        <v>19.728</v>
      </c>
      <c r="X39" s="106" t="str">
        <f aca="false">IF(P39=25,N39*O39*Q39*3.853*1,IF(P39&gt;25,"",IF(P39&lt;25,"")))</f>
        <v/>
      </c>
      <c r="Y39" s="108" t="str">
        <f aca="false">IF(P39=32,N39*O39*Q39*6.313*1,IF(P39&gt;32,"",IF(P39&lt;32,"")))</f>
        <v/>
      </c>
      <c r="Z39" s="109"/>
      <c r="AA39" s="110" t="str">
        <f aca="false">IF(AC39&gt;0,N39,"")</f>
        <v/>
      </c>
      <c r="AB39" s="111" t="str">
        <f aca="false">IF(AC39&gt;0,O39,"")</f>
        <v/>
      </c>
      <c r="AC39" s="112"/>
      <c r="AD39" s="112"/>
      <c r="AE39" s="113" t="str">
        <f aca="false">IF(AC39&gt;0,P39,"")</f>
        <v/>
      </c>
      <c r="AF39" s="114" t="str">
        <f aca="false">IF(AE39=6,AA39*AB39*AC39*AD39*(AE39/1000)*0.222*1,IF(AE39&gt;6,"",IF(AE39&lt;6,"")))</f>
        <v/>
      </c>
      <c r="AG39" s="107" t="str">
        <f aca="false">IF(AE39=8,AA39*AB39*AC39*AD39*(AE39/1000)*0.395*1,IF(AE39&gt;8,"",IF(AE39&lt;8,"")))</f>
        <v/>
      </c>
      <c r="AH39" s="107" t="str">
        <f aca="false">IF(AE39=10,AA39*AB39*AC39*AD39*(AE39/1000)*0.617*1,IF(AE39&gt;10,"",IF(AE39&lt;10,"")))</f>
        <v/>
      </c>
      <c r="AI39" s="107" t="str">
        <f aca="false">IF(AE39=12,AA39*AB39*AC39*AD39*(AE39/1000)*0.888*1,IF(AE39&gt;12,"",IF(AE39&lt;12,"")))</f>
        <v/>
      </c>
      <c r="AJ39" s="107" t="str">
        <f aca="false">IF(AE39=16,AA39*AB39*AC39*AD39*(AE39/1000)*1.578*1,IF(AE39&gt;16,"",IF(AE39&lt;16,"")))</f>
        <v/>
      </c>
      <c r="AK39" s="107" t="str">
        <f aca="false">IF(AE39=20,AA39*AB39*AC39*AD39*(AE39/1000)*2.466*1,IF(AE39&gt;20,"",IF(AE39&lt;20,"")))</f>
        <v/>
      </c>
      <c r="AL39" s="107" t="str">
        <f aca="false">IF(AE39=25,AA39*AB39*AC39*AD39*(AE39/1000)*3.853*1,IF(AE39&gt;25,"",IF(AE39&lt;25,"")))</f>
        <v/>
      </c>
      <c r="AM39" s="115" t="str">
        <f aca="false">IF(AE39=32,AA39*AB39*AC39*AD39*(AE39/1000)*6.313*1,IF(AE39&gt;32,"",IF(AE39&lt;32,"")))</f>
        <v/>
      </c>
      <c r="AN39" s="128"/>
      <c r="AO39" s="117" t="s">
        <v>160</v>
      </c>
      <c r="AP39" s="118" t="n">
        <f aca="false">SUM(R39:Y39)+SUM(AN39)</f>
        <v>19.728</v>
      </c>
      <c r="AQ39" s="118" t="n">
        <f aca="false">SUM(AF39:AM39)</f>
        <v>0</v>
      </c>
      <c r="AR39" s="118"/>
      <c r="AS39" s="119" t="s">
        <v>218</v>
      </c>
      <c r="AT39" s="119" t="s">
        <v>173</v>
      </c>
    </row>
    <row r="40" customFormat="false" ht="13.5" hidden="false" customHeight="false" outlineLevel="0" collapsed="false">
      <c r="A40" s="129"/>
      <c r="B40" s="130"/>
      <c r="C40" s="110"/>
      <c r="D40" s="122"/>
      <c r="E40" s="122"/>
      <c r="F40" s="122"/>
      <c r="G40" s="123"/>
      <c r="H40" s="101"/>
      <c r="I40" s="123"/>
      <c r="J40" s="101"/>
      <c r="K40" s="124"/>
      <c r="L40" s="125"/>
      <c r="M40" s="125"/>
      <c r="N40" s="126"/>
      <c r="O40" s="126"/>
      <c r="P40" s="126"/>
      <c r="Q40" s="127"/>
      <c r="R40" s="105"/>
      <c r="S40" s="106"/>
      <c r="T40" s="106"/>
      <c r="U40" s="106"/>
      <c r="V40" s="107"/>
      <c r="W40" s="106"/>
      <c r="X40" s="106"/>
      <c r="Y40" s="108"/>
      <c r="Z40" s="109"/>
      <c r="AA40" s="110"/>
      <c r="AB40" s="111"/>
      <c r="AC40" s="112"/>
      <c r="AD40" s="112"/>
      <c r="AE40" s="113"/>
      <c r="AF40" s="114"/>
      <c r="AG40" s="107"/>
      <c r="AH40" s="107"/>
      <c r="AI40" s="107"/>
      <c r="AJ40" s="107"/>
      <c r="AK40" s="107"/>
      <c r="AL40" s="107"/>
      <c r="AM40" s="115"/>
      <c r="AO40" s="117"/>
      <c r="AP40" s="118"/>
      <c r="AQ40" s="118"/>
      <c r="AR40" s="118"/>
      <c r="AS40" s="119"/>
      <c r="AT40" s="119"/>
    </row>
    <row r="41" customFormat="false" ht="13.5" hidden="false" customHeight="false" outlineLevel="0" collapsed="false">
      <c r="A41" s="120"/>
      <c r="B41" s="121" t="s">
        <v>166</v>
      </c>
      <c r="C41" s="110" t="n">
        <v>1</v>
      </c>
      <c r="D41" s="122" t="n">
        <v>1.5</v>
      </c>
      <c r="E41" s="122" t="n">
        <v>1.3</v>
      </c>
      <c r="F41" s="122" t="n">
        <v>0.6</v>
      </c>
      <c r="G41" s="123" t="n">
        <f aca="false">C41*D41*E41*F41</f>
        <v>1.17</v>
      </c>
      <c r="H41" s="101"/>
      <c r="I41" s="123" t="n">
        <f aca="false">2*(D41+E41)*F41*C41</f>
        <v>3.36</v>
      </c>
      <c r="J41" s="101"/>
      <c r="K41" s="124"/>
      <c r="L41" s="125"/>
      <c r="M41" s="125"/>
      <c r="N41" s="126"/>
      <c r="O41" s="126"/>
      <c r="P41" s="126"/>
      <c r="Q41" s="127"/>
      <c r="R41" s="105" t="str">
        <f aca="false">IF(P41=6,N41*O41*Q41*0.222*1,IF(P41&gt;6,"",IF(P41&lt;6,"")))</f>
        <v/>
      </c>
      <c r="S41" s="106" t="str">
        <f aca="false">IF(P41=8,N41*O41*Q41*0.395*1,IF(P41&gt;8,"",IF(P41&lt;8,"")))</f>
        <v/>
      </c>
      <c r="T41" s="106" t="str">
        <f aca="false">IF(P41=10,N41*O41*Q41*0.617*1,IF(P41&gt;10,"",IF(P41&lt;10,"")))</f>
        <v/>
      </c>
      <c r="U41" s="106" t="str">
        <f aca="false">IF(P41=12,N41*O41*Q41*0.888*1,IF(P41&gt;12,"",IF(P41&lt;12,"")))</f>
        <v/>
      </c>
      <c r="V41" s="107" t="str">
        <f aca="false">IF(P41=16,N41*O41*Q41*1.578*1,IF(P41&gt;16,"",IF(P41&lt;16,"")))</f>
        <v/>
      </c>
      <c r="W41" s="106" t="str">
        <f aca="false">IF(P41=20,N41*O41*Q41*2.466*1,IF(P41&gt;20,"",IF(P41&lt;20,"")))</f>
        <v/>
      </c>
      <c r="X41" s="106" t="str">
        <f aca="false">IF(P41=25,N41*O41*Q41*3.853*1,IF(P41&gt;25,"",IF(P41&lt;25,"")))</f>
        <v/>
      </c>
      <c r="Y41" s="108" t="str">
        <f aca="false">IF(P41=32,N41*O41*Q41*6.313*1,IF(P41&gt;32,"",IF(P41&lt;32,"")))</f>
        <v/>
      </c>
      <c r="Z41" s="109"/>
      <c r="AA41" s="110" t="str">
        <f aca="false">IF(AC41&gt;0,N41,"")</f>
        <v/>
      </c>
      <c r="AB41" s="111" t="str">
        <f aca="false">IF(AC41&gt;0,O41,"")</f>
        <v/>
      </c>
      <c r="AC41" s="112"/>
      <c r="AD41" s="112"/>
      <c r="AE41" s="113" t="str">
        <f aca="false">IF(AC41&gt;0,P41,"")</f>
        <v/>
      </c>
      <c r="AF41" s="114" t="str">
        <f aca="false">IF(AE41=6,AA41*AB41*AC41*AD41*(AE41/1000)*0.222*1,IF(AE41&gt;6,"",IF(AE41&lt;6,"")))</f>
        <v/>
      </c>
      <c r="AG41" s="107" t="str">
        <f aca="false">IF(AE41=8,AA41*AB41*AC41*AD41*(AE41/1000)*0.395*1,IF(AE41&gt;8,"",IF(AE41&lt;8,"")))</f>
        <v/>
      </c>
      <c r="AH41" s="107" t="str">
        <f aca="false">IF(AE41=10,AA41*AB41*AC41*AD41*(AE41/1000)*0.617*1,IF(AE41&gt;10,"",IF(AE41&lt;10,"")))</f>
        <v/>
      </c>
      <c r="AI41" s="107" t="str">
        <f aca="false">IF(AE41=12,AA41*AB41*AC41*AD41*(AE41/1000)*0.888*1,IF(AE41&gt;12,"",IF(AE41&lt;12,"")))</f>
        <v/>
      </c>
      <c r="AJ41" s="107" t="str">
        <f aca="false">IF(AE41=16,AA41*AB41*AC41*AD41*(AE41/1000)*1.578*1,IF(AE41&gt;16,"",IF(AE41&lt;16,"")))</f>
        <v/>
      </c>
      <c r="AK41" s="107" t="str">
        <f aca="false">IF(AE41=20,AA41*AB41*AC41*AD41*(AE41/1000)*2.466*1,IF(AE41&gt;20,"",IF(AE41&lt;20,"")))</f>
        <v/>
      </c>
      <c r="AL41" s="107" t="str">
        <f aca="false">IF(AE41=25,AA41*AB41*AC41*AD41*(AE41/1000)*3.853*1,IF(AE41&gt;25,"",IF(AE41&lt;25,"")))</f>
        <v/>
      </c>
      <c r="AM41" s="115" t="str">
        <f aca="false">IF(AE41=32,AA41*AB41*AC41*AD41*(AE41/1000)*6.313*1,IF(AE41&gt;32,"",IF(AE41&lt;32,"")))</f>
        <v/>
      </c>
      <c r="AN41" s="128"/>
      <c r="AO41" s="117" t="s">
        <v>160</v>
      </c>
      <c r="AP41" s="118" t="n">
        <f aca="false">SUM(R41:Y41)+SUM(AN41)</f>
        <v>0</v>
      </c>
      <c r="AQ41" s="118" t="n">
        <f aca="false">SUM(AF41:AM41)</f>
        <v>0</v>
      </c>
      <c r="AR41" s="118" t="n">
        <v>0.975</v>
      </c>
      <c r="AS41" s="119" t="s">
        <v>232</v>
      </c>
      <c r="AT41" s="119" t="s">
        <v>233</v>
      </c>
    </row>
    <row r="42" customFormat="false" ht="13.5" hidden="false" customHeight="false" outlineLevel="0" collapsed="false">
      <c r="A42" s="129"/>
      <c r="B42" s="172"/>
      <c r="C42" s="110"/>
      <c r="D42" s="122"/>
      <c r="E42" s="122"/>
      <c r="F42" s="173"/>
      <c r="G42" s="123"/>
      <c r="H42" s="101"/>
      <c r="I42" s="123"/>
      <c r="J42" s="101"/>
      <c r="K42" s="124" t="s">
        <v>220</v>
      </c>
      <c r="L42" s="125" t="n">
        <f aca="false">$E$41-2*0.05</f>
        <v>1.2</v>
      </c>
      <c r="M42" s="125" t="n">
        <v>0.1</v>
      </c>
      <c r="N42" s="126" t="n">
        <f aca="false">$C$41</f>
        <v>1</v>
      </c>
      <c r="O42" s="126" t="n">
        <f aca="false">CEILING(L42/M42,1)+1</f>
        <v>13</v>
      </c>
      <c r="P42" s="126" t="n">
        <v>12</v>
      </c>
      <c r="Q42" s="127" t="n">
        <f aca="false">$D$41-2*0.05+2*($F$41-2*0.05)</f>
        <v>2.4</v>
      </c>
      <c r="R42" s="105" t="str">
        <f aca="false">IF(P42=6,N42*O42*Q42*0.222*1,IF(P42&gt;6,"",IF(P42&lt;6,"")))</f>
        <v/>
      </c>
      <c r="S42" s="106" t="str">
        <f aca="false">IF(P42=8,N42*O42*Q42*0.395*1,IF(P42&gt;8,"",IF(P42&lt;8,"")))</f>
        <v/>
      </c>
      <c r="T42" s="106" t="str">
        <f aca="false">IF(P42=10,N42*O42*Q42*0.617*1,IF(P42&gt;10,"",IF(P42&lt;10,"")))</f>
        <v/>
      </c>
      <c r="U42" s="106" t="n">
        <f aca="false">IF(P42=12,N42*O42*Q42*0.888*1,IF(P42&gt;12,"",IF(P42&lt;12,"")))</f>
        <v>27.7056</v>
      </c>
      <c r="V42" s="107" t="str">
        <f aca="false">IF(P42=16,N42*O42*Q42*1.578*1,IF(P42&gt;16,"",IF(P42&lt;16,"")))</f>
        <v/>
      </c>
      <c r="W42" s="106" t="str">
        <f aca="false">IF(P42=20,N42*O42*Q42*2.466*1,IF(P42&gt;20,"",IF(P42&lt;20,"")))</f>
        <v/>
      </c>
      <c r="X42" s="106" t="str">
        <f aca="false">IF(P42=25,N42*O42*Q42*3.853*1,IF(P42&gt;25,"",IF(P42&lt;25,"")))</f>
        <v/>
      </c>
      <c r="Y42" s="108" t="str">
        <f aca="false">IF(P42=32,N42*O42*Q42*6.313*1,IF(P42&gt;32,"",IF(P42&lt;32,"")))</f>
        <v/>
      </c>
      <c r="Z42" s="109"/>
      <c r="AA42" s="110" t="str">
        <f aca="false">IF(AC42&gt;0,N42,"")</f>
        <v/>
      </c>
      <c r="AB42" s="111" t="str">
        <f aca="false">IF(AC42&gt;0,O42,"")</f>
        <v/>
      </c>
      <c r="AC42" s="112"/>
      <c r="AD42" s="112"/>
      <c r="AE42" s="113" t="str">
        <f aca="false">IF(AC42&gt;0,P42,"")</f>
        <v/>
      </c>
      <c r="AF42" s="114" t="str">
        <f aca="false">IF(AE42=6,AA42*AB42*AC42*AD42*(AE42/1000)*0.222*1,IF(AE42&gt;6,"",IF(AE42&lt;6,"")))</f>
        <v/>
      </c>
      <c r="AG42" s="107" t="str">
        <f aca="false">IF(AE42=8,AA42*AB42*AC42*AD42*(AE42/1000)*0.395*1,IF(AE42&gt;8,"",IF(AE42&lt;8,"")))</f>
        <v/>
      </c>
      <c r="AH42" s="107" t="str">
        <f aca="false">IF(AE42=10,AA42*AB42*AC42*AD42*(AE42/1000)*0.617*1,IF(AE42&gt;10,"",IF(AE42&lt;10,"")))</f>
        <v/>
      </c>
      <c r="AI42" s="107" t="str">
        <f aca="false">IF(AE42=12,AA42*AB42*AC42*AD42*(AE42/1000)*0.888*1,IF(AE42&gt;12,"",IF(AE42&lt;12,"")))</f>
        <v/>
      </c>
      <c r="AJ42" s="107" t="str">
        <f aca="false">IF(AE42=16,AA42*AB42*AC42*AD42*(AE42/1000)*1.578*1,IF(AE42&gt;16,"",IF(AE42&lt;16,"")))</f>
        <v/>
      </c>
      <c r="AK42" s="107" t="str">
        <f aca="false">IF(AE42=20,AA42*AB42*AC42*AD42*(AE42/1000)*2.466*1,IF(AE42&gt;20,"",IF(AE42&lt;20,"")))</f>
        <v/>
      </c>
      <c r="AL42" s="107" t="str">
        <f aca="false">IF(AE42=25,AA42*AB42*AC42*AD42*(AE42/1000)*3.853*1,IF(AE42&gt;25,"",IF(AE42&lt;25,"")))</f>
        <v/>
      </c>
      <c r="AM42" s="115" t="str">
        <f aca="false">IF(AE42=32,AA42*AB42*AC42*AD42*(AE42/1000)*6.313*1,IF(AE42&gt;32,"",IF(AE42&lt;32,"")))</f>
        <v/>
      </c>
      <c r="AN42" s="128"/>
      <c r="AO42" s="117" t="s">
        <v>160</v>
      </c>
      <c r="AP42" s="118" t="n">
        <f aca="false">SUM(R42:Y42)+SUM(AN42)</f>
        <v>27.7056</v>
      </c>
      <c r="AQ42" s="118" t="n">
        <f aca="false">SUM(AF42:AM42)</f>
        <v>0</v>
      </c>
      <c r="AR42" s="118"/>
      <c r="AS42" s="119" t="s">
        <v>211</v>
      </c>
      <c r="AT42" s="119" t="s">
        <v>162</v>
      </c>
    </row>
    <row r="43" customFormat="false" ht="13.5" hidden="false" customHeight="false" outlineLevel="0" collapsed="false">
      <c r="A43" s="129"/>
      <c r="B43" s="172"/>
      <c r="C43" s="110"/>
      <c r="D43" s="122"/>
      <c r="E43" s="122"/>
      <c r="F43" s="173"/>
      <c r="G43" s="123"/>
      <c r="H43" s="101"/>
      <c r="I43" s="123"/>
      <c r="J43" s="101"/>
      <c r="K43" s="124" t="s">
        <v>221</v>
      </c>
      <c r="L43" s="125" t="n">
        <f aca="false">$D$41-2*0.05</f>
        <v>1.4</v>
      </c>
      <c r="M43" s="125" t="n">
        <v>0.1</v>
      </c>
      <c r="N43" s="126" t="n">
        <f aca="false">$C$41</f>
        <v>1</v>
      </c>
      <c r="O43" s="126" t="n">
        <f aca="false">CEILING(L43/M43,1)+1</f>
        <v>15</v>
      </c>
      <c r="P43" s="126" t="n">
        <v>12</v>
      </c>
      <c r="Q43" s="127" t="n">
        <f aca="false">$E$41-2*0.05+2*($F$41-2*0.05)</f>
        <v>2.2</v>
      </c>
      <c r="R43" s="105" t="str">
        <f aca="false">IF(P43=6,N43*O43*Q43*0.222*1,IF(P43&gt;6,"",IF(P43&lt;6,"")))</f>
        <v/>
      </c>
      <c r="S43" s="106" t="str">
        <f aca="false">IF(P43=8,N43*O43*Q43*0.395*1,IF(P43&gt;8,"",IF(P43&lt;8,"")))</f>
        <v/>
      </c>
      <c r="T43" s="106" t="str">
        <f aca="false">IF(P43=10,N43*O43*Q43*0.617*1,IF(P43&gt;10,"",IF(P43&lt;10,"")))</f>
        <v/>
      </c>
      <c r="U43" s="106" t="n">
        <f aca="false">IF(P43=12,N43*O43*Q43*0.888*1,IF(P43&gt;12,"",IF(P43&lt;12,"")))</f>
        <v>29.304</v>
      </c>
      <c r="V43" s="107" t="str">
        <f aca="false">IF(P43=16,N43*O43*Q43*1.578*1,IF(P43&gt;16,"",IF(P43&lt;16,"")))</f>
        <v/>
      </c>
      <c r="W43" s="106" t="str">
        <f aca="false">IF(P43=20,N43*O43*Q43*2.466*1,IF(P43&gt;20,"",IF(P43&lt;20,"")))</f>
        <v/>
      </c>
      <c r="X43" s="106" t="str">
        <f aca="false">IF(P43=25,N43*O43*Q43*3.853*1,IF(P43&gt;25,"",IF(P43&lt;25,"")))</f>
        <v/>
      </c>
      <c r="Y43" s="108" t="str">
        <f aca="false">IF(P43=32,N43*O43*Q43*6.313*1,IF(P43&gt;32,"",IF(P43&lt;32,"")))</f>
        <v/>
      </c>
      <c r="Z43" s="109"/>
      <c r="AA43" s="110" t="str">
        <f aca="false">IF(AC43&gt;0,N43,"")</f>
        <v/>
      </c>
      <c r="AB43" s="111" t="str">
        <f aca="false">IF(AC43&gt;0,O43,"")</f>
        <v/>
      </c>
      <c r="AC43" s="112"/>
      <c r="AD43" s="112"/>
      <c r="AE43" s="113" t="str">
        <f aca="false">IF(AC43&gt;0,P43,"")</f>
        <v/>
      </c>
      <c r="AF43" s="114" t="str">
        <f aca="false">IF(AE43=6,AA43*AB43*AC43*AD43*(AE43/1000)*0.222*1,IF(AE43&gt;6,"",IF(AE43&lt;6,"")))</f>
        <v/>
      </c>
      <c r="AG43" s="107" t="str">
        <f aca="false">IF(AE43=8,AA43*AB43*AC43*AD43*(AE43/1000)*0.395*1,IF(AE43&gt;8,"",IF(AE43&lt;8,"")))</f>
        <v/>
      </c>
      <c r="AH43" s="107" t="str">
        <f aca="false">IF(AE43=10,AA43*AB43*AC43*AD43*(AE43/1000)*0.617*1,IF(AE43&gt;10,"",IF(AE43&lt;10,"")))</f>
        <v/>
      </c>
      <c r="AI43" s="107" t="str">
        <f aca="false">IF(AE43=12,AA43*AB43*AC43*AD43*(AE43/1000)*0.888*1,IF(AE43&gt;12,"",IF(AE43&lt;12,"")))</f>
        <v/>
      </c>
      <c r="AJ43" s="107" t="str">
        <f aca="false">IF(AE43=16,AA43*AB43*AC43*AD43*(AE43/1000)*1.578*1,IF(AE43&gt;16,"",IF(AE43&lt;16,"")))</f>
        <v/>
      </c>
      <c r="AK43" s="107" t="str">
        <f aca="false">IF(AE43=20,AA43*AB43*AC43*AD43*(AE43/1000)*2.466*1,IF(AE43&gt;20,"",IF(AE43&lt;20,"")))</f>
        <v/>
      </c>
      <c r="AL43" s="107" t="str">
        <f aca="false">IF(AE43=25,AA43*AB43*AC43*AD43*(AE43/1000)*3.853*1,IF(AE43&gt;25,"",IF(AE43&lt;25,"")))</f>
        <v/>
      </c>
      <c r="AM43" s="115" t="str">
        <f aca="false">IF(AE43=32,AA43*AB43*AC43*AD43*(AE43/1000)*6.313*1,IF(AE43&gt;32,"",IF(AE43&lt;32,"")))</f>
        <v/>
      </c>
      <c r="AN43" s="128"/>
      <c r="AO43" s="117" t="s">
        <v>160</v>
      </c>
      <c r="AP43" s="118" t="n">
        <f aca="false">SUM(R43:Y43)+SUM(AN43)</f>
        <v>29.304</v>
      </c>
      <c r="AQ43" s="118" t="n">
        <f aca="false">SUM(AF43:AM43)</f>
        <v>0</v>
      </c>
      <c r="AR43" s="118"/>
      <c r="AS43" s="119" t="s">
        <v>211</v>
      </c>
      <c r="AT43" s="119" t="s">
        <v>162</v>
      </c>
    </row>
    <row r="44" customFormat="false" ht="13.5" hidden="false" customHeight="false" outlineLevel="0" collapsed="false">
      <c r="A44" s="129"/>
      <c r="B44" s="172"/>
      <c r="C44" s="110"/>
      <c r="D44" s="122"/>
      <c r="E44" s="122"/>
      <c r="F44" s="173"/>
      <c r="G44" s="123"/>
      <c r="H44" s="101"/>
      <c r="I44" s="123"/>
      <c r="J44" s="101"/>
      <c r="K44" s="124" t="s">
        <v>222</v>
      </c>
      <c r="L44" s="125" t="n">
        <f aca="false">$E$41-2*0.05</f>
        <v>1.2</v>
      </c>
      <c r="M44" s="125" t="n">
        <v>0.1</v>
      </c>
      <c r="N44" s="126" t="n">
        <f aca="false">$C$41</f>
        <v>1</v>
      </c>
      <c r="O44" s="126" t="n">
        <f aca="false">CEILING(L44/M44,1)+1</f>
        <v>13</v>
      </c>
      <c r="P44" s="126" t="n">
        <v>12</v>
      </c>
      <c r="Q44" s="127" t="n">
        <f aca="false">$D$41-2*0.05+2*($F$41-2*0.05)</f>
        <v>2.4</v>
      </c>
      <c r="R44" s="105" t="str">
        <f aca="false">IF(P44=6,N44*O44*Q44*0.222*1,IF(P44&gt;6,"",IF(P44&lt;6,"")))</f>
        <v/>
      </c>
      <c r="S44" s="106" t="str">
        <f aca="false">IF(P44=8,N44*O44*Q44*0.395*1,IF(P44&gt;8,"",IF(P44&lt;8,"")))</f>
        <v/>
      </c>
      <c r="T44" s="106" t="str">
        <f aca="false">IF(P44=10,N44*O44*Q44*0.617*1,IF(P44&gt;10,"",IF(P44&lt;10,"")))</f>
        <v/>
      </c>
      <c r="U44" s="106" t="n">
        <f aca="false">IF(P44=12,N44*O44*Q44*0.888*1,IF(P44&gt;12,"",IF(P44&lt;12,"")))</f>
        <v>27.7056</v>
      </c>
      <c r="V44" s="107" t="str">
        <f aca="false">IF(P44=16,N44*O44*Q44*1.578*1,IF(P44&gt;16,"",IF(P44&lt;16,"")))</f>
        <v/>
      </c>
      <c r="W44" s="106" t="str">
        <f aca="false">IF(P44=20,N44*O44*Q44*2.466*1,IF(P44&gt;20,"",IF(P44&lt;20,"")))</f>
        <v/>
      </c>
      <c r="X44" s="106" t="str">
        <f aca="false">IF(P44=25,N44*O44*Q44*3.853*1,IF(P44&gt;25,"",IF(P44&lt;25,"")))</f>
        <v/>
      </c>
      <c r="Y44" s="108" t="str">
        <f aca="false">IF(P44=32,N44*O44*Q44*6.313*1,IF(P44&gt;32,"",IF(P44&lt;32,"")))</f>
        <v/>
      </c>
      <c r="Z44" s="109"/>
      <c r="AA44" s="110" t="str">
        <f aca="false">IF(AC44&gt;0,N44,"")</f>
        <v/>
      </c>
      <c r="AB44" s="111" t="str">
        <f aca="false">IF(AC44&gt;0,O44,"")</f>
        <v/>
      </c>
      <c r="AC44" s="112"/>
      <c r="AD44" s="112"/>
      <c r="AE44" s="113" t="str">
        <f aca="false">IF(AC44&gt;0,P44,"")</f>
        <v/>
      </c>
      <c r="AF44" s="114" t="str">
        <f aca="false">IF(AE44=6,AA44*AB44*AC44*AD44*(AE44/1000)*0.222*1,IF(AE44&gt;6,"",IF(AE44&lt;6,"")))</f>
        <v/>
      </c>
      <c r="AG44" s="107" t="str">
        <f aca="false">IF(AE44=8,AA44*AB44*AC44*AD44*(AE44/1000)*0.395*1,IF(AE44&gt;8,"",IF(AE44&lt;8,"")))</f>
        <v/>
      </c>
      <c r="AH44" s="107" t="str">
        <f aca="false">IF(AE44=10,AA44*AB44*AC44*AD44*(AE44/1000)*0.617*1,IF(AE44&gt;10,"",IF(AE44&lt;10,"")))</f>
        <v/>
      </c>
      <c r="AI44" s="107" t="str">
        <f aca="false">IF(AE44=12,AA44*AB44*AC44*AD44*(AE44/1000)*0.888*1,IF(AE44&gt;12,"",IF(AE44&lt;12,"")))</f>
        <v/>
      </c>
      <c r="AJ44" s="107" t="str">
        <f aca="false">IF(AE44=16,AA44*AB44*AC44*AD44*(AE44/1000)*1.578*1,IF(AE44&gt;16,"",IF(AE44&lt;16,"")))</f>
        <v/>
      </c>
      <c r="AK44" s="107" t="str">
        <f aca="false">IF(AE44=20,AA44*AB44*AC44*AD44*(AE44/1000)*2.466*1,IF(AE44&gt;20,"",IF(AE44&lt;20,"")))</f>
        <v/>
      </c>
      <c r="AL44" s="107" t="str">
        <f aca="false">IF(AE44=25,AA44*AB44*AC44*AD44*(AE44/1000)*3.853*1,IF(AE44&gt;25,"",IF(AE44&lt;25,"")))</f>
        <v/>
      </c>
      <c r="AM44" s="115" t="str">
        <f aca="false">IF(AE44=32,AA44*AB44*AC44*AD44*(AE44/1000)*6.313*1,IF(AE44&gt;32,"",IF(AE44&lt;32,"")))</f>
        <v/>
      </c>
      <c r="AN44" s="128"/>
      <c r="AO44" s="117" t="s">
        <v>160</v>
      </c>
      <c r="AP44" s="118" t="n">
        <f aca="false">SUM(R44:Y44)+SUM(AN44)</f>
        <v>27.7056</v>
      </c>
      <c r="AQ44" s="118" t="n">
        <f aca="false">SUM(AF44:AM44)</f>
        <v>0</v>
      </c>
      <c r="AR44" s="118"/>
      <c r="AS44" s="119" t="s">
        <v>211</v>
      </c>
      <c r="AT44" s="119" t="s">
        <v>162</v>
      </c>
    </row>
    <row r="45" customFormat="false" ht="13.5" hidden="false" customHeight="false" outlineLevel="0" collapsed="false">
      <c r="A45" s="129"/>
      <c r="B45" s="172"/>
      <c r="C45" s="110"/>
      <c r="D45" s="122"/>
      <c r="E45" s="122"/>
      <c r="F45" s="173"/>
      <c r="G45" s="123"/>
      <c r="H45" s="101"/>
      <c r="I45" s="123"/>
      <c r="J45" s="101"/>
      <c r="K45" s="124" t="s">
        <v>223</v>
      </c>
      <c r="L45" s="125" t="n">
        <f aca="false">$D$41-2*0.05</f>
        <v>1.4</v>
      </c>
      <c r="M45" s="125" t="n">
        <v>0.1</v>
      </c>
      <c r="N45" s="126" t="n">
        <f aca="false">$C$41</f>
        <v>1</v>
      </c>
      <c r="O45" s="126" t="n">
        <f aca="false">CEILING(L45/M45,1)+1</f>
        <v>15</v>
      </c>
      <c r="P45" s="126" t="n">
        <v>12</v>
      </c>
      <c r="Q45" s="127" t="n">
        <f aca="false">$E$41-2*0.05+2*($F$41-2*0.05)</f>
        <v>2.2</v>
      </c>
      <c r="R45" s="105" t="str">
        <f aca="false">IF(P45=6,N45*O45*Q45*0.222*1,IF(P45&gt;6,"",IF(P45&lt;6,"")))</f>
        <v/>
      </c>
      <c r="S45" s="106" t="str">
        <f aca="false">IF(P45=8,N45*O45*Q45*0.395*1,IF(P45&gt;8,"",IF(P45&lt;8,"")))</f>
        <v/>
      </c>
      <c r="T45" s="106" t="str">
        <f aca="false">IF(P45=10,N45*O45*Q45*0.617*1,IF(P45&gt;10,"",IF(P45&lt;10,"")))</f>
        <v/>
      </c>
      <c r="U45" s="106" t="n">
        <f aca="false">IF(P45=12,N45*O45*Q45*0.888*1,IF(P45&gt;12,"",IF(P45&lt;12,"")))</f>
        <v>29.304</v>
      </c>
      <c r="V45" s="107" t="str">
        <f aca="false">IF(P45=16,N45*O45*Q45*1.578*1,IF(P45&gt;16,"",IF(P45&lt;16,"")))</f>
        <v/>
      </c>
      <c r="W45" s="106" t="str">
        <f aca="false">IF(P45=20,N45*O45*Q45*2.466*1,IF(P45&gt;20,"",IF(P45&lt;20,"")))</f>
        <v/>
      </c>
      <c r="X45" s="106" t="str">
        <f aca="false">IF(P45=25,N45*O45*Q45*3.853*1,IF(P45&gt;25,"",IF(P45&lt;25,"")))</f>
        <v/>
      </c>
      <c r="Y45" s="108" t="str">
        <f aca="false">IF(P45=32,N45*O45*Q45*6.313*1,IF(P45&gt;32,"",IF(P45&lt;32,"")))</f>
        <v/>
      </c>
      <c r="Z45" s="109"/>
      <c r="AA45" s="110" t="str">
        <f aca="false">IF(AC45&gt;0,N45,"")</f>
        <v/>
      </c>
      <c r="AB45" s="111" t="str">
        <f aca="false">IF(AC45&gt;0,O45,"")</f>
        <v/>
      </c>
      <c r="AC45" s="112"/>
      <c r="AD45" s="112"/>
      <c r="AE45" s="113" t="str">
        <f aca="false">IF(AC45&gt;0,P45,"")</f>
        <v/>
      </c>
      <c r="AF45" s="114" t="str">
        <f aca="false">IF(AE45=6,AA45*AB45*AC45*AD45*(AE45/1000)*0.222*1,IF(AE45&gt;6,"",IF(AE45&lt;6,"")))</f>
        <v/>
      </c>
      <c r="AG45" s="107" t="str">
        <f aca="false">IF(AE45=8,AA45*AB45*AC45*AD45*(AE45/1000)*0.395*1,IF(AE45&gt;8,"",IF(AE45&lt;8,"")))</f>
        <v/>
      </c>
      <c r="AH45" s="107" t="str">
        <f aca="false">IF(AE45=10,AA45*AB45*AC45*AD45*(AE45/1000)*0.617*1,IF(AE45&gt;10,"",IF(AE45&lt;10,"")))</f>
        <v/>
      </c>
      <c r="AI45" s="107" t="str">
        <f aca="false">IF(AE45=12,AA45*AB45*AC45*AD45*(AE45/1000)*0.888*1,IF(AE45&gt;12,"",IF(AE45&lt;12,"")))</f>
        <v/>
      </c>
      <c r="AJ45" s="107" t="str">
        <f aca="false">IF(AE45=16,AA45*AB45*AC45*AD45*(AE45/1000)*1.578*1,IF(AE45&gt;16,"",IF(AE45&lt;16,"")))</f>
        <v/>
      </c>
      <c r="AK45" s="107" t="str">
        <f aca="false">IF(AE45=20,AA45*AB45*AC45*AD45*(AE45/1000)*2.466*1,IF(AE45&gt;20,"",IF(AE45&lt;20,"")))</f>
        <v/>
      </c>
      <c r="AL45" s="107" t="str">
        <f aca="false">IF(AE45=25,AA45*AB45*AC45*AD45*(AE45/1000)*3.853*1,IF(AE45&gt;25,"",IF(AE45&lt;25,"")))</f>
        <v/>
      </c>
      <c r="AM45" s="115" t="str">
        <f aca="false">IF(AE45=32,AA45*AB45*AC45*AD45*(AE45/1000)*6.313*1,IF(AE45&gt;32,"",IF(AE45&lt;32,"")))</f>
        <v/>
      </c>
      <c r="AN45" s="128"/>
      <c r="AO45" s="117" t="s">
        <v>160</v>
      </c>
      <c r="AP45" s="118" t="n">
        <f aca="false">SUM(R45:Y45)+SUM(AN45)</f>
        <v>29.304</v>
      </c>
      <c r="AQ45" s="118" t="n">
        <f aca="false">SUM(AF45:AM45)</f>
        <v>0</v>
      </c>
      <c r="AR45" s="118"/>
      <c r="AS45" s="119" t="s">
        <v>211</v>
      </c>
      <c r="AT45" s="119" t="s">
        <v>162</v>
      </c>
    </row>
    <row r="46" customFormat="false" ht="13.5" hidden="false" customHeight="false" outlineLevel="0" collapsed="false">
      <c r="A46" s="129"/>
      <c r="B46" s="172"/>
      <c r="C46" s="110"/>
      <c r="D46" s="122"/>
      <c r="E46" s="122"/>
      <c r="F46" s="173"/>
      <c r="G46" s="123"/>
      <c r="H46" s="101"/>
      <c r="I46" s="123"/>
      <c r="J46" s="101"/>
      <c r="K46" s="124" t="s">
        <v>224</v>
      </c>
      <c r="L46" s="125"/>
      <c r="M46" s="125"/>
      <c r="N46" s="126" t="n">
        <f aca="false">$C$41</f>
        <v>1</v>
      </c>
      <c r="O46" s="126" t="n">
        <v>4</v>
      </c>
      <c r="P46" s="126" t="n">
        <v>12</v>
      </c>
      <c r="Q46" s="127" t="n">
        <f aca="false">2*($D$41+$E$41)-8*0.05</f>
        <v>5.2</v>
      </c>
      <c r="R46" s="105" t="str">
        <f aca="false">IF(P46=6,N46*O46*Q46*0.222*1,IF(P46&gt;6,"",IF(P46&lt;6,"")))</f>
        <v/>
      </c>
      <c r="S46" s="106" t="str">
        <f aca="false">IF(P46=8,N46*O46*Q46*0.395*1,IF(P46&gt;8,"",IF(P46&lt;8,"")))</f>
        <v/>
      </c>
      <c r="T46" s="106" t="str">
        <f aca="false">IF(P46=10,N46*O46*Q46*0.617*1,IF(P46&gt;10,"",IF(P46&lt;10,"")))</f>
        <v/>
      </c>
      <c r="U46" s="106" t="n">
        <f aca="false">IF(P46=12,N46*O46*Q46*0.888*1,IF(P46&gt;12,"",IF(P46&lt;12,"")))</f>
        <v>18.4704</v>
      </c>
      <c r="V46" s="107" t="str">
        <f aca="false">IF(P46=16,N46*O46*Q46*1.578*1,IF(P46&gt;16,"",IF(P46&lt;16,"")))</f>
        <v/>
      </c>
      <c r="W46" s="106" t="str">
        <f aca="false">IF(P46=20,N46*O46*Q46*2.466*1,IF(P46&gt;20,"",IF(P46&lt;20,"")))</f>
        <v/>
      </c>
      <c r="X46" s="106" t="str">
        <f aca="false">IF(P46=25,N46*O46*Q46*3.853*1,IF(P46&gt;25,"",IF(P46&lt;25,"")))</f>
        <v/>
      </c>
      <c r="Y46" s="108" t="str">
        <f aca="false">IF(P46=32,N46*O46*Q46*6.313*1,IF(P46&gt;32,"",IF(P46&lt;32,"")))</f>
        <v/>
      </c>
      <c r="Z46" s="109"/>
      <c r="AA46" s="110" t="n">
        <f aca="false">IF(AC46&gt;0,N46,"")</f>
        <v>1</v>
      </c>
      <c r="AB46" s="111" t="n">
        <f aca="false">IF(AC46&gt;0,O46,"")</f>
        <v>4</v>
      </c>
      <c r="AC46" s="112" t="n">
        <v>1</v>
      </c>
      <c r="AD46" s="112" t="n">
        <v>50</v>
      </c>
      <c r="AE46" s="113" t="n">
        <f aca="false">IF(AC46&gt;0,P46,"")</f>
        <v>12</v>
      </c>
      <c r="AF46" s="114" t="str">
        <f aca="false">IF(AE46=6,AA46*AB46*AC46*AD46*(AE46/1000)*0.222*1,IF(AE46&gt;6,"",IF(AE46&lt;6,"")))</f>
        <v/>
      </c>
      <c r="AG46" s="107" t="str">
        <f aca="false">IF(AE46=8,AA46*AB46*AC46*AD46*(AE46/1000)*0.395*1,IF(AE46&gt;8,"",IF(AE46&lt;8,"")))</f>
        <v/>
      </c>
      <c r="AH46" s="107" t="str">
        <f aca="false">IF(AE46=10,AA46*AB46*AC46*AD46*(AE46/1000)*0.617*1,IF(AE46&gt;10,"",IF(AE46&lt;10,"")))</f>
        <v/>
      </c>
      <c r="AI46" s="107" t="n">
        <f aca="false">IF(AE46=12,AA46*AB46*AC46*AD46*(AE46/1000)*0.888*1,IF(AE46&gt;12,"",IF(AE46&lt;12,"")))</f>
        <v>2.1312</v>
      </c>
      <c r="AJ46" s="107" t="str">
        <f aca="false">IF(AE46=16,AA46*AB46*AC46*AD46*(AE46/1000)*1.578*1,IF(AE46&gt;16,"",IF(AE46&lt;16,"")))</f>
        <v/>
      </c>
      <c r="AK46" s="107" t="str">
        <f aca="false">IF(AE46=20,AA46*AB46*AC46*AD46*(AE46/1000)*2.466*1,IF(AE46&gt;20,"",IF(AE46&lt;20,"")))</f>
        <v/>
      </c>
      <c r="AL46" s="107" t="str">
        <f aca="false">IF(AE46=25,AA46*AB46*AC46*AD46*(AE46/1000)*3.853*1,IF(AE46&gt;25,"",IF(AE46&lt;25,"")))</f>
        <v/>
      </c>
      <c r="AM46" s="115" t="str">
        <f aca="false">IF(AE46=32,AA46*AB46*AC46*AD46*(AE46/1000)*6.313*1,IF(AE46&gt;32,"",IF(AE46&lt;32,"")))</f>
        <v/>
      </c>
      <c r="AN46" s="128"/>
      <c r="AO46" s="117" t="s">
        <v>160</v>
      </c>
      <c r="AP46" s="118" t="n">
        <f aca="false">SUM(R46:Y46)+SUM(AN46)</f>
        <v>18.4704</v>
      </c>
      <c r="AQ46" s="118" t="n">
        <f aca="false">SUM(AF46:AM46)</f>
        <v>2.1312</v>
      </c>
      <c r="AR46" s="118"/>
      <c r="AS46" s="119" t="s">
        <v>216</v>
      </c>
      <c r="AT46" s="119" t="s">
        <v>173</v>
      </c>
    </row>
    <row r="47" customFormat="false" ht="13.5" hidden="false" customHeight="false" outlineLevel="0" collapsed="false">
      <c r="A47" s="129"/>
      <c r="B47" s="172"/>
      <c r="C47" s="110"/>
      <c r="D47" s="122"/>
      <c r="E47" s="122"/>
      <c r="F47" s="173"/>
      <c r="G47" s="123"/>
      <c r="H47" s="101"/>
      <c r="I47" s="123"/>
      <c r="J47" s="101"/>
      <c r="K47" s="124" t="s">
        <v>234</v>
      </c>
      <c r="L47" s="125"/>
      <c r="M47" s="125"/>
      <c r="N47" s="126" t="n">
        <v>1</v>
      </c>
      <c r="O47" s="126" t="n">
        <v>4</v>
      </c>
      <c r="P47" s="126" t="n">
        <v>20</v>
      </c>
      <c r="Q47" s="127" t="n">
        <f aca="false">MAX(50*20/1000,$F$41-2*0.05+0.15)+50*20/1000</f>
        <v>2</v>
      </c>
      <c r="R47" s="105" t="str">
        <f aca="false">IF(P47=6,N47*O47*Q47*0.222*1,IF(P47&gt;6,"",IF(P47&lt;6,"")))</f>
        <v/>
      </c>
      <c r="S47" s="106" t="str">
        <f aca="false">IF(P47=8,N47*O47*Q47*0.395*1,IF(P47&gt;8,"",IF(P47&lt;8,"")))</f>
        <v/>
      </c>
      <c r="T47" s="106" t="str">
        <f aca="false">IF(P47=10,N47*O47*Q47*0.617*1,IF(P47&gt;10,"",IF(P47&lt;10,"")))</f>
        <v/>
      </c>
      <c r="U47" s="106" t="str">
        <f aca="false">IF(P47=12,N47*O47*Q47*0.888*1,IF(P47&gt;12,"",IF(P47&lt;12,"")))</f>
        <v/>
      </c>
      <c r="V47" s="107" t="str">
        <f aca="false">IF(P47=16,N47*O47*Q47*1.578*1,IF(P47&gt;16,"",IF(P47&lt;16,"")))</f>
        <v/>
      </c>
      <c r="W47" s="106" t="n">
        <f aca="false">IF(P47=20,N47*O47*Q47*2.466*1,IF(P47&gt;20,"",IF(P47&lt;20,"")))</f>
        <v>19.728</v>
      </c>
      <c r="X47" s="106" t="str">
        <f aca="false">IF(P47=25,N47*O47*Q47*3.853*1,IF(P47&gt;25,"",IF(P47&lt;25,"")))</f>
        <v/>
      </c>
      <c r="Y47" s="108" t="str">
        <f aca="false">IF(P47=32,N47*O47*Q47*6.313*1,IF(P47&gt;32,"",IF(P47&lt;32,"")))</f>
        <v/>
      </c>
      <c r="Z47" s="109"/>
      <c r="AA47" s="110" t="str">
        <f aca="false">IF(AC47&gt;0,N47,"")</f>
        <v/>
      </c>
      <c r="AB47" s="111" t="str">
        <f aca="false">IF(AC47&gt;0,O47,"")</f>
        <v/>
      </c>
      <c r="AC47" s="112"/>
      <c r="AD47" s="112"/>
      <c r="AE47" s="113" t="str">
        <f aca="false">IF(AC47&gt;0,P47,"")</f>
        <v/>
      </c>
      <c r="AF47" s="114" t="str">
        <f aca="false">IF(AE47=6,AA47*AB47*AC47*AD47*(AE47/1000)*0.222*1,IF(AE47&gt;6,"",IF(AE47&lt;6,"")))</f>
        <v/>
      </c>
      <c r="AG47" s="107" t="str">
        <f aca="false">IF(AE47=8,AA47*AB47*AC47*AD47*(AE47/1000)*0.395*1,IF(AE47&gt;8,"",IF(AE47&lt;8,"")))</f>
        <v/>
      </c>
      <c r="AH47" s="107" t="str">
        <f aca="false">IF(AE47=10,AA47*AB47*AC47*AD47*(AE47/1000)*0.617*1,IF(AE47&gt;10,"",IF(AE47&lt;10,"")))</f>
        <v/>
      </c>
      <c r="AI47" s="107" t="str">
        <f aca="false">IF(AE47=12,AA47*AB47*AC47*AD47*(AE47/1000)*0.888*1,IF(AE47&gt;12,"",IF(AE47&lt;12,"")))</f>
        <v/>
      </c>
      <c r="AJ47" s="107" t="str">
        <f aca="false">IF(AE47=16,AA47*AB47*AC47*AD47*(AE47/1000)*1.578*1,IF(AE47&gt;16,"",IF(AE47&lt;16,"")))</f>
        <v/>
      </c>
      <c r="AK47" s="107" t="str">
        <f aca="false">IF(AE47=20,AA47*AB47*AC47*AD47*(AE47/1000)*2.466*1,IF(AE47&gt;20,"",IF(AE47&lt;20,"")))</f>
        <v/>
      </c>
      <c r="AL47" s="107" t="str">
        <f aca="false">IF(AE47=25,AA47*AB47*AC47*AD47*(AE47/1000)*3.853*1,IF(AE47&gt;25,"",IF(AE47&lt;25,"")))</f>
        <v/>
      </c>
      <c r="AM47" s="115" t="str">
        <f aca="false">IF(AE47=32,AA47*AB47*AC47*AD47*(AE47/1000)*6.313*1,IF(AE47&gt;32,"",IF(AE47&lt;32,"")))</f>
        <v/>
      </c>
      <c r="AN47" s="128"/>
      <c r="AO47" s="117" t="s">
        <v>160</v>
      </c>
      <c r="AP47" s="118" t="n">
        <f aca="false">SUM(R47:Y47)+SUM(AN47)</f>
        <v>19.728</v>
      </c>
      <c r="AQ47" s="118" t="n">
        <f aca="false">SUM(AF47:AM47)</f>
        <v>0</v>
      </c>
      <c r="AR47" s="118"/>
      <c r="AS47" s="119" t="s">
        <v>218</v>
      </c>
      <c r="AT47" s="119" t="s">
        <v>173</v>
      </c>
    </row>
    <row r="48" customFormat="false" ht="13.5" hidden="false" customHeight="false" outlineLevel="0" collapsed="false">
      <c r="A48" s="129"/>
      <c r="B48" s="130"/>
      <c r="C48" s="110"/>
      <c r="D48" s="122"/>
      <c r="E48" s="122"/>
      <c r="F48" s="122"/>
      <c r="G48" s="123"/>
      <c r="H48" s="101"/>
      <c r="I48" s="123"/>
      <c r="J48" s="101"/>
      <c r="K48" s="124"/>
      <c r="L48" s="125"/>
      <c r="M48" s="125"/>
      <c r="N48" s="126"/>
      <c r="O48" s="126"/>
      <c r="P48" s="126"/>
      <c r="Q48" s="127"/>
      <c r="R48" s="105"/>
      <c r="S48" s="106"/>
      <c r="T48" s="106"/>
      <c r="U48" s="106"/>
      <c r="V48" s="107"/>
      <c r="W48" s="106"/>
      <c r="X48" s="106"/>
      <c r="Y48" s="108"/>
      <c r="Z48" s="109"/>
      <c r="AA48" s="110"/>
      <c r="AB48" s="111"/>
      <c r="AC48" s="112"/>
      <c r="AD48" s="112"/>
      <c r="AE48" s="113"/>
      <c r="AF48" s="114"/>
      <c r="AG48" s="107"/>
      <c r="AH48" s="107"/>
      <c r="AI48" s="107"/>
      <c r="AJ48" s="107"/>
      <c r="AK48" s="107"/>
      <c r="AL48" s="107"/>
      <c r="AM48" s="115"/>
      <c r="AO48" s="117"/>
      <c r="AP48" s="118"/>
      <c r="AQ48" s="118"/>
      <c r="AR48" s="118"/>
      <c r="AS48" s="119"/>
      <c r="AT48" s="119"/>
    </row>
    <row r="49" customFormat="false" ht="13.5" hidden="false" customHeight="false" outlineLevel="0" collapsed="false">
      <c r="A49" s="120"/>
      <c r="B49" s="121" t="s">
        <v>167</v>
      </c>
      <c r="C49" s="110" t="n">
        <v>1</v>
      </c>
      <c r="D49" s="122" t="n">
        <v>2.5</v>
      </c>
      <c r="E49" s="122" t="n">
        <v>1.3</v>
      </c>
      <c r="F49" s="122" t="n">
        <v>0.6</v>
      </c>
      <c r="G49" s="123" t="n">
        <f aca="false">C49*D49*E49*F49</f>
        <v>1.95</v>
      </c>
      <c r="H49" s="101"/>
      <c r="I49" s="123" t="n">
        <f aca="false">2*(D49+E49)*F49*C49</f>
        <v>4.56</v>
      </c>
      <c r="J49" s="101"/>
      <c r="K49" s="124"/>
      <c r="L49" s="125"/>
      <c r="M49" s="125"/>
      <c r="N49" s="126"/>
      <c r="O49" s="126"/>
      <c r="P49" s="126"/>
      <c r="Q49" s="127"/>
      <c r="R49" s="105" t="str">
        <f aca="false">IF(P49=6,N49*O49*Q49*0.222*1,IF(P49&gt;6,"",IF(P49&lt;6,"")))</f>
        <v/>
      </c>
      <c r="S49" s="106" t="str">
        <f aca="false">IF(P49=8,N49*O49*Q49*0.395*1,IF(P49&gt;8,"",IF(P49&lt;8,"")))</f>
        <v/>
      </c>
      <c r="T49" s="106" t="str">
        <f aca="false">IF(P49=10,N49*O49*Q49*0.617*1,IF(P49&gt;10,"",IF(P49&lt;10,"")))</f>
        <v/>
      </c>
      <c r="U49" s="106" t="str">
        <f aca="false">IF(P49=12,N49*O49*Q49*0.888*1,IF(P49&gt;12,"",IF(P49&lt;12,"")))</f>
        <v/>
      </c>
      <c r="V49" s="107" t="str">
        <f aca="false">IF(P49=16,N49*O49*Q49*1.578*1,IF(P49&gt;16,"",IF(P49&lt;16,"")))</f>
        <v/>
      </c>
      <c r="W49" s="106" t="str">
        <f aca="false">IF(P49=20,N49*O49*Q49*2.466*1,IF(P49&gt;20,"",IF(P49&lt;20,"")))</f>
        <v/>
      </c>
      <c r="X49" s="106" t="str">
        <f aca="false">IF(P49=25,N49*O49*Q49*3.853*1,IF(P49&gt;25,"",IF(P49&lt;25,"")))</f>
        <v/>
      </c>
      <c r="Y49" s="108" t="str">
        <f aca="false">IF(P49=32,N49*O49*Q49*6.313*1,IF(P49&gt;32,"",IF(P49&lt;32,"")))</f>
        <v/>
      </c>
      <c r="Z49" s="109"/>
      <c r="AA49" s="110" t="str">
        <f aca="false">IF(AC49&gt;0,N49,"")</f>
        <v/>
      </c>
      <c r="AB49" s="111" t="str">
        <f aca="false">IF(AC49&gt;0,O49,"")</f>
        <v/>
      </c>
      <c r="AC49" s="112"/>
      <c r="AD49" s="112"/>
      <c r="AE49" s="113" t="str">
        <f aca="false">IF(AC49&gt;0,P49,"")</f>
        <v/>
      </c>
      <c r="AF49" s="114" t="str">
        <f aca="false">IF(AE49=6,AA49*AB49*AC49*AD49*(AE49/1000)*0.222*1,IF(AE49&gt;6,"",IF(AE49&lt;6,"")))</f>
        <v/>
      </c>
      <c r="AG49" s="107" t="str">
        <f aca="false">IF(AE49=8,AA49*AB49*AC49*AD49*(AE49/1000)*0.395*1,IF(AE49&gt;8,"",IF(AE49&lt;8,"")))</f>
        <v/>
      </c>
      <c r="AH49" s="107" t="str">
        <f aca="false">IF(AE49=10,AA49*AB49*AC49*AD49*(AE49/1000)*0.617*1,IF(AE49&gt;10,"",IF(AE49&lt;10,"")))</f>
        <v/>
      </c>
      <c r="AI49" s="107" t="str">
        <f aca="false">IF(AE49=12,AA49*AB49*AC49*AD49*(AE49/1000)*0.888*1,IF(AE49&gt;12,"",IF(AE49&lt;12,"")))</f>
        <v/>
      </c>
      <c r="AJ49" s="107" t="str">
        <f aca="false">IF(AE49=16,AA49*AB49*AC49*AD49*(AE49/1000)*1.578*1,IF(AE49&gt;16,"",IF(AE49&lt;16,"")))</f>
        <v/>
      </c>
      <c r="AK49" s="107" t="str">
        <f aca="false">IF(AE49=20,AA49*AB49*AC49*AD49*(AE49/1000)*2.466*1,IF(AE49&gt;20,"",IF(AE49&lt;20,"")))</f>
        <v/>
      </c>
      <c r="AL49" s="107" t="str">
        <f aca="false">IF(AE49=25,AA49*AB49*AC49*AD49*(AE49/1000)*3.853*1,IF(AE49&gt;25,"",IF(AE49&lt;25,"")))</f>
        <v/>
      </c>
      <c r="AM49" s="115" t="str">
        <f aca="false">IF(AE49=32,AA49*AB49*AC49*AD49*(AE49/1000)*6.313*1,IF(AE49&gt;32,"",IF(AE49&lt;32,"")))</f>
        <v/>
      </c>
      <c r="AN49" s="128"/>
      <c r="AO49" s="117" t="s">
        <v>160</v>
      </c>
      <c r="AP49" s="118" t="n">
        <f aca="false">SUM(R49:Y49)+SUM(AN49)</f>
        <v>0</v>
      </c>
      <c r="AQ49" s="118" t="n">
        <f aca="false">SUM(AF49:AM49)</f>
        <v>0</v>
      </c>
      <c r="AR49" s="118" t="n">
        <v>1.95</v>
      </c>
      <c r="AS49" s="119" t="s">
        <v>235</v>
      </c>
      <c r="AT49" s="119" t="s">
        <v>209</v>
      </c>
    </row>
    <row r="50" customFormat="false" ht="13.5" hidden="false" customHeight="false" outlineLevel="0" collapsed="false">
      <c r="A50" s="129"/>
      <c r="B50" s="172"/>
      <c r="C50" s="110"/>
      <c r="D50" s="122"/>
      <c r="E50" s="122"/>
      <c r="F50" s="173"/>
      <c r="G50" s="123"/>
      <c r="H50" s="101"/>
      <c r="I50" s="123"/>
      <c r="J50" s="101"/>
      <c r="K50" s="124" t="s">
        <v>220</v>
      </c>
      <c r="L50" s="125" t="n">
        <f aca="false">$E$49-2*0.05</f>
        <v>1.2</v>
      </c>
      <c r="M50" s="125" t="n">
        <v>0.1</v>
      </c>
      <c r="N50" s="126" t="n">
        <f aca="false">$C$49</f>
        <v>1</v>
      </c>
      <c r="O50" s="126" t="n">
        <f aca="false">CEILING(L50/M50,1)+1</f>
        <v>13</v>
      </c>
      <c r="P50" s="126" t="n">
        <v>12</v>
      </c>
      <c r="Q50" s="127" t="n">
        <f aca="false">$D$49-2*0.05+2*($F$49-2*0.05)</f>
        <v>3.4</v>
      </c>
      <c r="R50" s="105" t="str">
        <f aca="false">IF(P50=6,N50*O50*Q50*0.222*1,IF(P50&gt;6,"",IF(P50&lt;6,"")))</f>
        <v/>
      </c>
      <c r="S50" s="106" t="str">
        <f aca="false">IF(P50=8,N50*O50*Q50*0.395*1,IF(P50&gt;8,"",IF(P50&lt;8,"")))</f>
        <v/>
      </c>
      <c r="T50" s="106" t="str">
        <f aca="false">IF(P50=10,N50*O50*Q50*0.617*1,IF(P50&gt;10,"",IF(P50&lt;10,"")))</f>
        <v/>
      </c>
      <c r="U50" s="106" t="n">
        <f aca="false">IF(P50=12,N50*O50*Q50*0.888*1,IF(P50&gt;12,"",IF(P50&lt;12,"")))</f>
        <v>39.2496</v>
      </c>
      <c r="V50" s="107" t="str">
        <f aca="false">IF(P50=16,N50*O50*Q50*1.578*1,IF(P50&gt;16,"",IF(P50&lt;16,"")))</f>
        <v/>
      </c>
      <c r="W50" s="106" t="str">
        <f aca="false">IF(P50=20,N50*O50*Q50*2.466*1,IF(P50&gt;20,"",IF(P50&lt;20,"")))</f>
        <v/>
      </c>
      <c r="X50" s="106" t="str">
        <f aca="false">IF(P50=25,N50*O50*Q50*3.853*1,IF(P50&gt;25,"",IF(P50&lt;25,"")))</f>
        <v/>
      </c>
      <c r="Y50" s="108" t="str">
        <f aca="false">IF(P50=32,N50*O50*Q50*6.313*1,IF(P50&gt;32,"",IF(P50&lt;32,"")))</f>
        <v/>
      </c>
      <c r="Z50" s="109"/>
      <c r="AA50" s="110" t="str">
        <f aca="false">IF(AC50&gt;0,N50,"")</f>
        <v/>
      </c>
      <c r="AB50" s="111" t="str">
        <f aca="false">IF(AC50&gt;0,O50,"")</f>
        <v/>
      </c>
      <c r="AC50" s="112"/>
      <c r="AD50" s="112"/>
      <c r="AE50" s="113" t="str">
        <f aca="false">IF(AC50&gt;0,P50,"")</f>
        <v/>
      </c>
      <c r="AF50" s="114" t="str">
        <f aca="false">IF(AE50=6,AA50*AB50*AC50*AD50*(AE50/1000)*0.222*1,IF(AE50&gt;6,"",IF(AE50&lt;6,"")))</f>
        <v/>
      </c>
      <c r="AG50" s="107" t="str">
        <f aca="false">IF(AE50=8,AA50*AB50*AC50*AD50*(AE50/1000)*0.395*1,IF(AE50&gt;8,"",IF(AE50&lt;8,"")))</f>
        <v/>
      </c>
      <c r="AH50" s="107" t="str">
        <f aca="false">IF(AE50=10,AA50*AB50*AC50*AD50*(AE50/1000)*0.617*1,IF(AE50&gt;10,"",IF(AE50&lt;10,"")))</f>
        <v/>
      </c>
      <c r="AI50" s="107" t="str">
        <f aca="false">IF(AE50=12,AA50*AB50*AC50*AD50*(AE50/1000)*0.888*1,IF(AE50&gt;12,"",IF(AE50&lt;12,"")))</f>
        <v/>
      </c>
      <c r="AJ50" s="107" t="str">
        <f aca="false">IF(AE50=16,AA50*AB50*AC50*AD50*(AE50/1000)*1.578*1,IF(AE50&gt;16,"",IF(AE50&lt;16,"")))</f>
        <v/>
      </c>
      <c r="AK50" s="107" t="str">
        <f aca="false">IF(AE50=20,AA50*AB50*AC50*AD50*(AE50/1000)*2.466*1,IF(AE50&gt;20,"",IF(AE50&lt;20,"")))</f>
        <v/>
      </c>
      <c r="AL50" s="107" t="str">
        <f aca="false">IF(AE50=25,AA50*AB50*AC50*AD50*(AE50/1000)*3.853*1,IF(AE50&gt;25,"",IF(AE50&lt;25,"")))</f>
        <v/>
      </c>
      <c r="AM50" s="115" t="str">
        <f aca="false">IF(AE50=32,AA50*AB50*AC50*AD50*(AE50/1000)*6.313*1,IF(AE50&gt;32,"",IF(AE50&lt;32,"")))</f>
        <v/>
      </c>
      <c r="AN50" s="128"/>
      <c r="AO50" s="117" t="s">
        <v>160</v>
      </c>
      <c r="AP50" s="118" t="n">
        <f aca="false">SUM(R50:Y50)+SUM(AN50)</f>
        <v>39.2496</v>
      </c>
      <c r="AQ50" s="118" t="n">
        <f aca="false">SUM(AF50:AM50)</f>
        <v>0</v>
      </c>
      <c r="AR50" s="118"/>
      <c r="AS50" s="119" t="s">
        <v>211</v>
      </c>
      <c r="AT50" s="119" t="s">
        <v>162</v>
      </c>
    </row>
    <row r="51" customFormat="false" ht="13.5" hidden="false" customHeight="false" outlineLevel="0" collapsed="false">
      <c r="A51" s="129"/>
      <c r="B51" s="172"/>
      <c r="C51" s="110"/>
      <c r="D51" s="122"/>
      <c r="E51" s="122"/>
      <c r="F51" s="173"/>
      <c r="G51" s="123"/>
      <c r="H51" s="101"/>
      <c r="I51" s="123"/>
      <c r="J51" s="101"/>
      <c r="K51" s="124" t="s">
        <v>221</v>
      </c>
      <c r="L51" s="125" t="n">
        <f aca="false">$D$49-2*0.05</f>
        <v>2.4</v>
      </c>
      <c r="M51" s="125" t="n">
        <v>0.1</v>
      </c>
      <c r="N51" s="126" t="n">
        <f aca="false">$C$49</f>
        <v>1</v>
      </c>
      <c r="O51" s="126" t="n">
        <f aca="false">CEILING(L51/M51,1)+1</f>
        <v>25</v>
      </c>
      <c r="P51" s="126" t="n">
        <v>12</v>
      </c>
      <c r="Q51" s="127" t="n">
        <f aca="false">$E$49-2*0.05+2*($F$49-2*0.05)</f>
        <v>2.2</v>
      </c>
      <c r="R51" s="105" t="str">
        <f aca="false">IF(P51=6,N51*O51*Q51*0.222*1,IF(P51&gt;6,"",IF(P51&lt;6,"")))</f>
        <v/>
      </c>
      <c r="S51" s="106" t="str">
        <f aca="false">IF(P51=8,N51*O51*Q51*0.395*1,IF(P51&gt;8,"",IF(P51&lt;8,"")))</f>
        <v/>
      </c>
      <c r="T51" s="106" t="str">
        <f aca="false">IF(P51=10,N51*O51*Q51*0.617*1,IF(P51&gt;10,"",IF(P51&lt;10,"")))</f>
        <v/>
      </c>
      <c r="U51" s="106" t="n">
        <f aca="false">IF(P51=12,N51*O51*Q51*0.888*1,IF(P51&gt;12,"",IF(P51&lt;12,"")))</f>
        <v>48.84</v>
      </c>
      <c r="V51" s="107" t="str">
        <f aca="false">IF(P51=16,N51*O51*Q51*1.578*1,IF(P51&gt;16,"",IF(P51&lt;16,"")))</f>
        <v/>
      </c>
      <c r="W51" s="106" t="str">
        <f aca="false">IF(P51=20,N51*O51*Q51*2.466*1,IF(P51&gt;20,"",IF(P51&lt;20,"")))</f>
        <v/>
      </c>
      <c r="X51" s="106" t="str">
        <f aca="false">IF(P51=25,N51*O51*Q51*3.853*1,IF(P51&gt;25,"",IF(P51&lt;25,"")))</f>
        <v/>
      </c>
      <c r="Y51" s="108" t="str">
        <f aca="false">IF(P51=32,N51*O51*Q51*6.313*1,IF(P51&gt;32,"",IF(P51&lt;32,"")))</f>
        <v/>
      </c>
      <c r="Z51" s="109"/>
      <c r="AA51" s="110" t="str">
        <f aca="false">IF(AC51&gt;0,N51,"")</f>
        <v/>
      </c>
      <c r="AB51" s="111" t="str">
        <f aca="false">IF(AC51&gt;0,O51,"")</f>
        <v/>
      </c>
      <c r="AC51" s="112"/>
      <c r="AD51" s="112"/>
      <c r="AE51" s="113" t="str">
        <f aca="false">IF(AC51&gt;0,P51,"")</f>
        <v/>
      </c>
      <c r="AF51" s="114" t="str">
        <f aca="false">IF(AE51=6,AA51*AB51*AC51*AD51*(AE51/1000)*0.222*1,IF(AE51&gt;6,"",IF(AE51&lt;6,"")))</f>
        <v/>
      </c>
      <c r="AG51" s="107" t="str">
        <f aca="false">IF(AE51=8,AA51*AB51*AC51*AD51*(AE51/1000)*0.395*1,IF(AE51&gt;8,"",IF(AE51&lt;8,"")))</f>
        <v/>
      </c>
      <c r="AH51" s="107" t="str">
        <f aca="false">IF(AE51=10,AA51*AB51*AC51*AD51*(AE51/1000)*0.617*1,IF(AE51&gt;10,"",IF(AE51&lt;10,"")))</f>
        <v/>
      </c>
      <c r="AI51" s="107" t="str">
        <f aca="false">IF(AE51=12,AA51*AB51*AC51*AD51*(AE51/1000)*0.888*1,IF(AE51&gt;12,"",IF(AE51&lt;12,"")))</f>
        <v/>
      </c>
      <c r="AJ51" s="107" t="str">
        <f aca="false">IF(AE51=16,AA51*AB51*AC51*AD51*(AE51/1000)*1.578*1,IF(AE51&gt;16,"",IF(AE51&lt;16,"")))</f>
        <v/>
      </c>
      <c r="AK51" s="107" t="str">
        <f aca="false">IF(AE51=20,AA51*AB51*AC51*AD51*(AE51/1000)*2.466*1,IF(AE51&gt;20,"",IF(AE51&lt;20,"")))</f>
        <v/>
      </c>
      <c r="AL51" s="107" t="str">
        <f aca="false">IF(AE51=25,AA51*AB51*AC51*AD51*(AE51/1000)*3.853*1,IF(AE51&gt;25,"",IF(AE51&lt;25,"")))</f>
        <v/>
      </c>
      <c r="AM51" s="115" t="str">
        <f aca="false">IF(AE51=32,AA51*AB51*AC51*AD51*(AE51/1000)*6.313*1,IF(AE51&gt;32,"",IF(AE51&lt;32,"")))</f>
        <v/>
      </c>
      <c r="AN51" s="128"/>
      <c r="AO51" s="117" t="s">
        <v>160</v>
      </c>
      <c r="AP51" s="118" t="n">
        <f aca="false">SUM(R51:Y51)+SUM(AN51)</f>
        <v>48.84</v>
      </c>
      <c r="AQ51" s="118" t="n">
        <f aca="false">SUM(AF51:AM51)</f>
        <v>0</v>
      </c>
      <c r="AR51" s="118"/>
      <c r="AS51" s="119" t="s">
        <v>211</v>
      </c>
      <c r="AT51" s="119" t="s">
        <v>162</v>
      </c>
    </row>
    <row r="52" customFormat="false" ht="13.5" hidden="false" customHeight="false" outlineLevel="0" collapsed="false">
      <c r="A52" s="129"/>
      <c r="B52" s="172"/>
      <c r="C52" s="110"/>
      <c r="D52" s="122"/>
      <c r="E52" s="122"/>
      <c r="F52" s="173"/>
      <c r="G52" s="123"/>
      <c r="H52" s="101"/>
      <c r="I52" s="123"/>
      <c r="J52" s="101"/>
      <c r="K52" s="124" t="s">
        <v>222</v>
      </c>
      <c r="L52" s="125" t="n">
        <f aca="false">$E$49-2*0.05</f>
        <v>1.2</v>
      </c>
      <c r="M52" s="125" t="n">
        <v>0.1</v>
      </c>
      <c r="N52" s="126" t="n">
        <f aca="false">$C$49</f>
        <v>1</v>
      </c>
      <c r="O52" s="126" t="n">
        <f aca="false">CEILING(L52/M52,1)+1</f>
        <v>13</v>
      </c>
      <c r="P52" s="126" t="n">
        <v>12</v>
      </c>
      <c r="Q52" s="127" t="n">
        <f aca="false">$D$49-2*0.05+2*($F$49-2*0.05)</f>
        <v>3.4</v>
      </c>
      <c r="R52" s="105" t="str">
        <f aca="false">IF(P52=6,N52*O52*Q52*0.222*1,IF(P52&gt;6,"",IF(P52&lt;6,"")))</f>
        <v/>
      </c>
      <c r="S52" s="106" t="str">
        <f aca="false">IF(P52=8,N52*O52*Q52*0.395*1,IF(P52&gt;8,"",IF(P52&lt;8,"")))</f>
        <v/>
      </c>
      <c r="T52" s="106" t="str">
        <f aca="false">IF(P52=10,N52*O52*Q52*0.617*1,IF(P52&gt;10,"",IF(P52&lt;10,"")))</f>
        <v/>
      </c>
      <c r="U52" s="106" t="n">
        <f aca="false">IF(P52=12,N52*O52*Q52*0.888*1,IF(P52&gt;12,"",IF(P52&lt;12,"")))</f>
        <v>39.2496</v>
      </c>
      <c r="V52" s="107" t="str">
        <f aca="false">IF(P52=16,N52*O52*Q52*1.578*1,IF(P52&gt;16,"",IF(P52&lt;16,"")))</f>
        <v/>
      </c>
      <c r="W52" s="106" t="str">
        <f aca="false">IF(P52=20,N52*O52*Q52*2.466*1,IF(P52&gt;20,"",IF(P52&lt;20,"")))</f>
        <v/>
      </c>
      <c r="X52" s="106" t="str">
        <f aca="false">IF(P52=25,N52*O52*Q52*3.853*1,IF(P52&gt;25,"",IF(P52&lt;25,"")))</f>
        <v/>
      </c>
      <c r="Y52" s="108" t="str">
        <f aca="false">IF(P52=32,N52*O52*Q52*6.313*1,IF(P52&gt;32,"",IF(P52&lt;32,"")))</f>
        <v/>
      </c>
      <c r="Z52" s="109"/>
      <c r="AA52" s="110" t="str">
        <f aca="false">IF(AC52&gt;0,N52,"")</f>
        <v/>
      </c>
      <c r="AB52" s="111" t="str">
        <f aca="false">IF(AC52&gt;0,O52,"")</f>
        <v/>
      </c>
      <c r="AC52" s="112"/>
      <c r="AD52" s="112"/>
      <c r="AE52" s="113" t="str">
        <f aca="false">IF(AC52&gt;0,P52,"")</f>
        <v/>
      </c>
      <c r="AF52" s="114" t="str">
        <f aca="false">IF(AE52=6,AA52*AB52*AC52*AD52*(AE52/1000)*0.222*1,IF(AE52&gt;6,"",IF(AE52&lt;6,"")))</f>
        <v/>
      </c>
      <c r="AG52" s="107" t="str">
        <f aca="false">IF(AE52=8,AA52*AB52*AC52*AD52*(AE52/1000)*0.395*1,IF(AE52&gt;8,"",IF(AE52&lt;8,"")))</f>
        <v/>
      </c>
      <c r="AH52" s="107" t="str">
        <f aca="false">IF(AE52=10,AA52*AB52*AC52*AD52*(AE52/1000)*0.617*1,IF(AE52&gt;10,"",IF(AE52&lt;10,"")))</f>
        <v/>
      </c>
      <c r="AI52" s="107" t="str">
        <f aca="false">IF(AE52=12,AA52*AB52*AC52*AD52*(AE52/1000)*0.888*1,IF(AE52&gt;12,"",IF(AE52&lt;12,"")))</f>
        <v/>
      </c>
      <c r="AJ52" s="107" t="str">
        <f aca="false">IF(AE52=16,AA52*AB52*AC52*AD52*(AE52/1000)*1.578*1,IF(AE52&gt;16,"",IF(AE52&lt;16,"")))</f>
        <v/>
      </c>
      <c r="AK52" s="107" t="str">
        <f aca="false">IF(AE52=20,AA52*AB52*AC52*AD52*(AE52/1000)*2.466*1,IF(AE52&gt;20,"",IF(AE52&lt;20,"")))</f>
        <v/>
      </c>
      <c r="AL52" s="107" t="str">
        <f aca="false">IF(AE52=25,AA52*AB52*AC52*AD52*(AE52/1000)*3.853*1,IF(AE52&gt;25,"",IF(AE52&lt;25,"")))</f>
        <v/>
      </c>
      <c r="AM52" s="115" t="str">
        <f aca="false">IF(AE52=32,AA52*AB52*AC52*AD52*(AE52/1000)*6.313*1,IF(AE52&gt;32,"",IF(AE52&lt;32,"")))</f>
        <v/>
      </c>
      <c r="AN52" s="128"/>
      <c r="AO52" s="117" t="s">
        <v>160</v>
      </c>
      <c r="AP52" s="118" t="n">
        <f aca="false">SUM(R52:Y52)+SUM(AN52)</f>
        <v>39.2496</v>
      </c>
      <c r="AQ52" s="118" t="n">
        <f aca="false">SUM(AF52:AM52)</f>
        <v>0</v>
      </c>
      <c r="AR52" s="118"/>
      <c r="AS52" s="119" t="s">
        <v>211</v>
      </c>
      <c r="AT52" s="119" t="s">
        <v>162</v>
      </c>
    </row>
    <row r="53" s="116" customFormat="true" ht="13.5" hidden="false" customHeight="false" outlineLevel="0" collapsed="false">
      <c r="A53" s="129"/>
      <c r="B53" s="172"/>
      <c r="C53" s="110"/>
      <c r="D53" s="122"/>
      <c r="E53" s="122"/>
      <c r="F53" s="173"/>
      <c r="G53" s="123"/>
      <c r="H53" s="101"/>
      <c r="I53" s="123"/>
      <c r="J53" s="101"/>
      <c r="K53" s="124" t="s">
        <v>223</v>
      </c>
      <c r="L53" s="125" t="n">
        <f aca="false">$D$49-2*0.05</f>
        <v>2.4</v>
      </c>
      <c r="M53" s="125" t="n">
        <v>0.1</v>
      </c>
      <c r="N53" s="126" t="n">
        <f aca="false">$C$49</f>
        <v>1</v>
      </c>
      <c r="O53" s="126" t="n">
        <f aca="false">CEILING(L53/M53,1)+1</f>
        <v>25</v>
      </c>
      <c r="P53" s="126" t="n">
        <v>12</v>
      </c>
      <c r="Q53" s="127" t="n">
        <f aca="false">$E$49-2*0.05+2*($F$49-2*0.05)</f>
        <v>2.2</v>
      </c>
      <c r="R53" s="105" t="str">
        <f aca="false">IF(P53=6,N53*O53*Q53*0.222*1,IF(P53&gt;6,"",IF(P53&lt;6,"")))</f>
        <v/>
      </c>
      <c r="S53" s="106" t="str">
        <f aca="false">IF(P53=8,N53*O53*Q53*0.395*1,IF(P53&gt;8,"",IF(P53&lt;8,"")))</f>
        <v/>
      </c>
      <c r="T53" s="106" t="str">
        <f aca="false">IF(P53=10,N53*O53*Q53*0.617*1,IF(P53&gt;10,"",IF(P53&lt;10,"")))</f>
        <v/>
      </c>
      <c r="U53" s="106" t="n">
        <f aca="false">IF(P53=12,N53*O53*Q53*0.888*1,IF(P53&gt;12,"",IF(P53&lt;12,"")))</f>
        <v>48.84</v>
      </c>
      <c r="V53" s="107" t="str">
        <f aca="false">IF(P53=16,N53*O53*Q53*1.578*1,IF(P53&gt;16,"",IF(P53&lt;16,"")))</f>
        <v/>
      </c>
      <c r="W53" s="106" t="str">
        <f aca="false">IF(P53=20,N53*O53*Q53*2.466*1,IF(P53&gt;20,"",IF(P53&lt;20,"")))</f>
        <v/>
      </c>
      <c r="X53" s="106" t="str">
        <f aca="false">IF(P53=25,N53*O53*Q53*3.853*1,IF(P53&gt;25,"",IF(P53&lt;25,"")))</f>
        <v/>
      </c>
      <c r="Y53" s="108" t="str">
        <f aca="false">IF(P53=32,N53*O53*Q53*6.313*1,IF(P53&gt;32,"",IF(P53&lt;32,"")))</f>
        <v/>
      </c>
      <c r="Z53" s="109"/>
      <c r="AA53" s="110" t="str">
        <f aca="false">IF(AC53&gt;0,N53,"")</f>
        <v/>
      </c>
      <c r="AB53" s="111" t="str">
        <f aca="false">IF(AC53&gt;0,O53,"")</f>
        <v/>
      </c>
      <c r="AC53" s="112"/>
      <c r="AD53" s="112"/>
      <c r="AE53" s="113" t="str">
        <f aca="false">IF(AC53&gt;0,P53,"")</f>
        <v/>
      </c>
      <c r="AF53" s="114" t="str">
        <f aca="false">IF(AE53=6,AA53*AB53*AC53*AD53*(AE53/1000)*0.222*1,IF(AE53&gt;6,"",IF(AE53&lt;6,"")))</f>
        <v/>
      </c>
      <c r="AG53" s="107" t="str">
        <f aca="false">IF(AE53=8,AA53*AB53*AC53*AD53*(AE53/1000)*0.395*1,IF(AE53&gt;8,"",IF(AE53&lt;8,"")))</f>
        <v/>
      </c>
      <c r="AH53" s="107" t="str">
        <f aca="false">IF(AE53=10,AA53*AB53*AC53*AD53*(AE53/1000)*0.617*1,IF(AE53&gt;10,"",IF(AE53&lt;10,"")))</f>
        <v/>
      </c>
      <c r="AI53" s="107" t="str">
        <f aca="false">IF(AE53=12,AA53*AB53*AC53*AD53*(AE53/1000)*0.888*1,IF(AE53&gt;12,"",IF(AE53&lt;12,"")))</f>
        <v/>
      </c>
      <c r="AJ53" s="107" t="str">
        <f aca="false">IF(AE53=16,AA53*AB53*AC53*AD53*(AE53/1000)*1.578*1,IF(AE53&gt;16,"",IF(AE53&lt;16,"")))</f>
        <v/>
      </c>
      <c r="AK53" s="107" t="str">
        <f aca="false">IF(AE53=20,AA53*AB53*AC53*AD53*(AE53/1000)*2.466*1,IF(AE53&gt;20,"",IF(AE53&lt;20,"")))</f>
        <v/>
      </c>
      <c r="AL53" s="107" t="str">
        <f aca="false">IF(AE53=25,AA53*AB53*AC53*AD53*(AE53/1000)*3.853*1,IF(AE53&gt;25,"",IF(AE53&lt;25,"")))</f>
        <v/>
      </c>
      <c r="AM53" s="115" t="str">
        <f aca="false">IF(AE53=32,AA53*AB53*AC53*AD53*(AE53/1000)*6.313*1,IF(AE53&gt;32,"",IF(AE53&lt;32,"")))</f>
        <v/>
      </c>
      <c r="AN53" s="128"/>
      <c r="AO53" s="117" t="s">
        <v>160</v>
      </c>
      <c r="AP53" s="118" t="n">
        <f aca="false">SUM(R53:Y53)+SUM(AN53)</f>
        <v>48.84</v>
      </c>
      <c r="AQ53" s="118" t="n">
        <f aca="false">SUM(AF53:AM53)</f>
        <v>0</v>
      </c>
      <c r="AR53" s="118"/>
      <c r="AS53" s="119" t="s">
        <v>211</v>
      </c>
      <c r="AT53" s="119" t="s">
        <v>162</v>
      </c>
    </row>
    <row r="54" customFormat="false" ht="13.5" hidden="false" customHeight="false" outlineLevel="0" collapsed="false">
      <c r="A54" s="129"/>
      <c r="B54" s="172"/>
      <c r="C54" s="110"/>
      <c r="D54" s="122"/>
      <c r="E54" s="122"/>
      <c r="F54" s="173"/>
      <c r="G54" s="123"/>
      <c r="H54" s="101"/>
      <c r="I54" s="123"/>
      <c r="J54" s="101"/>
      <c r="K54" s="124" t="s">
        <v>224</v>
      </c>
      <c r="L54" s="125"/>
      <c r="M54" s="125"/>
      <c r="N54" s="126" t="n">
        <f aca="false">$C$49</f>
        <v>1</v>
      </c>
      <c r="O54" s="126" t="n">
        <v>4</v>
      </c>
      <c r="P54" s="126" t="n">
        <v>12</v>
      </c>
      <c r="Q54" s="127" t="n">
        <f aca="false">2*($D$49+$E$49)-8*0.05</f>
        <v>7.2</v>
      </c>
      <c r="R54" s="105" t="str">
        <f aca="false">IF(P54=6,N54*O54*Q54*0.222*1,IF(P54&gt;6,"",IF(P54&lt;6,"")))</f>
        <v/>
      </c>
      <c r="S54" s="106" t="str">
        <f aca="false">IF(P54=8,N54*O54*Q54*0.395*1,IF(P54&gt;8,"",IF(P54&lt;8,"")))</f>
        <v/>
      </c>
      <c r="T54" s="106" t="str">
        <f aca="false">IF(P54=10,N54*O54*Q54*0.617*1,IF(P54&gt;10,"",IF(P54&lt;10,"")))</f>
        <v/>
      </c>
      <c r="U54" s="106" t="n">
        <f aca="false">IF(P54=12,N54*O54*Q54*0.888*1,IF(P54&gt;12,"",IF(P54&lt;12,"")))</f>
        <v>25.5744</v>
      </c>
      <c r="V54" s="107" t="str">
        <f aca="false">IF(P54=16,N54*O54*Q54*1.578*1,IF(P54&gt;16,"",IF(P54&lt;16,"")))</f>
        <v/>
      </c>
      <c r="W54" s="106" t="str">
        <f aca="false">IF(P54=20,N54*O54*Q54*2.466*1,IF(P54&gt;20,"",IF(P54&lt;20,"")))</f>
        <v/>
      </c>
      <c r="X54" s="106" t="str">
        <f aca="false">IF(P54=25,N54*O54*Q54*3.853*1,IF(P54&gt;25,"",IF(P54&lt;25,"")))</f>
        <v/>
      </c>
      <c r="Y54" s="108" t="str">
        <f aca="false">IF(P54=32,N54*O54*Q54*6.313*1,IF(P54&gt;32,"",IF(P54&lt;32,"")))</f>
        <v/>
      </c>
      <c r="Z54" s="109"/>
      <c r="AA54" s="110" t="n">
        <f aca="false">IF(AC54&gt;0,N54,"")</f>
        <v>1</v>
      </c>
      <c r="AB54" s="111" t="n">
        <f aca="false">IF(AC54&gt;0,O54,"")</f>
        <v>4</v>
      </c>
      <c r="AC54" s="112" t="n">
        <v>1</v>
      </c>
      <c r="AD54" s="112" t="n">
        <v>50</v>
      </c>
      <c r="AE54" s="113" t="n">
        <f aca="false">IF(AC54&gt;0,P54,"")</f>
        <v>12</v>
      </c>
      <c r="AF54" s="114" t="str">
        <f aca="false">IF(AE54=6,AA54*AB54*AC54*AD54*(AE54/1000)*0.222*1,IF(AE54&gt;6,"",IF(AE54&lt;6,"")))</f>
        <v/>
      </c>
      <c r="AG54" s="107" t="str">
        <f aca="false">IF(AE54=8,AA54*AB54*AC54*AD54*(AE54/1000)*0.395*1,IF(AE54&gt;8,"",IF(AE54&lt;8,"")))</f>
        <v/>
      </c>
      <c r="AH54" s="107" t="str">
        <f aca="false">IF(AE54=10,AA54*AB54*AC54*AD54*(AE54/1000)*0.617*1,IF(AE54&gt;10,"",IF(AE54&lt;10,"")))</f>
        <v/>
      </c>
      <c r="AI54" s="107" t="n">
        <f aca="false">IF(AE54=12,AA54*AB54*AC54*AD54*(AE54/1000)*0.888*1,IF(AE54&gt;12,"",IF(AE54&lt;12,"")))</f>
        <v>2.1312</v>
      </c>
      <c r="AJ54" s="107" t="str">
        <f aca="false">IF(AE54=16,AA54*AB54*AC54*AD54*(AE54/1000)*1.578*1,IF(AE54&gt;16,"",IF(AE54&lt;16,"")))</f>
        <v/>
      </c>
      <c r="AK54" s="107" t="str">
        <f aca="false">IF(AE54=20,AA54*AB54*AC54*AD54*(AE54/1000)*2.466*1,IF(AE54&gt;20,"",IF(AE54&lt;20,"")))</f>
        <v/>
      </c>
      <c r="AL54" s="107" t="str">
        <f aca="false">IF(AE54=25,AA54*AB54*AC54*AD54*(AE54/1000)*3.853*1,IF(AE54&gt;25,"",IF(AE54&lt;25,"")))</f>
        <v/>
      </c>
      <c r="AM54" s="115" t="str">
        <f aca="false">IF(AE54=32,AA54*AB54*AC54*AD54*(AE54/1000)*6.313*1,IF(AE54&gt;32,"",IF(AE54&lt;32,"")))</f>
        <v/>
      </c>
      <c r="AN54" s="128"/>
      <c r="AO54" s="117" t="s">
        <v>160</v>
      </c>
      <c r="AP54" s="118" t="n">
        <f aca="false">SUM(R54:Y54)+SUM(AN54)</f>
        <v>25.5744</v>
      </c>
      <c r="AQ54" s="118" t="n">
        <f aca="false">SUM(AF54:AM54)</f>
        <v>2.1312</v>
      </c>
      <c r="AR54" s="118"/>
      <c r="AS54" s="119" t="s">
        <v>216</v>
      </c>
      <c r="AT54" s="119" t="s">
        <v>173</v>
      </c>
    </row>
    <row r="55" customFormat="false" ht="13.5" hidden="false" customHeight="false" outlineLevel="0" collapsed="false">
      <c r="A55" s="129"/>
      <c r="B55" s="172"/>
      <c r="C55" s="110"/>
      <c r="D55" s="122"/>
      <c r="E55" s="122"/>
      <c r="F55" s="173"/>
      <c r="G55" s="123"/>
      <c r="H55" s="101"/>
      <c r="I55" s="123"/>
      <c r="J55" s="101"/>
      <c r="K55" s="124" t="s">
        <v>236</v>
      </c>
      <c r="L55" s="125"/>
      <c r="M55" s="125"/>
      <c r="N55" s="126" t="n">
        <v>2</v>
      </c>
      <c r="O55" s="126" t="n">
        <v>4</v>
      </c>
      <c r="P55" s="126" t="n">
        <v>20</v>
      </c>
      <c r="Q55" s="127" t="n">
        <f aca="false">MAX(50*20/1000,$F$49-2*0.05+0.15)+50*20/1000</f>
        <v>2</v>
      </c>
      <c r="R55" s="105" t="str">
        <f aca="false">IF(P55=6,N55*O55*Q55*0.222*1,IF(P55&gt;6,"",IF(P55&lt;6,"")))</f>
        <v/>
      </c>
      <c r="S55" s="106" t="str">
        <f aca="false">IF(P55=8,N55*O55*Q55*0.395*1,IF(P55&gt;8,"",IF(P55&lt;8,"")))</f>
        <v/>
      </c>
      <c r="T55" s="106" t="str">
        <f aca="false">IF(P55=10,N55*O55*Q55*0.617*1,IF(P55&gt;10,"",IF(P55&lt;10,"")))</f>
        <v/>
      </c>
      <c r="U55" s="106" t="str">
        <f aca="false">IF(P55=12,N55*O55*Q55*0.888*1,IF(P55&gt;12,"",IF(P55&lt;12,"")))</f>
        <v/>
      </c>
      <c r="V55" s="107" t="str">
        <f aca="false">IF(P55=16,N55*O55*Q55*1.578*1,IF(P55&gt;16,"",IF(P55&lt;16,"")))</f>
        <v/>
      </c>
      <c r="W55" s="106" t="n">
        <f aca="false">IF(P55=20,N55*O55*Q55*2.466*1,IF(P55&gt;20,"",IF(P55&lt;20,"")))</f>
        <v>39.456</v>
      </c>
      <c r="X55" s="106" t="str">
        <f aca="false">IF(P55=25,N55*O55*Q55*3.853*1,IF(P55&gt;25,"",IF(P55&lt;25,"")))</f>
        <v/>
      </c>
      <c r="Y55" s="108" t="str">
        <f aca="false">IF(P55=32,N55*O55*Q55*6.313*1,IF(P55&gt;32,"",IF(P55&lt;32,"")))</f>
        <v/>
      </c>
      <c r="Z55" s="109"/>
      <c r="AA55" s="110" t="str">
        <f aca="false">IF(AC55&gt;0,N55,"")</f>
        <v/>
      </c>
      <c r="AB55" s="111" t="str">
        <f aca="false">IF(AC55&gt;0,O55,"")</f>
        <v/>
      </c>
      <c r="AC55" s="112"/>
      <c r="AD55" s="112"/>
      <c r="AE55" s="113" t="str">
        <f aca="false">IF(AC55&gt;0,P55,"")</f>
        <v/>
      </c>
      <c r="AF55" s="114" t="str">
        <f aca="false">IF(AE55=6,AA55*AB55*AC55*AD55*(AE55/1000)*0.222*1,IF(AE55&gt;6,"",IF(AE55&lt;6,"")))</f>
        <v/>
      </c>
      <c r="AG55" s="107" t="str">
        <f aca="false">IF(AE55=8,AA55*AB55*AC55*AD55*(AE55/1000)*0.395*1,IF(AE55&gt;8,"",IF(AE55&lt;8,"")))</f>
        <v/>
      </c>
      <c r="AH55" s="107" t="str">
        <f aca="false">IF(AE55=10,AA55*AB55*AC55*AD55*(AE55/1000)*0.617*1,IF(AE55&gt;10,"",IF(AE55&lt;10,"")))</f>
        <v/>
      </c>
      <c r="AI55" s="107" t="str">
        <f aca="false">IF(AE55=12,AA55*AB55*AC55*AD55*(AE55/1000)*0.888*1,IF(AE55&gt;12,"",IF(AE55&lt;12,"")))</f>
        <v/>
      </c>
      <c r="AJ55" s="107" t="str">
        <f aca="false">IF(AE55=16,AA55*AB55*AC55*AD55*(AE55/1000)*1.578*1,IF(AE55&gt;16,"",IF(AE55&lt;16,"")))</f>
        <v/>
      </c>
      <c r="AK55" s="107" t="str">
        <f aca="false">IF(AE55=20,AA55*AB55*AC55*AD55*(AE55/1000)*2.466*1,IF(AE55&gt;20,"",IF(AE55&lt;20,"")))</f>
        <v/>
      </c>
      <c r="AL55" s="107" t="str">
        <f aca="false">IF(AE55=25,AA55*AB55*AC55*AD55*(AE55/1000)*3.853*1,IF(AE55&gt;25,"",IF(AE55&lt;25,"")))</f>
        <v/>
      </c>
      <c r="AM55" s="115" t="str">
        <f aca="false">IF(AE55=32,AA55*AB55*AC55*AD55*(AE55/1000)*6.313*1,IF(AE55&gt;32,"",IF(AE55&lt;32,"")))</f>
        <v/>
      </c>
      <c r="AN55" s="128"/>
      <c r="AO55" s="117" t="s">
        <v>160</v>
      </c>
      <c r="AP55" s="118" t="n">
        <f aca="false">SUM(R55:Y55)+SUM(AN55)</f>
        <v>39.456</v>
      </c>
      <c r="AQ55" s="118" t="n">
        <f aca="false">SUM(AF55:AM55)</f>
        <v>0</v>
      </c>
      <c r="AR55" s="118"/>
      <c r="AS55" s="119" t="s">
        <v>218</v>
      </c>
      <c r="AT55" s="119" t="s">
        <v>173</v>
      </c>
    </row>
    <row r="56" customFormat="false" ht="13.5" hidden="false" customHeight="false" outlineLevel="0" collapsed="false">
      <c r="A56" s="129"/>
      <c r="B56" s="130"/>
      <c r="C56" s="110"/>
      <c r="D56" s="122"/>
      <c r="E56" s="122"/>
      <c r="F56" s="122"/>
      <c r="G56" s="123"/>
      <c r="H56" s="101"/>
      <c r="I56" s="123"/>
      <c r="J56" s="101"/>
      <c r="K56" s="124"/>
      <c r="L56" s="125"/>
      <c r="M56" s="125"/>
      <c r="N56" s="126"/>
      <c r="O56" s="126"/>
      <c r="P56" s="126"/>
      <c r="Q56" s="127"/>
      <c r="R56" s="105"/>
      <c r="S56" s="106"/>
      <c r="T56" s="106"/>
      <c r="U56" s="106"/>
      <c r="V56" s="107"/>
      <c r="W56" s="106"/>
      <c r="X56" s="106"/>
      <c r="Y56" s="108"/>
      <c r="Z56" s="109"/>
      <c r="AA56" s="110"/>
      <c r="AB56" s="111"/>
      <c r="AC56" s="112"/>
      <c r="AD56" s="112"/>
      <c r="AE56" s="113"/>
      <c r="AF56" s="114"/>
      <c r="AG56" s="107"/>
      <c r="AH56" s="107"/>
      <c r="AI56" s="107"/>
      <c r="AJ56" s="107"/>
      <c r="AK56" s="107"/>
      <c r="AL56" s="107"/>
      <c r="AM56" s="115"/>
      <c r="AO56" s="117"/>
      <c r="AP56" s="118"/>
      <c r="AQ56" s="118"/>
      <c r="AR56" s="118"/>
      <c r="AS56" s="119"/>
      <c r="AT56" s="119"/>
    </row>
    <row r="57" customFormat="false" ht="13.5" hidden="false" customHeight="false" outlineLevel="0" collapsed="false">
      <c r="A57" s="96"/>
      <c r="B57" s="97" t="s">
        <v>237</v>
      </c>
      <c r="C57" s="98"/>
      <c r="D57" s="99"/>
      <c r="E57" s="99"/>
      <c r="F57" s="99"/>
      <c r="G57" s="100"/>
      <c r="H57" s="101"/>
      <c r="I57" s="100"/>
      <c r="J57" s="101"/>
      <c r="K57" s="102"/>
      <c r="L57" s="103"/>
      <c r="M57" s="103"/>
      <c r="N57" s="104"/>
      <c r="O57" s="104"/>
      <c r="P57" s="104"/>
      <c r="Q57" s="100"/>
      <c r="R57" s="105"/>
      <c r="S57" s="106"/>
      <c r="T57" s="106"/>
      <c r="U57" s="106"/>
      <c r="V57" s="107"/>
      <c r="W57" s="106"/>
      <c r="X57" s="106"/>
      <c r="Y57" s="108"/>
      <c r="Z57" s="109"/>
      <c r="AA57" s="110"/>
      <c r="AB57" s="111"/>
      <c r="AC57" s="112"/>
      <c r="AD57" s="112"/>
      <c r="AE57" s="113"/>
      <c r="AF57" s="114"/>
      <c r="AG57" s="107"/>
      <c r="AH57" s="107"/>
      <c r="AI57" s="107"/>
      <c r="AJ57" s="107"/>
      <c r="AK57" s="107"/>
      <c r="AL57" s="107"/>
      <c r="AM57" s="115"/>
      <c r="AO57" s="117"/>
      <c r="AP57" s="118"/>
      <c r="AQ57" s="118"/>
      <c r="AR57" s="118"/>
      <c r="AS57" s="119"/>
      <c r="AT57" s="119"/>
    </row>
    <row r="58" customFormat="false" ht="13.5" hidden="false" customHeight="false" outlineLevel="0" collapsed="false">
      <c r="A58" s="120"/>
      <c r="B58" s="121" t="s">
        <v>169</v>
      </c>
      <c r="C58" s="110" t="n">
        <v>5</v>
      </c>
      <c r="D58" s="122" t="n">
        <v>1.1</v>
      </c>
      <c r="E58" s="122" t="n">
        <v>1.1</v>
      </c>
      <c r="F58" s="122" t="n">
        <v>0.5</v>
      </c>
      <c r="G58" s="123" t="n">
        <f aca="false">C58*D58*E58*F58</f>
        <v>3.025</v>
      </c>
      <c r="H58" s="101"/>
      <c r="I58" s="123" t="n">
        <f aca="false">2*(D58+E58)*F58*C58</f>
        <v>11</v>
      </c>
      <c r="J58" s="101"/>
      <c r="K58" s="124"/>
      <c r="L58" s="125"/>
      <c r="M58" s="125"/>
      <c r="N58" s="126"/>
      <c r="O58" s="126"/>
      <c r="P58" s="126"/>
      <c r="Q58" s="127"/>
      <c r="R58" s="105" t="str">
        <f aca="false">IF(P58=6,N58*O58*Q58*0.222*1,IF(P58&gt;6,"",IF(P58&lt;6,"")))</f>
        <v/>
      </c>
      <c r="S58" s="106" t="str">
        <f aca="false">IF(P58=8,N58*O58*Q58*0.395*1,IF(P58&gt;8,"",IF(P58&lt;8,"")))</f>
        <v/>
      </c>
      <c r="T58" s="106" t="str">
        <f aca="false">IF(P58=10,N58*O58*Q58*0.617*1,IF(P58&gt;10,"",IF(P58&lt;10,"")))</f>
        <v/>
      </c>
      <c r="U58" s="106" t="str">
        <f aca="false">IF(P58=12,N58*O58*Q58*0.888*1,IF(P58&gt;12,"",IF(P58&lt;12,"")))</f>
        <v/>
      </c>
      <c r="V58" s="107" t="str">
        <f aca="false">IF(P58=16,N58*O58*Q58*1.578*1,IF(P58&gt;16,"",IF(P58&lt;16,"")))</f>
        <v/>
      </c>
      <c r="W58" s="106" t="str">
        <f aca="false">IF(P58=20,N58*O58*Q58*2.466*1,IF(P58&gt;20,"",IF(P58&lt;20,"")))</f>
        <v/>
      </c>
      <c r="X58" s="106" t="str">
        <f aca="false">IF(P58=25,N58*O58*Q58*3.853*1,IF(P58&gt;25,"",IF(P58&lt;25,"")))</f>
        <v/>
      </c>
      <c r="Y58" s="108" t="str">
        <f aca="false">IF(P58=32,N58*O58*Q58*6.313*1,IF(P58&gt;32,"",IF(P58&lt;32,"")))</f>
        <v/>
      </c>
      <c r="Z58" s="109"/>
      <c r="AA58" s="110" t="str">
        <f aca="false">IF(AC58&gt;0,N58,"")</f>
        <v/>
      </c>
      <c r="AB58" s="111" t="str">
        <f aca="false">IF(AC58&gt;0,O58,"")</f>
        <v/>
      </c>
      <c r="AC58" s="112"/>
      <c r="AD58" s="112"/>
      <c r="AE58" s="113" t="str">
        <f aca="false">IF(AC58&gt;0,P58,"")</f>
        <v/>
      </c>
      <c r="AF58" s="114" t="str">
        <f aca="false">IF(AE58=6,AA58*AB58*AC58*AD58*(AE58/1000)*0.222*1,IF(AE58&gt;6,"",IF(AE58&lt;6,"")))</f>
        <v/>
      </c>
      <c r="AG58" s="107" t="str">
        <f aca="false">IF(AE58=8,AA58*AB58*AC58*AD58*(AE58/1000)*0.395*1,IF(AE58&gt;8,"",IF(AE58&lt;8,"")))</f>
        <v/>
      </c>
      <c r="AH58" s="107" t="str">
        <f aca="false">IF(AE58=10,AA58*AB58*AC58*AD58*(AE58/1000)*0.617*1,IF(AE58&gt;10,"",IF(AE58&lt;10,"")))</f>
        <v/>
      </c>
      <c r="AI58" s="107" t="str">
        <f aca="false">IF(AE58=12,AA58*AB58*AC58*AD58*(AE58/1000)*0.888*1,IF(AE58&gt;12,"",IF(AE58&lt;12,"")))</f>
        <v/>
      </c>
      <c r="AJ58" s="107" t="str">
        <f aca="false">IF(AE58=16,AA58*AB58*AC58*AD58*(AE58/1000)*1.578*1,IF(AE58&gt;16,"",IF(AE58&lt;16,"")))</f>
        <v/>
      </c>
      <c r="AK58" s="107" t="str">
        <f aca="false">IF(AE58=20,AA58*AB58*AC58*AD58*(AE58/1000)*2.466*1,IF(AE58&gt;20,"",IF(AE58&lt;20,"")))</f>
        <v/>
      </c>
      <c r="AL58" s="107" t="str">
        <f aca="false">IF(AE58=25,AA58*AB58*AC58*AD58*(AE58/1000)*3.853*1,IF(AE58&gt;25,"",IF(AE58&lt;25,"")))</f>
        <v/>
      </c>
      <c r="AM58" s="115" t="str">
        <f aca="false">IF(AE58=32,AA58*AB58*AC58*AD58*(AE58/1000)*6.313*1,IF(AE58&gt;32,"",IF(AE58&lt;32,"")))</f>
        <v/>
      </c>
      <c r="AN58" s="128"/>
      <c r="AO58" s="117" t="s">
        <v>170</v>
      </c>
      <c r="AP58" s="118" t="n">
        <f aca="false">SUM(R58:Y58)+SUM(AN58)</f>
        <v>0</v>
      </c>
      <c r="AQ58" s="118" t="n">
        <f aca="false">SUM(AF58:AM58)</f>
        <v>0</v>
      </c>
      <c r="AR58" s="118" t="n">
        <v>3.025</v>
      </c>
      <c r="AS58" s="119" t="s">
        <v>238</v>
      </c>
      <c r="AT58" s="119" t="s">
        <v>209</v>
      </c>
    </row>
    <row r="59" customFormat="false" ht="13.5" hidden="false" customHeight="false" outlineLevel="0" collapsed="false">
      <c r="A59" s="129"/>
      <c r="B59" s="172"/>
      <c r="C59" s="110"/>
      <c r="D59" s="122"/>
      <c r="E59" s="122"/>
      <c r="F59" s="173"/>
      <c r="G59" s="123"/>
      <c r="H59" s="101"/>
      <c r="I59" s="123"/>
      <c r="J59" s="101"/>
      <c r="K59" s="124" t="s">
        <v>239</v>
      </c>
      <c r="L59" s="125" t="n">
        <f aca="false">$E$58-2*0.05</f>
        <v>1</v>
      </c>
      <c r="M59" s="125" t="n">
        <v>0.15</v>
      </c>
      <c r="N59" s="126" t="n">
        <f aca="false">$C$58</f>
        <v>5</v>
      </c>
      <c r="O59" s="126" t="n">
        <f aca="false">CEILING(L59/M59,1)+1</f>
        <v>8</v>
      </c>
      <c r="P59" s="126" t="n">
        <v>12</v>
      </c>
      <c r="Q59" s="127" t="n">
        <f aca="false">$D$58-2*0.05+2*($F$58-2*0.05)</f>
        <v>1.8</v>
      </c>
      <c r="R59" s="105" t="str">
        <f aca="false">IF(P59=6,N59*O59*Q59*0.222*1,IF(P59&gt;6,"",IF(P59&lt;6,"")))</f>
        <v/>
      </c>
      <c r="S59" s="106" t="str">
        <f aca="false">IF(P59=8,N59*O59*Q59*0.395*1,IF(P59&gt;8,"",IF(P59&lt;8,"")))</f>
        <v/>
      </c>
      <c r="T59" s="106" t="str">
        <f aca="false">IF(P59=10,N59*O59*Q59*0.617*1,IF(P59&gt;10,"",IF(P59&lt;10,"")))</f>
        <v/>
      </c>
      <c r="U59" s="106" t="n">
        <f aca="false">IF(P59=12,N59*O59*Q59*0.888*1,IF(P59&gt;12,"",IF(P59&lt;12,"")))</f>
        <v>63.936</v>
      </c>
      <c r="V59" s="107" t="str">
        <f aca="false">IF(P59=16,N59*O59*Q59*1.578*1,IF(P59&gt;16,"",IF(P59&lt;16,"")))</f>
        <v/>
      </c>
      <c r="W59" s="106" t="str">
        <f aca="false">IF(P59=20,N59*O59*Q59*2.466*1,IF(P59&gt;20,"",IF(P59&lt;20,"")))</f>
        <v/>
      </c>
      <c r="X59" s="106" t="str">
        <f aca="false">IF(P59=25,N59*O59*Q59*3.853*1,IF(P59&gt;25,"",IF(P59&lt;25,"")))</f>
        <v/>
      </c>
      <c r="Y59" s="108" t="str">
        <f aca="false">IF(P59=32,N59*O59*Q59*6.313*1,IF(P59&gt;32,"",IF(P59&lt;32,"")))</f>
        <v/>
      </c>
      <c r="Z59" s="109"/>
      <c r="AA59" s="110" t="str">
        <f aca="false">IF(AC59&gt;0,N59,"")</f>
        <v/>
      </c>
      <c r="AB59" s="111" t="str">
        <f aca="false">IF(AC59&gt;0,O59,"")</f>
        <v/>
      </c>
      <c r="AC59" s="112"/>
      <c r="AD59" s="112"/>
      <c r="AE59" s="113" t="str">
        <f aca="false">IF(AC59&gt;0,P59,"")</f>
        <v/>
      </c>
      <c r="AF59" s="114" t="str">
        <f aca="false">IF(AE59=6,AA59*AB59*AC59*AD59*(AE59/1000)*0.222*1,IF(AE59&gt;6,"",IF(AE59&lt;6,"")))</f>
        <v/>
      </c>
      <c r="AG59" s="107" t="str">
        <f aca="false">IF(AE59=8,AA59*AB59*AC59*AD59*(AE59/1000)*0.395*1,IF(AE59&gt;8,"",IF(AE59&lt;8,"")))</f>
        <v/>
      </c>
      <c r="AH59" s="107" t="str">
        <f aca="false">IF(AE59=10,AA59*AB59*AC59*AD59*(AE59/1000)*0.617*1,IF(AE59&gt;10,"",IF(AE59&lt;10,"")))</f>
        <v/>
      </c>
      <c r="AI59" s="107" t="str">
        <f aca="false">IF(AE59=12,AA59*AB59*AC59*AD59*(AE59/1000)*0.888*1,IF(AE59&gt;12,"",IF(AE59&lt;12,"")))</f>
        <v/>
      </c>
      <c r="AJ59" s="107" t="str">
        <f aca="false">IF(AE59=16,AA59*AB59*AC59*AD59*(AE59/1000)*1.578*1,IF(AE59&gt;16,"",IF(AE59&lt;16,"")))</f>
        <v/>
      </c>
      <c r="AK59" s="107" t="str">
        <f aca="false">IF(AE59=20,AA59*AB59*AC59*AD59*(AE59/1000)*2.466*1,IF(AE59&gt;20,"",IF(AE59&lt;20,"")))</f>
        <v/>
      </c>
      <c r="AL59" s="107" t="str">
        <f aca="false">IF(AE59=25,AA59*AB59*AC59*AD59*(AE59/1000)*3.853*1,IF(AE59&gt;25,"",IF(AE59&lt;25,"")))</f>
        <v/>
      </c>
      <c r="AM59" s="115" t="str">
        <f aca="false">IF(AE59=32,AA59*AB59*AC59*AD59*(AE59/1000)*6.313*1,IF(AE59&gt;32,"",IF(AE59&lt;32,"")))</f>
        <v/>
      </c>
      <c r="AN59" s="128"/>
      <c r="AO59" s="117" t="s">
        <v>170</v>
      </c>
      <c r="AP59" s="118" t="n">
        <f aca="false">SUM(R59:Y59)+SUM(AN59)</f>
        <v>63.936</v>
      </c>
      <c r="AQ59" s="118" t="n">
        <f aca="false">SUM(AF59:AM59)</f>
        <v>0</v>
      </c>
      <c r="AR59" s="118"/>
      <c r="AS59" s="119" t="s">
        <v>211</v>
      </c>
      <c r="AT59" s="119" t="s">
        <v>162</v>
      </c>
    </row>
    <row r="60" customFormat="false" ht="13.5" hidden="false" customHeight="false" outlineLevel="0" collapsed="false">
      <c r="A60" s="129"/>
      <c r="B60" s="172"/>
      <c r="C60" s="110"/>
      <c r="D60" s="122"/>
      <c r="E60" s="122"/>
      <c r="F60" s="173"/>
      <c r="G60" s="123"/>
      <c r="H60" s="101"/>
      <c r="I60" s="123"/>
      <c r="J60" s="101"/>
      <c r="K60" s="124" t="s">
        <v>240</v>
      </c>
      <c r="L60" s="125" t="n">
        <f aca="false">$D$58-2*0.05</f>
        <v>1</v>
      </c>
      <c r="M60" s="125" t="n">
        <v>0.15</v>
      </c>
      <c r="N60" s="126" t="n">
        <f aca="false">$C$58</f>
        <v>5</v>
      </c>
      <c r="O60" s="126" t="n">
        <f aca="false">CEILING(L60/M60,1)+1</f>
        <v>8</v>
      </c>
      <c r="P60" s="126" t="n">
        <v>12</v>
      </c>
      <c r="Q60" s="127" t="n">
        <f aca="false">$E$58-2*0.05+2*($F$58-2*0.05)</f>
        <v>1.8</v>
      </c>
      <c r="R60" s="105" t="str">
        <f aca="false">IF(P60=6,N60*O60*Q60*0.222*1,IF(P60&gt;6,"",IF(P60&lt;6,"")))</f>
        <v/>
      </c>
      <c r="S60" s="106" t="str">
        <f aca="false">IF(P60=8,N60*O60*Q60*0.395*1,IF(P60&gt;8,"",IF(P60&lt;8,"")))</f>
        <v/>
      </c>
      <c r="T60" s="106" t="str">
        <f aca="false">IF(P60=10,N60*O60*Q60*0.617*1,IF(P60&gt;10,"",IF(P60&lt;10,"")))</f>
        <v/>
      </c>
      <c r="U60" s="106" t="n">
        <f aca="false">IF(P60=12,N60*O60*Q60*0.888*1,IF(P60&gt;12,"",IF(P60&lt;12,"")))</f>
        <v>63.936</v>
      </c>
      <c r="V60" s="107" t="str">
        <f aca="false">IF(P60=16,N60*O60*Q60*1.578*1,IF(P60&gt;16,"",IF(P60&lt;16,"")))</f>
        <v/>
      </c>
      <c r="W60" s="106" t="str">
        <f aca="false">IF(P60=20,N60*O60*Q60*2.466*1,IF(P60&gt;20,"",IF(P60&lt;20,"")))</f>
        <v/>
      </c>
      <c r="X60" s="106" t="str">
        <f aca="false">IF(P60=25,N60*O60*Q60*3.853*1,IF(P60&gt;25,"",IF(P60&lt;25,"")))</f>
        <v/>
      </c>
      <c r="Y60" s="108" t="str">
        <f aca="false">IF(P60=32,N60*O60*Q60*6.313*1,IF(P60&gt;32,"",IF(P60&lt;32,"")))</f>
        <v/>
      </c>
      <c r="Z60" s="109"/>
      <c r="AA60" s="110" t="str">
        <f aca="false">IF(AC60&gt;0,N60,"")</f>
        <v/>
      </c>
      <c r="AB60" s="111" t="str">
        <f aca="false">IF(AC60&gt;0,O60,"")</f>
        <v/>
      </c>
      <c r="AC60" s="112"/>
      <c r="AD60" s="112"/>
      <c r="AE60" s="113" t="str">
        <f aca="false">IF(AC60&gt;0,P60,"")</f>
        <v/>
      </c>
      <c r="AF60" s="114" t="str">
        <f aca="false">IF(AE60=6,AA60*AB60*AC60*AD60*(AE60/1000)*0.222*1,IF(AE60&gt;6,"",IF(AE60&lt;6,"")))</f>
        <v/>
      </c>
      <c r="AG60" s="107" t="str">
        <f aca="false">IF(AE60=8,AA60*AB60*AC60*AD60*(AE60/1000)*0.395*1,IF(AE60&gt;8,"",IF(AE60&lt;8,"")))</f>
        <v/>
      </c>
      <c r="AH60" s="107" t="str">
        <f aca="false">IF(AE60=10,AA60*AB60*AC60*AD60*(AE60/1000)*0.617*1,IF(AE60&gt;10,"",IF(AE60&lt;10,"")))</f>
        <v/>
      </c>
      <c r="AI60" s="107" t="str">
        <f aca="false">IF(AE60=12,AA60*AB60*AC60*AD60*(AE60/1000)*0.888*1,IF(AE60&gt;12,"",IF(AE60&lt;12,"")))</f>
        <v/>
      </c>
      <c r="AJ60" s="107" t="str">
        <f aca="false">IF(AE60=16,AA60*AB60*AC60*AD60*(AE60/1000)*1.578*1,IF(AE60&gt;16,"",IF(AE60&lt;16,"")))</f>
        <v/>
      </c>
      <c r="AK60" s="107" t="str">
        <f aca="false">IF(AE60=20,AA60*AB60*AC60*AD60*(AE60/1000)*2.466*1,IF(AE60&gt;20,"",IF(AE60&lt;20,"")))</f>
        <v/>
      </c>
      <c r="AL60" s="107" t="str">
        <f aca="false">IF(AE60=25,AA60*AB60*AC60*AD60*(AE60/1000)*3.853*1,IF(AE60&gt;25,"",IF(AE60&lt;25,"")))</f>
        <v/>
      </c>
      <c r="AM60" s="115" t="str">
        <f aca="false">IF(AE60=32,AA60*AB60*AC60*AD60*(AE60/1000)*6.313*1,IF(AE60&gt;32,"",IF(AE60&lt;32,"")))</f>
        <v/>
      </c>
      <c r="AN60" s="128"/>
      <c r="AO60" s="117" t="s">
        <v>170</v>
      </c>
      <c r="AP60" s="118" t="n">
        <f aca="false">SUM(R60:Y60)+SUM(AN60)</f>
        <v>63.936</v>
      </c>
      <c r="AQ60" s="118" t="n">
        <f aca="false">SUM(AF60:AM60)</f>
        <v>0</v>
      </c>
      <c r="AR60" s="118"/>
      <c r="AS60" s="119" t="s">
        <v>211</v>
      </c>
      <c r="AT60" s="119" t="s">
        <v>162</v>
      </c>
    </row>
    <row r="61" customFormat="false" ht="13.5" hidden="false" customHeight="false" outlineLevel="0" collapsed="false">
      <c r="A61" s="129"/>
      <c r="B61" s="172"/>
      <c r="C61" s="110"/>
      <c r="D61" s="122"/>
      <c r="E61" s="122"/>
      <c r="F61" s="173"/>
      <c r="G61" s="123"/>
      <c r="H61" s="101"/>
      <c r="I61" s="123"/>
      <c r="J61" s="101"/>
      <c r="K61" s="124" t="s">
        <v>241</v>
      </c>
      <c r="L61" s="125" t="n">
        <f aca="false">$E$58-2*0.05</f>
        <v>1</v>
      </c>
      <c r="M61" s="125" t="n">
        <v>0.15</v>
      </c>
      <c r="N61" s="126" t="n">
        <f aca="false">$C$58</f>
        <v>5</v>
      </c>
      <c r="O61" s="126" t="n">
        <f aca="false">CEILING(L61/M61,1)+1</f>
        <v>8</v>
      </c>
      <c r="P61" s="126" t="n">
        <v>12</v>
      </c>
      <c r="Q61" s="127" t="n">
        <f aca="false">$D$58-2*0.05+2*($F$58-2*0.05)</f>
        <v>1.8</v>
      </c>
      <c r="R61" s="105" t="str">
        <f aca="false">IF(P61=6,N61*O61*Q61*0.222*1,IF(P61&gt;6,"",IF(P61&lt;6,"")))</f>
        <v/>
      </c>
      <c r="S61" s="106" t="str">
        <f aca="false">IF(P61=8,N61*O61*Q61*0.395*1,IF(P61&gt;8,"",IF(P61&lt;8,"")))</f>
        <v/>
      </c>
      <c r="T61" s="106" t="str">
        <f aca="false">IF(P61=10,N61*O61*Q61*0.617*1,IF(P61&gt;10,"",IF(P61&lt;10,"")))</f>
        <v/>
      </c>
      <c r="U61" s="106" t="n">
        <f aca="false">IF(P61=12,N61*O61*Q61*0.888*1,IF(P61&gt;12,"",IF(P61&lt;12,"")))</f>
        <v>63.936</v>
      </c>
      <c r="V61" s="107" t="str">
        <f aca="false">IF(P61=16,N61*O61*Q61*1.578*1,IF(P61&gt;16,"",IF(P61&lt;16,"")))</f>
        <v/>
      </c>
      <c r="W61" s="106" t="str">
        <f aca="false">IF(P61=20,N61*O61*Q61*2.466*1,IF(P61&gt;20,"",IF(P61&lt;20,"")))</f>
        <v/>
      </c>
      <c r="X61" s="106" t="str">
        <f aca="false">IF(P61=25,N61*O61*Q61*3.853*1,IF(P61&gt;25,"",IF(P61&lt;25,"")))</f>
        <v/>
      </c>
      <c r="Y61" s="108" t="str">
        <f aca="false">IF(P61=32,N61*O61*Q61*6.313*1,IF(P61&gt;32,"",IF(P61&lt;32,"")))</f>
        <v/>
      </c>
      <c r="Z61" s="109"/>
      <c r="AA61" s="110" t="str">
        <f aca="false">IF(AC61&gt;0,N61,"")</f>
        <v/>
      </c>
      <c r="AB61" s="111" t="str">
        <f aca="false">IF(AC61&gt;0,O61,"")</f>
        <v/>
      </c>
      <c r="AC61" s="112"/>
      <c r="AD61" s="112"/>
      <c r="AE61" s="113" t="str">
        <f aca="false">IF(AC61&gt;0,P61,"")</f>
        <v/>
      </c>
      <c r="AF61" s="114" t="str">
        <f aca="false">IF(AE61=6,AA61*AB61*AC61*AD61*(AE61/1000)*0.222*1,IF(AE61&gt;6,"",IF(AE61&lt;6,"")))</f>
        <v/>
      </c>
      <c r="AG61" s="107" t="str">
        <f aca="false">IF(AE61=8,AA61*AB61*AC61*AD61*(AE61/1000)*0.395*1,IF(AE61&gt;8,"",IF(AE61&lt;8,"")))</f>
        <v/>
      </c>
      <c r="AH61" s="107" t="str">
        <f aca="false">IF(AE61=10,AA61*AB61*AC61*AD61*(AE61/1000)*0.617*1,IF(AE61&gt;10,"",IF(AE61&lt;10,"")))</f>
        <v/>
      </c>
      <c r="AI61" s="107" t="str">
        <f aca="false">IF(AE61=12,AA61*AB61*AC61*AD61*(AE61/1000)*0.888*1,IF(AE61&gt;12,"",IF(AE61&lt;12,"")))</f>
        <v/>
      </c>
      <c r="AJ61" s="107" t="str">
        <f aca="false">IF(AE61=16,AA61*AB61*AC61*AD61*(AE61/1000)*1.578*1,IF(AE61&gt;16,"",IF(AE61&lt;16,"")))</f>
        <v/>
      </c>
      <c r="AK61" s="107" t="str">
        <f aca="false">IF(AE61=20,AA61*AB61*AC61*AD61*(AE61/1000)*2.466*1,IF(AE61&gt;20,"",IF(AE61&lt;20,"")))</f>
        <v/>
      </c>
      <c r="AL61" s="107" t="str">
        <f aca="false">IF(AE61=25,AA61*AB61*AC61*AD61*(AE61/1000)*3.853*1,IF(AE61&gt;25,"",IF(AE61&lt;25,"")))</f>
        <v/>
      </c>
      <c r="AM61" s="115" t="str">
        <f aca="false">IF(AE61=32,AA61*AB61*AC61*AD61*(AE61/1000)*6.313*1,IF(AE61&gt;32,"",IF(AE61&lt;32,"")))</f>
        <v/>
      </c>
      <c r="AN61" s="128"/>
      <c r="AO61" s="117" t="s">
        <v>170</v>
      </c>
      <c r="AP61" s="118" t="n">
        <f aca="false">SUM(R61:Y61)+SUM(AN61)</f>
        <v>63.936</v>
      </c>
      <c r="AQ61" s="118" t="n">
        <f aca="false">SUM(AF61:AM61)</f>
        <v>0</v>
      </c>
      <c r="AR61" s="118"/>
      <c r="AS61" s="119" t="s">
        <v>211</v>
      </c>
      <c r="AT61" s="119" t="s">
        <v>162</v>
      </c>
    </row>
    <row r="62" customFormat="false" ht="13.5" hidden="false" customHeight="false" outlineLevel="0" collapsed="false">
      <c r="A62" s="129"/>
      <c r="B62" s="172"/>
      <c r="C62" s="110"/>
      <c r="D62" s="122"/>
      <c r="E62" s="122"/>
      <c r="F62" s="173"/>
      <c r="G62" s="123"/>
      <c r="H62" s="101"/>
      <c r="I62" s="123"/>
      <c r="J62" s="101"/>
      <c r="K62" s="124" t="s">
        <v>242</v>
      </c>
      <c r="L62" s="125" t="n">
        <f aca="false">$D$58-2*0.05</f>
        <v>1</v>
      </c>
      <c r="M62" s="125" t="n">
        <v>0.15</v>
      </c>
      <c r="N62" s="126" t="n">
        <f aca="false">$C$58</f>
        <v>5</v>
      </c>
      <c r="O62" s="126" t="n">
        <f aca="false">CEILING(L62/M62,1)+1</f>
        <v>8</v>
      </c>
      <c r="P62" s="126" t="n">
        <v>12</v>
      </c>
      <c r="Q62" s="127" t="n">
        <f aca="false">$E$58-2*0.05+2*($F$58-2*0.05)</f>
        <v>1.8</v>
      </c>
      <c r="R62" s="105" t="str">
        <f aca="false">IF(P62=6,N62*O62*Q62*0.222*1,IF(P62&gt;6,"",IF(P62&lt;6,"")))</f>
        <v/>
      </c>
      <c r="S62" s="106" t="str">
        <f aca="false">IF(P62=8,N62*O62*Q62*0.395*1,IF(P62&gt;8,"",IF(P62&lt;8,"")))</f>
        <v/>
      </c>
      <c r="T62" s="106" t="str">
        <f aca="false">IF(P62=10,N62*O62*Q62*0.617*1,IF(P62&gt;10,"",IF(P62&lt;10,"")))</f>
        <v/>
      </c>
      <c r="U62" s="106" t="n">
        <f aca="false">IF(P62=12,N62*O62*Q62*0.888*1,IF(P62&gt;12,"",IF(P62&lt;12,"")))</f>
        <v>63.936</v>
      </c>
      <c r="V62" s="107" t="str">
        <f aca="false">IF(P62=16,N62*O62*Q62*1.578*1,IF(P62&gt;16,"",IF(P62&lt;16,"")))</f>
        <v/>
      </c>
      <c r="W62" s="106" t="str">
        <f aca="false">IF(P62=20,N62*O62*Q62*2.466*1,IF(P62&gt;20,"",IF(P62&lt;20,"")))</f>
        <v/>
      </c>
      <c r="X62" s="106" t="str">
        <f aca="false">IF(P62=25,N62*O62*Q62*3.853*1,IF(P62&gt;25,"",IF(P62&lt;25,"")))</f>
        <v/>
      </c>
      <c r="Y62" s="108" t="str">
        <f aca="false">IF(P62=32,N62*O62*Q62*6.313*1,IF(P62&gt;32,"",IF(P62&lt;32,"")))</f>
        <v/>
      </c>
      <c r="Z62" s="109"/>
      <c r="AA62" s="110" t="str">
        <f aca="false">IF(AC62&gt;0,N62,"")</f>
        <v/>
      </c>
      <c r="AB62" s="111" t="str">
        <f aca="false">IF(AC62&gt;0,O62,"")</f>
        <v/>
      </c>
      <c r="AC62" s="112"/>
      <c r="AD62" s="112"/>
      <c r="AE62" s="113" t="str">
        <f aca="false">IF(AC62&gt;0,P62,"")</f>
        <v/>
      </c>
      <c r="AF62" s="114" t="str">
        <f aca="false">IF(AE62=6,AA62*AB62*AC62*AD62*(AE62/1000)*0.222*1,IF(AE62&gt;6,"",IF(AE62&lt;6,"")))</f>
        <v/>
      </c>
      <c r="AG62" s="107" t="str">
        <f aca="false">IF(AE62=8,AA62*AB62*AC62*AD62*(AE62/1000)*0.395*1,IF(AE62&gt;8,"",IF(AE62&lt;8,"")))</f>
        <v/>
      </c>
      <c r="AH62" s="107" t="str">
        <f aca="false">IF(AE62=10,AA62*AB62*AC62*AD62*(AE62/1000)*0.617*1,IF(AE62&gt;10,"",IF(AE62&lt;10,"")))</f>
        <v/>
      </c>
      <c r="AI62" s="107" t="str">
        <f aca="false">IF(AE62=12,AA62*AB62*AC62*AD62*(AE62/1000)*0.888*1,IF(AE62&gt;12,"",IF(AE62&lt;12,"")))</f>
        <v/>
      </c>
      <c r="AJ62" s="107" t="str">
        <f aca="false">IF(AE62=16,AA62*AB62*AC62*AD62*(AE62/1000)*1.578*1,IF(AE62&gt;16,"",IF(AE62&lt;16,"")))</f>
        <v/>
      </c>
      <c r="AK62" s="107" t="str">
        <f aca="false">IF(AE62=20,AA62*AB62*AC62*AD62*(AE62/1000)*2.466*1,IF(AE62&gt;20,"",IF(AE62&lt;20,"")))</f>
        <v/>
      </c>
      <c r="AL62" s="107" t="str">
        <f aca="false">IF(AE62=25,AA62*AB62*AC62*AD62*(AE62/1000)*3.853*1,IF(AE62&gt;25,"",IF(AE62&lt;25,"")))</f>
        <v/>
      </c>
      <c r="AM62" s="115" t="str">
        <f aca="false">IF(AE62=32,AA62*AB62*AC62*AD62*(AE62/1000)*6.313*1,IF(AE62&gt;32,"",IF(AE62&lt;32,"")))</f>
        <v/>
      </c>
      <c r="AN62" s="128"/>
      <c r="AO62" s="117" t="s">
        <v>170</v>
      </c>
      <c r="AP62" s="118" t="n">
        <f aca="false">SUM(R62:Y62)+SUM(AN62)</f>
        <v>63.936</v>
      </c>
      <c r="AQ62" s="118" t="n">
        <f aca="false">SUM(AF62:AM62)</f>
        <v>0</v>
      </c>
      <c r="AR62" s="118"/>
      <c r="AS62" s="119" t="s">
        <v>211</v>
      </c>
      <c r="AT62" s="119" t="s">
        <v>162</v>
      </c>
    </row>
    <row r="63" customFormat="false" ht="13.5" hidden="false" customHeight="false" outlineLevel="0" collapsed="false">
      <c r="A63" s="129"/>
      <c r="B63" s="172"/>
      <c r="C63" s="110"/>
      <c r="D63" s="122"/>
      <c r="E63" s="122"/>
      <c r="F63" s="173"/>
      <c r="G63" s="123"/>
      <c r="H63" s="101"/>
      <c r="I63" s="123"/>
      <c r="J63" s="101"/>
      <c r="K63" s="124" t="s">
        <v>224</v>
      </c>
      <c r="L63" s="125"/>
      <c r="M63" s="125"/>
      <c r="N63" s="126" t="n">
        <f aca="false">$C$58</f>
        <v>5</v>
      </c>
      <c r="O63" s="126" t="n">
        <v>4</v>
      </c>
      <c r="P63" s="126" t="n">
        <v>12</v>
      </c>
      <c r="Q63" s="127" t="n">
        <f aca="false">2*($D$58+$E$58)-8*0.05</f>
        <v>4</v>
      </c>
      <c r="R63" s="105" t="str">
        <f aca="false">IF(P63=6,N63*O63*Q63*0.222*1,IF(P63&gt;6,"",IF(P63&lt;6,"")))</f>
        <v/>
      </c>
      <c r="S63" s="106" t="str">
        <f aca="false">IF(P63=8,N63*O63*Q63*0.395*1,IF(P63&gt;8,"",IF(P63&lt;8,"")))</f>
        <v/>
      </c>
      <c r="T63" s="106" t="str">
        <f aca="false">IF(P63=10,N63*O63*Q63*0.617*1,IF(P63&gt;10,"",IF(P63&lt;10,"")))</f>
        <v/>
      </c>
      <c r="U63" s="106" t="n">
        <f aca="false">IF(P63=12,N63*O63*Q63*0.888*1,IF(P63&gt;12,"",IF(P63&lt;12,"")))</f>
        <v>71.04</v>
      </c>
      <c r="V63" s="107" t="str">
        <f aca="false">IF(P63=16,N63*O63*Q63*1.578*1,IF(P63&gt;16,"",IF(P63&lt;16,"")))</f>
        <v/>
      </c>
      <c r="W63" s="106" t="str">
        <f aca="false">IF(P63=20,N63*O63*Q63*2.466*1,IF(P63&gt;20,"",IF(P63&lt;20,"")))</f>
        <v/>
      </c>
      <c r="X63" s="106" t="str">
        <f aca="false">IF(P63=25,N63*O63*Q63*3.853*1,IF(P63&gt;25,"",IF(P63&lt;25,"")))</f>
        <v/>
      </c>
      <c r="Y63" s="108" t="str">
        <f aca="false">IF(P63=32,N63*O63*Q63*6.313*1,IF(P63&gt;32,"",IF(P63&lt;32,"")))</f>
        <v/>
      </c>
      <c r="Z63" s="109"/>
      <c r="AA63" s="110" t="n">
        <f aca="false">IF(AC63&gt;0,N63,"")</f>
        <v>5</v>
      </c>
      <c r="AB63" s="111" t="n">
        <f aca="false">IF(AC63&gt;0,O63,"")</f>
        <v>4</v>
      </c>
      <c r="AC63" s="112" t="n">
        <v>1</v>
      </c>
      <c r="AD63" s="112" t="n">
        <v>50</v>
      </c>
      <c r="AE63" s="113" t="n">
        <f aca="false">IF(AC63&gt;0,P63,"")</f>
        <v>12</v>
      </c>
      <c r="AF63" s="114" t="str">
        <f aca="false">IF(AE63=6,AA63*AB63*AC63*AD63*(AE63/1000)*0.222*1,IF(AE63&gt;6,"",IF(AE63&lt;6,"")))</f>
        <v/>
      </c>
      <c r="AG63" s="107" t="str">
        <f aca="false">IF(AE63=8,AA63*AB63*AC63*AD63*(AE63/1000)*0.395*1,IF(AE63&gt;8,"",IF(AE63&lt;8,"")))</f>
        <v/>
      </c>
      <c r="AH63" s="107" t="str">
        <f aca="false">IF(AE63=10,AA63*AB63*AC63*AD63*(AE63/1000)*0.617*1,IF(AE63&gt;10,"",IF(AE63&lt;10,"")))</f>
        <v/>
      </c>
      <c r="AI63" s="107" t="n">
        <f aca="false">IF(AE63=12,AA63*AB63*AC63*AD63*(AE63/1000)*0.888*1,IF(AE63&gt;12,"",IF(AE63&lt;12,"")))</f>
        <v>10.656</v>
      </c>
      <c r="AJ63" s="107" t="str">
        <f aca="false">IF(AE63=16,AA63*AB63*AC63*AD63*(AE63/1000)*1.578*1,IF(AE63&gt;16,"",IF(AE63&lt;16,"")))</f>
        <v/>
      </c>
      <c r="AK63" s="107" t="str">
        <f aca="false">IF(AE63=20,AA63*AB63*AC63*AD63*(AE63/1000)*2.466*1,IF(AE63&gt;20,"",IF(AE63&lt;20,"")))</f>
        <v/>
      </c>
      <c r="AL63" s="107" t="str">
        <f aca="false">IF(AE63=25,AA63*AB63*AC63*AD63*(AE63/1000)*3.853*1,IF(AE63&gt;25,"",IF(AE63&lt;25,"")))</f>
        <v/>
      </c>
      <c r="AM63" s="115" t="str">
        <f aca="false">IF(AE63=32,AA63*AB63*AC63*AD63*(AE63/1000)*6.313*1,IF(AE63&gt;32,"",IF(AE63&lt;32,"")))</f>
        <v/>
      </c>
      <c r="AN63" s="128"/>
      <c r="AO63" s="117" t="s">
        <v>170</v>
      </c>
      <c r="AP63" s="118" t="n">
        <f aca="false">SUM(R63:Y63)+SUM(AN63)</f>
        <v>71.04</v>
      </c>
      <c r="AQ63" s="118" t="n">
        <f aca="false">SUM(AF63:AM63)</f>
        <v>10.656</v>
      </c>
      <c r="AR63" s="118"/>
      <c r="AS63" s="119" t="s">
        <v>216</v>
      </c>
      <c r="AT63" s="119" t="s">
        <v>173</v>
      </c>
    </row>
    <row r="64" customFormat="false" ht="13.5" hidden="false" customHeight="false" outlineLevel="0" collapsed="false">
      <c r="A64" s="129"/>
      <c r="B64" s="172"/>
      <c r="C64" s="110"/>
      <c r="D64" s="122"/>
      <c r="E64" s="122"/>
      <c r="F64" s="173"/>
      <c r="G64" s="123"/>
      <c r="H64" s="101"/>
      <c r="I64" s="123"/>
      <c r="J64" s="101"/>
      <c r="K64" s="124" t="s">
        <v>243</v>
      </c>
      <c r="L64" s="125"/>
      <c r="M64" s="125"/>
      <c r="N64" s="126" t="n">
        <v>4</v>
      </c>
      <c r="O64" s="126" t="n">
        <v>4</v>
      </c>
      <c r="P64" s="126" t="n">
        <v>16</v>
      </c>
      <c r="Q64" s="127" t="n">
        <f aca="false">MAX(50*16/1000,$F$58-2*0.05+0.15)+50*16/1000</f>
        <v>1.6</v>
      </c>
      <c r="R64" s="105" t="str">
        <f aca="false">IF(P64=6,N64*O64*Q64*0.222*1,IF(P64&gt;6,"",IF(P64&lt;6,"")))</f>
        <v/>
      </c>
      <c r="S64" s="106" t="str">
        <f aca="false">IF(P64=8,N64*O64*Q64*0.395*1,IF(P64&gt;8,"",IF(P64&lt;8,"")))</f>
        <v/>
      </c>
      <c r="T64" s="106" t="str">
        <f aca="false">IF(P64=10,N64*O64*Q64*0.617*1,IF(P64&gt;10,"",IF(P64&lt;10,"")))</f>
        <v/>
      </c>
      <c r="U64" s="106" t="str">
        <f aca="false">IF(P64=12,N64*O64*Q64*0.888*1,IF(P64&gt;12,"",IF(P64&lt;12,"")))</f>
        <v/>
      </c>
      <c r="V64" s="107" t="n">
        <f aca="false">IF(P64=16,N64*O64*Q64*1.578*1,IF(P64&gt;16,"",IF(P64&lt;16,"")))</f>
        <v>40.3968</v>
      </c>
      <c r="W64" s="106" t="str">
        <f aca="false">IF(P64=20,N64*O64*Q64*2.466*1,IF(P64&gt;20,"",IF(P64&lt;20,"")))</f>
        <v/>
      </c>
      <c r="X64" s="106" t="str">
        <f aca="false">IF(P64=25,N64*O64*Q64*3.853*1,IF(P64&gt;25,"",IF(P64&lt;25,"")))</f>
        <v/>
      </c>
      <c r="Y64" s="108" t="str">
        <f aca="false">IF(P64=32,N64*O64*Q64*6.313*1,IF(P64&gt;32,"",IF(P64&lt;32,"")))</f>
        <v/>
      </c>
      <c r="Z64" s="109"/>
      <c r="AA64" s="110" t="str">
        <f aca="false">IF(AC64&gt;0,N64,"")</f>
        <v/>
      </c>
      <c r="AB64" s="111" t="str">
        <f aca="false">IF(AC64&gt;0,O64,"")</f>
        <v/>
      </c>
      <c r="AC64" s="112"/>
      <c r="AD64" s="112"/>
      <c r="AE64" s="113" t="str">
        <f aca="false">IF(AC64&gt;0,P64,"")</f>
        <v/>
      </c>
      <c r="AF64" s="114" t="str">
        <f aca="false">IF(AE64=6,AA64*AB64*AC64*AD64*(AE64/1000)*0.222*1,IF(AE64&gt;6,"",IF(AE64&lt;6,"")))</f>
        <v/>
      </c>
      <c r="AG64" s="107" t="str">
        <f aca="false">IF(AE64=8,AA64*AB64*AC64*AD64*(AE64/1000)*0.395*1,IF(AE64&gt;8,"",IF(AE64&lt;8,"")))</f>
        <v/>
      </c>
      <c r="AH64" s="107" t="str">
        <f aca="false">IF(AE64=10,AA64*AB64*AC64*AD64*(AE64/1000)*0.617*1,IF(AE64&gt;10,"",IF(AE64&lt;10,"")))</f>
        <v/>
      </c>
      <c r="AI64" s="107" t="str">
        <f aca="false">IF(AE64=12,AA64*AB64*AC64*AD64*(AE64/1000)*0.888*1,IF(AE64&gt;12,"",IF(AE64&lt;12,"")))</f>
        <v/>
      </c>
      <c r="AJ64" s="107" t="str">
        <f aca="false">IF(AE64=16,AA64*AB64*AC64*AD64*(AE64/1000)*1.578*1,IF(AE64&gt;16,"",IF(AE64&lt;16,"")))</f>
        <v/>
      </c>
      <c r="AK64" s="107" t="str">
        <f aca="false">IF(AE64=20,AA64*AB64*AC64*AD64*(AE64/1000)*2.466*1,IF(AE64&gt;20,"",IF(AE64&lt;20,"")))</f>
        <v/>
      </c>
      <c r="AL64" s="107" t="str">
        <f aca="false">IF(AE64=25,AA64*AB64*AC64*AD64*(AE64/1000)*3.853*1,IF(AE64&gt;25,"",IF(AE64&lt;25,"")))</f>
        <v/>
      </c>
      <c r="AM64" s="115" t="str">
        <f aca="false">IF(AE64=32,AA64*AB64*AC64*AD64*(AE64/1000)*6.313*1,IF(AE64&gt;32,"",IF(AE64&lt;32,"")))</f>
        <v/>
      </c>
      <c r="AN64" s="128"/>
      <c r="AO64" s="117" t="s">
        <v>170</v>
      </c>
      <c r="AP64" s="118" t="n">
        <f aca="false">SUM(R64:Y64)+SUM(AN64)</f>
        <v>40.3968</v>
      </c>
      <c r="AQ64" s="118" t="n">
        <f aca="false">SUM(AF64:AM64)</f>
        <v>0</v>
      </c>
      <c r="AR64" s="118"/>
      <c r="AS64" s="119" t="s">
        <v>218</v>
      </c>
      <c r="AT64" s="119" t="s">
        <v>173</v>
      </c>
    </row>
    <row r="65" customFormat="false" ht="13.5" hidden="false" customHeight="false" outlineLevel="0" collapsed="false">
      <c r="A65" s="129"/>
      <c r="B65" s="172"/>
      <c r="C65" s="110"/>
      <c r="D65" s="122"/>
      <c r="E65" s="122"/>
      <c r="F65" s="173"/>
      <c r="G65" s="123"/>
      <c r="H65" s="101"/>
      <c r="I65" s="123"/>
      <c r="J65" s="101"/>
      <c r="K65" s="124" t="s">
        <v>244</v>
      </c>
      <c r="L65" s="125"/>
      <c r="M65" s="125"/>
      <c r="N65" s="126" t="n">
        <v>4</v>
      </c>
      <c r="O65" s="126" t="n">
        <v>2</v>
      </c>
      <c r="P65" s="126" t="n">
        <v>12</v>
      </c>
      <c r="Q65" s="127" t="n">
        <f aca="false">MAX(50*12/1000,$F$58-2*0.05+0.15)+50*12/1000</f>
        <v>1.2</v>
      </c>
      <c r="R65" s="105" t="str">
        <f aca="false">IF(P65=6,N65*O65*Q65*0.222*1,IF(P65&gt;6,"",IF(P65&lt;6,"")))</f>
        <v/>
      </c>
      <c r="S65" s="106" t="str">
        <f aca="false">IF(P65=8,N65*O65*Q65*0.395*1,IF(P65&gt;8,"",IF(P65&lt;8,"")))</f>
        <v/>
      </c>
      <c r="T65" s="106" t="str">
        <f aca="false">IF(P65=10,N65*O65*Q65*0.617*1,IF(P65&gt;10,"",IF(P65&lt;10,"")))</f>
        <v/>
      </c>
      <c r="U65" s="106" t="n">
        <f aca="false">IF(P65=12,N65*O65*Q65*0.888*1,IF(P65&gt;12,"",IF(P65&lt;12,"")))</f>
        <v>8.5248</v>
      </c>
      <c r="V65" s="107" t="str">
        <f aca="false">IF(P65=16,N65*O65*Q65*1.578*1,IF(P65&gt;16,"",IF(P65&lt;16,"")))</f>
        <v/>
      </c>
      <c r="W65" s="106" t="str">
        <f aca="false">IF(P65=20,N65*O65*Q65*2.466*1,IF(P65&gt;20,"",IF(P65&lt;20,"")))</f>
        <v/>
      </c>
      <c r="X65" s="106" t="str">
        <f aca="false">IF(P65=25,N65*O65*Q65*3.853*1,IF(P65&gt;25,"",IF(P65&lt;25,"")))</f>
        <v/>
      </c>
      <c r="Y65" s="108" t="str">
        <f aca="false">IF(P65=32,N65*O65*Q65*6.313*1,IF(P65&gt;32,"",IF(P65&lt;32,"")))</f>
        <v/>
      </c>
      <c r="Z65" s="109"/>
      <c r="AA65" s="110" t="str">
        <f aca="false">IF(AC65&gt;0,N65,"")</f>
        <v/>
      </c>
      <c r="AB65" s="111" t="str">
        <f aca="false">IF(AC65&gt;0,O65,"")</f>
        <v/>
      </c>
      <c r="AC65" s="112"/>
      <c r="AD65" s="112"/>
      <c r="AE65" s="113" t="str">
        <f aca="false">IF(AC65&gt;0,P65,"")</f>
        <v/>
      </c>
      <c r="AF65" s="114" t="str">
        <f aca="false">IF(AE65=6,AA65*AB65*AC65*AD65*(AE65/1000)*0.222*1,IF(AE65&gt;6,"",IF(AE65&lt;6,"")))</f>
        <v/>
      </c>
      <c r="AG65" s="107" t="str">
        <f aca="false">IF(AE65=8,AA65*AB65*AC65*AD65*(AE65/1000)*0.395*1,IF(AE65&gt;8,"",IF(AE65&lt;8,"")))</f>
        <v/>
      </c>
      <c r="AH65" s="107" t="str">
        <f aca="false">IF(AE65=10,AA65*AB65*AC65*AD65*(AE65/1000)*0.617*1,IF(AE65&gt;10,"",IF(AE65&lt;10,"")))</f>
        <v/>
      </c>
      <c r="AI65" s="107" t="str">
        <f aca="false">IF(AE65=12,AA65*AB65*AC65*AD65*(AE65/1000)*0.888*1,IF(AE65&gt;12,"",IF(AE65&lt;12,"")))</f>
        <v/>
      </c>
      <c r="AJ65" s="107" t="str">
        <f aca="false">IF(AE65=16,AA65*AB65*AC65*AD65*(AE65/1000)*1.578*1,IF(AE65&gt;16,"",IF(AE65&lt;16,"")))</f>
        <v/>
      </c>
      <c r="AK65" s="107" t="str">
        <f aca="false">IF(AE65=20,AA65*AB65*AC65*AD65*(AE65/1000)*2.466*1,IF(AE65&gt;20,"",IF(AE65&lt;20,"")))</f>
        <v/>
      </c>
      <c r="AL65" s="107" t="str">
        <f aca="false">IF(AE65=25,AA65*AB65*AC65*AD65*(AE65/1000)*3.853*1,IF(AE65&gt;25,"",IF(AE65&lt;25,"")))</f>
        <v/>
      </c>
      <c r="AM65" s="115" t="str">
        <f aca="false">IF(AE65=32,AA65*AB65*AC65*AD65*(AE65/1000)*6.313*1,IF(AE65&gt;32,"",IF(AE65&lt;32,"")))</f>
        <v/>
      </c>
      <c r="AN65" s="128"/>
      <c r="AO65" s="117" t="s">
        <v>170</v>
      </c>
      <c r="AP65" s="118" t="n">
        <f aca="false">SUM(R65:Y65)+SUM(AN65)</f>
        <v>8.5248</v>
      </c>
      <c r="AQ65" s="118" t="n">
        <f aca="false">SUM(AF65:AM65)</f>
        <v>0</v>
      </c>
      <c r="AR65" s="118"/>
      <c r="AS65" s="119" t="s">
        <v>218</v>
      </c>
      <c r="AT65" s="119" t="s">
        <v>173</v>
      </c>
    </row>
    <row r="66" customFormat="false" ht="13.5" hidden="false" customHeight="false" outlineLevel="0" collapsed="false">
      <c r="A66" s="129"/>
      <c r="B66" s="172"/>
      <c r="C66" s="110"/>
      <c r="D66" s="122"/>
      <c r="E66" s="122"/>
      <c r="F66" s="173"/>
      <c r="G66" s="123"/>
      <c r="H66" s="101"/>
      <c r="I66" s="123"/>
      <c r="J66" s="101"/>
      <c r="K66" s="124" t="s">
        <v>245</v>
      </c>
      <c r="L66" s="125"/>
      <c r="M66" s="125"/>
      <c r="N66" s="126" t="n">
        <v>1</v>
      </c>
      <c r="O66" s="126" t="n">
        <v>4</v>
      </c>
      <c r="P66" s="126" t="n">
        <v>16</v>
      </c>
      <c r="Q66" s="127" t="n">
        <f aca="false">MAX(50*16/1000,$F$58-2*0.05+0.15)+50*16/1000</f>
        <v>1.6</v>
      </c>
      <c r="R66" s="105" t="str">
        <f aca="false">IF(P66=6,N66*O66*Q66*0.222*1,IF(P66&gt;6,"",IF(P66&lt;6,"")))</f>
        <v/>
      </c>
      <c r="S66" s="106" t="str">
        <f aca="false">IF(P66=8,N66*O66*Q66*0.395*1,IF(P66&gt;8,"",IF(P66&lt;8,"")))</f>
        <v/>
      </c>
      <c r="T66" s="106" t="str">
        <f aca="false">IF(P66=10,N66*O66*Q66*0.617*1,IF(P66&gt;10,"",IF(P66&lt;10,"")))</f>
        <v/>
      </c>
      <c r="U66" s="106" t="str">
        <f aca="false">IF(P66=12,N66*O66*Q66*0.888*1,IF(P66&gt;12,"",IF(P66&lt;12,"")))</f>
        <v/>
      </c>
      <c r="V66" s="107" t="n">
        <f aca="false">IF(P66=16,N66*O66*Q66*1.578*1,IF(P66&gt;16,"",IF(P66&lt;16,"")))</f>
        <v>10.0992</v>
      </c>
      <c r="W66" s="106" t="str">
        <f aca="false">IF(P66=20,N66*O66*Q66*2.466*1,IF(P66&gt;20,"",IF(P66&lt;20,"")))</f>
        <v/>
      </c>
      <c r="X66" s="106" t="str">
        <f aca="false">IF(P66=25,N66*O66*Q66*3.853*1,IF(P66&gt;25,"",IF(P66&lt;25,"")))</f>
        <v/>
      </c>
      <c r="Y66" s="108" t="str">
        <f aca="false">IF(P66=32,N66*O66*Q66*6.313*1,IF(P66&gt;32,"",IF(P66&lt;32,"")))</f>
        <v/>
      </c>
      <c r="Z66" s="109"/>
      <c r="AA66" s="110" t="str">
        <f aca="false">IF(AC66&gt;0,N66,"")</f>
        <v/>
      </c>
      <c r="AB66" s="111" t="str">
        <f aca="false">IF(AC66&gt;0,O66,"")</f>
        <v/>
      </c>
      <c r="AC66" s="112"/>
      <c r="AD66" s="112"/>
      <c r="AE66" s="113" t="str">
        <f aca="false">IF(AC66&gt;0,P66,"")</f>
        <v/>
      </c>
      <c r="AF66" s="114" t="str">
        <f aca="false">IF(AE66=6,AA66*AB66*AC66*AD66*(AE66/1000)*0.222*1,IF(AE66&gt;6,"",IF(AE66&lt;6,"")))</f>
        <v/>
      </c>
      <c r="AG66" s="107" t="str">
        <f aca="false">IF(AE66=8,AA66*AB66*AC66*AD66*(AE66/1000)*0.395*1,IF(AE66&gt;8,"",IF(AE66&lt;8,"")))</f>
        <v/>
      </c>
      <c r="AH66" s="107" t="str">
        <f aca="false">IF(AE66=10,AA66*AB66*AC66*AD66*(AE66/1000)*0.617*1,IF(AE66&gt;10,"",IF(AE66&lt;10,"")))</f>
        <v/>
      </c>
      <c r="AI66" s="107" t="str">
        <f aca="false">IF(AE66=12,AA66*AB66*AC66*AD66*(AE66/1000)*0.888*1,IF(AE66&gt;12,"",IF(AE66&lt;12,"")))</f>
        <v/>
      </c>
      <c r="AJ66" s="107" t="str">
        <f aca="false">IF(AE66=16,AA66*AB66*AC66*AD66*(AE66/1000)*1.578*1,IF(AE66&gt;16,"",IF(AE66&lt;16,"")))</f>
        <v/>
      </c>
      <c r="AK66" s="107" t="str">
        <f aca="false">IF(AE66=20,AA66*AB66*AC66*AD66*(AE66/1000)*2.466*1,IF(AE66&gt;20,"",IF(AE66&lt;20,"")))</f>
        <v/>
      </c>
      <c r="AL66" s="107" t="str">
        <f aca="false">IF(AE66=25,AA66*AB66*AC66*AD66*(AE66/1000)*3.853*1,IF(AE66&gt;25,"",IF(AE66&lt;25,"")))</f>
        <v/>
      </c>
      <c r="AM66" s="115" t="str">
        <f aca="false">IF(AE66=32,AA66*AB66*AC66*AD66*(AE66/1000)*6.313*1,IF(AE66&gt;32,"",IF(AE66&lt;32,"")))</f>
        <v/>
      </c>
      <c r="AN66" s="128"/>
      <c r="AO66" s="117" t="s">
        <v>170</v>
      </c>
      <c r="AP66" s="118" t="n">
        <f aca="false">SUM(R66:Y66)+SUM(AN66)</f>
        <v>10.0992</v>
      </c>
      <c r="AQ66" s="118" t="n">
        <f aca="false">SUM(AF66:AM66)</f>
        <v>0</v>
      </c>
      <c r="AR66" s="118"/>
      <c r="AS66" s="119" t="s">
        <v>218</v>
      </c>
      <c r="AT66" s="119" t="s">
        <v>173</v>
      </c>
    </row>
    <row r="67" s="116" customFormat="true" ht="13.5" hidden="false" customHeight="false" outlineLevel="0" collapsed="false">
      <c r="A67" s="129"/>
      <c r="B67" s="130"/>
      <c r="C67" s="110"/>
      <c r="D67" s="122"/>
      <c r="E67" s="122"/>
      <c r="F67" s="122"/>
      <c r="G67" s="123"/>
      <c r="H67" s="101"/>
      <c r="I67" s="123"/>
      <c r="J67" s="101"/>
      <c r="K67" s="124"/>
      <c r="L67" s="125"/>
      <c r="M67" s="125"/>
      <c r="N67" s="126"/>
      <c r="O67" s="126"/>
      <c r="P67" s="126"/>
      <c r="Q67" s="127"/>
      <c r="R67" s="105"/>
      <c r="S67" s="106"/>
      <c r="T67" s="106"/>
      <c r="U67" s="106"/>
      <c r="V67" s="107"/>
      <c r="W67" s="106"/>
      <c r="X67" s="106"/>
      <c r="Y67" s="108"/>
      <c r="Z67" s="109"/>
      <c r="AA67" s="110"/>
      <c r="AB67" s="111"/>
      <c r="AC67" s="112"/>
      <c r="AD67" s="112"/>
      <c r="AE67" s="113"/>
      <c r="AF67" s="114"/>
      <c r="AG67" s="107"/>
      <c r="AH67" s="107"/>
      <c r="AI67" s="107"/>
      <c r="AJ67" s="107"/>
      <c r="AK67" s="107"/>
      <c r="AL67" s="107"/>
      <c r="AM67" s="115"/>
      <c r="AO67" s="117"/>
      <c r="AP67" s="118"/>
      <c r="AQ67" s="118"/>
      <c r="AR67" s="118"/>
      <c r="AS67" s="119"/>
      <c r="AT67" s="119"/>
    </row>
    <row r="68" customFormat="false" ht="13.5" hidden="false" customHeight="false" outlineLevel="0" collapsed="false">
      <c r="A68" s="120"/>
      <c r="B68" s="121" t="s">
        <v>246</v>
      </c>
      <c r="C68" s="110" t="n">
        <v>4</v>
      </c>
      <c r="D68" s="122" t="n">
        <v>1.7</v>
      </c>
      <c r="E68" s="122" t="n">
        <v>1.2</v>
      </c>
      <c r="F68" s="122" t="n">
        <v>0.5</v>
      </c>
      <c r="G68" s="123" t="n">
        <f aca="false">C68*D68*E68*F68</f>
        <v>4.08</v>
      </c>
      <c r="H68" s="101"/>
      <c r="I68" s="123" t="n">
        <f aca="false">2*(D68+E68)*F68*C68</f>
        <v>11.6</v>
      </c>
      <c r="J68" s="101"/>
      <c r="K68" s="124"/>
      <c r="L68" s="125"/>
      <c r="M68" s="125"/>
      <c r="N68" s="126"/>
      <c r="O68" s="126"/>
      <c r="P68" s="126"/>
      <c r="Q68" s="127"/>
      <c r="R68" s="105" t="str">
        <f aca="false">IF(P68=6,N68*O68*Q68*0.222*1,IF(P68&gt;6,"",IF(P68&lt;6,"")))</f>
        <v/>
      </c>
      <c r="S68" s="106" t="str">
        <f aca="false">IF(P68=8,N68*O68*Q68*0.395*1,IF(P68&gt;8,"",IF(P68&lt;8,"")))</f>
        <v/>
      </c>
      <c r="T68" s="106" t="str">
        <f aca="false">IF(P68=10,N68*O68*Q68*0.617*1,IF(P68&gt;10,"",IF(P68&lt;10,"")))</f>
        <v/>
      </c>
      <c r="U68" s="106" t="str">
        <f aca="false">IF(P68=12,N68*O68*Q68*0.888*1,IF(P68&gt;12,"",IF(P68&lt;12,"")))</f>
        <v/>
      </c>
      <c r="V68" s="107" t="str">
        <f aca="false">IF(P68=16,N68*O68*Q68*1.578*1,IF(P68&gt;16,"",IF(P68&lt;16,"")))</f>
        <v/>
      </c>
      <c r="W68" s="106" t="str">
        <f aca="false">IF(P68=20,N68*O68*Q68*2.466*1,IF(P68&gt;20,"",IF(P68&lt;20,"")))</f>
        <v/>
      </c>
      <c r="X68" s="106" t="str">
        <f aca="false">IF(P68=25,N68*O68*Q68*3.853*1,IF(P68&gt;25,"",IF(P68&lt;25,"")))</f>
        <v/>
      </c>
      <c r="Y68" s="108" t="str">
        <f aca="false">IF(P68=32,N68*O68*Q68*6.313*1,IF(P68&gt;32,"",IF(P68&lt;32,"")))</f>
        <v/>
      </c>
      <c r="Z68" s="109"/>
      <c r="AA68" s="110" t="str">
        <f aca="false">IF(AC68&gt;0,N68,"")</f>
        <v/>
      </c>
      <c r="AB68" s="111" t="str">
        <f aca="false">IF(AC68&gt;0,O68,"")</f>
        <v/>
      </c>
      <c r="AC68" s="112"/>
      <c r="AD68" s="112"/>
      <c r="AE68" s="113" t="str">
        <f aca="false">IF(AC68&gt;0,P68,"")</f>
        <v/>
      </c>
      <c r="AF68" s="114" t="str">
        <f aca="false">IF(AE68=6,AA68*AB68*AC68*AD68*(AE68/1000)*0.222*1,IF(AE68&gt;6,"",IF(AE68&lt;6,"")))</f>
        <v/>
      </c>
      <c r="AG68" s="107" t="str">
        <f aca="false">IF(AE68=8,AA68*AB68*AC68*AD68*(AE68/1000)*0.395*1,IF(AE68&gt;8,"",IF(AE68&lt;8,"")))</f>
        <v/>
      </c>
      <c r="AH68" s="107" t="str">
        <f aca="false">IF(AE68=10,AA68*AB68*AC68*AD68*(AE68/1000)*0.617*1,IF(AE68&gt;10,"",IF(AE68&lt;10,"")))</f>
        <v/>
      </c>
      <c r="AI68" s="107" t="str">
        <f aca="false">IF(AE68=12,AA68*AB68*AC68*AD68*(AE68/1000)*0.888*1,IF(AE68&gt;12,"",IF(AE68&lt;12,"")))</f>
        <v/>
      </c>
      <c r="AJ68" s="107" t="str">
        <f aca="false">IF(AE68=16,AA68*AB68*AC68*AD68*(AE68/1000)*1.578*1,IF(AE68&gt;16,"",IF(AE68&lt;16,"")))</f>
        <v/>
      </c>
      <c r="AK68" s="107" t="str">
        <f aca="false">IF(AE68=20,AA68*AB68*AC68*AD68*(AE68/1000)*2.466*1,IF(AE68&gt;20,"",IF(AE68&lt;20,"")))</f>
        <v/>
      </c>
      <c r="AL68" s="107" t="str">
        <f aca="false">IF(AE68=25,AA68*AB68*AC68*AD68*(AE68/1000)*3.853*1,IF(AE68&gt;25,"",IF(AE68&lt;25,"")))</f>
        <v/>
      </c>
      <c r="AM68" s="115" t="str">
        <f aca="false">IF(AE68=32,AA68*AB68*AC68*AD68*(AE68/1000)*6.313*1,IF(AE68&gt;32,"",IF(AE68&lt;32,"")))</f>
        <v/>
      </c>
      <c r="AN68" s="128"/>
      <c r="AO68" s="117" t="s">
        <v>170</v>
      </c>
      <c r="AP68" s="118" t="n">
        <f aca="false">SUM(R68:Y68)+SUM(AN68)</f>
        <v>0</v>
      </c>
      <c r="AQ68" s="118" t="n">
        <f aca="false">SUM(AF68:AM68)</f>
        <v>0</v>
      </c>
      <c r="AR68" s="118" t="n">
        <v>4.08</v>
      </c>
      <c r="AS68" s="119" t="s">
        <v>247</v>
      </c>
      <c r="AT68" s="119" t="s">
        <v>209</v>
      </c>
    </row>
    <row r="69" customFormat="false" ht="13.5" hidden="false" customHeight="false" outlineLevel="0" collapsed="false">
      <c r="A69" s="129"/>
      <c r="B69" s="172"/>
      <c r="C69" s="110"/>
      <c r="D69" s="122"/>
      <c r="E69" s="122"/>
      <c r="F69" s="173"/>
      <c r="G69" s="123"/>
      <c r="H69" s="101"/>
      <c r="I69" s="123"/>
      <c r="J69" s="101"/>
      <c r="K69" s="124" t="s">
        <v>210</v>
      </c>
      <c r="L69" s="125" t="n">
        <f aca="false">$E$68-2*0.05</f>
        <v>1.1</v>
      </c>
      <c r="M69" s="125" t="n">
        <v>0.125</v>
      </c>
      <c r="N69" s="126" t="n">
        <f aca="false">$C$68</f>
        <v>4</v>
      </c>
      <c r="O69" s="126" t="n">
        <f aca="false">CEILING(L69/M69,1)+1</f>
        <v>10</v>
      </c>
      <c r="P69" s="126" t="n">
        <v>16</v>
      </c>
      <c r="Q69" s="127" t="n">
        <f aca="false">$D$68-2*0.05+2*($F$68-2*0.05)</f>
        <v>2.4</v>
      </c>
      <c r="R69" s="105" t="str">
        <f aca="false">IF(P69=6,N69*O69*Q69*0.222*1,IF(P69&gt;6,"",IF(P69&lt;6,"")))</f>
        <v/>
      </c>
      <c r="S69" s="106" t="str">
        <f aca="false">IF(P69=8,N69*O69*Q69*0.395*1,IF(P69&gt;8,"",IF(P69&lt;8,"")))</f>
        <v/>
      </c>
      <c r="T69" s="106" t="str">
        <f aca="false">IF(P69=10,N69*O69*Q69*0.617*1,IF(P69&gt;10,"",IF(P69&lt;10,"")))</f>
        <v/>
      </c>
      <c r="U69" s="106" t="str">
        <f aca="false">IF(P69=12,N69*O69*Q69*0.888*1,IF(P69&gt;12,"",IF(P69&lt;12,"")))</f>
        <v/>
      </c>
      <c r="V69" s="107" t="n">
        <f aca="false">IF(P69=16,N69*O69*Q69*1.578*1,IF(P69&gt;16,"",IF(P69&lt;16,"")))</f>
        <v>151.488</v>
      </c>
      <c r="W69" s="106" t="str">
        <f aca="false">IF(P69=20,N69*O69*Q69*2.466*1,IF(P69&gt;20,"",IF(P69&lt;20,"")))</f>
        <v/>
      </c>
      <c r="X69" s="106" t="str">
        <f aca="false">IF(P69=25,N69*O69*Q69*3.853*1,IF(P69&gt;25,"",IF(P69&lt;25,"")))</f>
        <v/>
      </c>
      <c r="Y69" s="108" t="str">
        <f aca="false">IF(P69=32,N69*O69*Q69*6.313*1,IF(P69&gt;32,"",IF(P69&lt;32,"")))</f>
        <v/>
      </c>
      <c r="Z69" s="109"/>
      <c r="AA69" s="110" t="str">
        <f aca="false">IF(AC69&gt;0,N69,"")</f>
        <v/>
      </c>
      <c r="AB69" s="111" t="str">
        <f aca="false">IF(AC69&gt;0,O69,"")</f>
        <v/>
      </c>
      <c r="AC69" s="112"/>
      <c r="AD69" s="112"/>
      <c r="AE69" s="113" t="str">
        <f aca="false">IF(AC69&gt;0,P69,"")</f>
        <v/>
      </c>
      <c r="AF69" s="114" t="str">
        <f aca="false">IF(AE69=6,AA69*AB69*AC69*AD69*(AE69/1000)*0.222*1,IF(AE69&gt;6,"",IF(AE69&lt;6,"")))</f>
        <v/>
      </c>
      <c r="AG69" s="107" t="str">
        <f aca="false">IF(AE69=8,AA69*AB69*AC69*AD69*(AE69/1000)*0.395*1,IF(AE69&gt;8,"",IF(AE69&lt;8,"")))</f>
        <v/>
      </c>
      <c r="AH69" s="107" t="str">
        <f aca="false">IF(AE69=10,AA69*AB69*AC69*AD69*(AE69/1000)*0.617*1,IF(AE69&gt;10,"",IF(AE69&lt;10,"")))</f>
        <v/>
      </c>
      <c r="AI69" s="107" t="str">
        <f aca="false">IF(AE69=12,AA69*AB69*AC69*AD69*(AE69/1000)*0.888*1,IF(AE69&gt;12,"",IF(AE69&lt;12,"")))</f>
        <v/>
      </c>
      <c r="AJ69" s="107" t="str">
        <f aca="false">IF(AE69=16,AA69*AB69*AC69*AD69*(AE69/1000)*1.578*1,IF(AE69&gt;16,"",IF(AE69&lt;16,"")))</f>
        <v/>
      </c>
      <c r="AK69" s="107" t="str">
        <f aca="false">IF(AE69=20,AA69*AB69*AC69*AD69*(AE69/1000)*2.466*1,IF(AE69&gt;20,"",IF(AE69&lt;20,"")))</f>
        <v/>
      </c>
      <c r="AL69" s="107" t="str">
        <f aca="false">IF(AE69=25,AA69*AB69*AC69*AD69*(AE69/1000)*3.853*1,IF(AE69&gt;25,"",IF(AE69&lt;25,"")))</f>
        <v/>
      </c>
      <c r="AM69" s="115" t="str">
        <f aca="false">IF(AE69=32,AA69*AB69*AC69*AD69*(AE69/1000)*6.313*1,IF(AE69&gt;32,"",IF(AE69&lt;32,"")))</f>
        <v/>
      </c>
      <c r="AN69" s="128"/>
      <c r="AO69" s="117" t="s">
        <v>170</v>
      </c>
      <c r="AP69" s="118" t="n">
        <f aca="false">SUM(R69:Y69)+SUM(AN69)</f>
        <v>151.488</v>
      </c>
      <c r="AQ69" s="118" t="n">
        <f aca="false">SUM(AF69:AM69)</f>
        <v>0</v>
      </c>
      <c r="AR69" s="118"/>
      <c r="AS69" s="119" t="s">
        <v>211</v>
      </c>
      <c r="AT69" s="119" t="s">
        <v>162</v>
      </c>
    </row>
    <row r="70" customFormat="false" ht="13.5" hidden="false" customHeight="false" outlineLevel="0" collapsed="false">
      <c r="A70" s="129"/>
      <c r="B70" s="172"/>
      <c r="C70" s="110"/>
      <c r="D70" s="122"/>
      <c r="E70" s="122"/>
      <c r="F70" s="173"/>
      <c r="G70" s="123"/>
      <c r="H70" s="101"/>
      <c r="I70" s="123"/>
      <c r="J70" s="101"/>
      <c r="K70" s="124" t="s">
        <v>212</v>
      </c>
      <c r="L70" s="125" t="n">
        <f aca="false">$D$68-2*0.05</f>
        <v>1.6</v>
      </c>
      <c r="M70" s="125" t="n">
        <v>0.125</v>
      </c>
      <c r="N70" s="126" t="n">
        <f aca="false">$C$68</f>
        <v>4</v>
      </c>
      <c r="O70" s="126" t="n">
        <f aca="false">CEILING(L70/M70,1)+1</f>
        <v>14</v>
      </c>
      <c r="P70" s="126" t="n">
        <v>16</v>
      </c>
      <c r="Q70" s="127" t="n">
        <f aca="false">$E$68-2*0.05+2*($F$68-2*0.05)</f>
        <v>1.9</v>
      </c>
      <c r="R70" s="105" t="str">
        <f aca="false">IF(P70=6,N70*O70*Q70*0.222*1,IF(P70&gt;6,"",IF(P70&lt;6,"")))</f>
        <v/>
      </c>
      <c r="S70" s="106" t="str">
        <f aca="false">IF(P70=8,N70*O70*Q70*0.395*1,IF(P70&gt;8,"",IF(P70&lt;8,"")))</f>
        <v/>
      </c>
      <c r="T70" s="106" t="str">
        <f aca="false">IF(P70=10,N70*O70*Q70*0.617*1,IF(P70&gt;10,"",IF(P70&lt;10,"")))</f>
        <v/>
      </c>
      <c r="U70" s="106" t="str">
        <f aca="false">IF(P70=12,N70*O70*Q70*0.888*1,IF(P70&gt;12,"",IF(P70&lt;12,"")))</f>
        <v/>
      </c>
      <c r="V70" s="107" t="n">
        <f aca="false">IF(P70=16,N70*O70*Q70*1.578*1,IF(P70&gt;16,"",IF(P70&lt;16,"")))</f>
        <v>167.8992</v>
      </c>
      <c r="W70" s="106" t="str">
        <f aca="false">IF(P70=20,N70*O70*Q70*2.466*1,IF(P70&gt;20,"",IF(P70&lt;20,"")))</f>
        <v/>
      </c>
      <c r="X70" s="106" t="str">
        <f aca="false">IF(P70=25,N70*O70*Q70*3.853*1,IF(P70&gt;25,"",IF(P70&lt;25,"")))</f>
        <v/>
      </c>
      <c r="Y70" s="108" t="str">
        <f aca="false">IF(P70=32,N70*O70*Q70*6.313*1,IF(P70&gt;32,"",IF(P70&lt;32,"")))</f>
        <v/>
      </c>
      <c r="Z70" s="109"/>
      <c r="AA70" s="110" t="str">
        <f aca="false">IF(AC70&gt;0,N70,"")</f>
        <v/>
      </c>
      <c r="AB70" s="111" t="str">
        <f aca="false">IF(AC70&gt;0,O70,"")</f>
        <v/>
      </c>
      <c r="AC70" s="112"/>
      <c r="AD70" s="112"/>
      <c r="AE70" s="113" t="str">
        <f aca="false">IF(AC70&gt;0,P70,"")</f>
        <v/>
      </c>
      <c r="AF70" s="114" t="str">
        <f aca="false">IF(AE70=6,AA70*AB70*AC70*AD70*(AE70/1000)*0.222*1,IF(AE70&gt;6,"",IF(AE70&lt;6,"")))</f>
        <v/>
      </c>
      <c r="AG70" s="107" t="str">
        <f aca="false">IF(AE70=8,AA70*AB70*AC70*AD70*(AE70/1000)*0.395*1,IF(AE70&gt;8,"",IF(AE70&lt;8,"")))</f>
        <v/>
      </c>
      <c r="AH70" s="107" t="str">
        <f aca="false">IF(AE70=10,AA70*AB70*AC70*AD70*(AE70/1000)*0.617*1,IF(AE70&gt;10,"",IF(AE70&lt;10,"")))</f>
        <v/>
      </c>
      <c r="AI70" s="107" t="str">
        <f aca="false">IF(AE70=12,AA70*AB70*AC70*AD70*(AE70/1000)*0.888*1,IF(AE70&gt;12,"",IF(AE70&lt;12,"")))</f>
        <v/>
      </c>
      <c r="AJ70" s="107" t="str">
        <f aca="false">IF(AE70=16,AA70*AB70*AC70*AD70*(AE70/1000)*1.578*1,IF(AE70&gt;16,"",IF(AE70&lt;16,"")))</f>
        <v/>
      </c>
      <c r="AK70" s="107" t="str">
        <f aca="false">IF(AE70=20,AA70*AB70*AC70*AD70*(AE70/1000)*2.466*1,IF(AE70&gt;20,"",IF(AE70&lt;20,"")))</f>
        <v/>
      </c>
      <c r="AL70" s="107" t="str">
        <f aca="false">IF(AE70=25,AA70*AB70*AC70*AD70*(AE70/1000)*3.853*1,IF(AE70&gt;25,"",IF(AE70&lt;25,"")))</f>
        <v/>
      </c>
      <c r="AM70" s="115" t="str">
        <f aca="false">IF(AE70=32,AA70*AB70*AC70*AD70*(AE70/1000)*6.313*1,IF(AE70&gt;32,"",IF(AE70&lt;32,"")))</f>
        <v/>
      </c>
      <c r="AN70" s="128"/>
      <c r="AO70" s="117" t="s">
        <v>170</v>
      </c>
      <c r="AP70" s="118" t="n">
        <f aca="false">SUM(R70:Y70)+SUM(AN70)</f>
        <v>167.8992</v>
      </c>
      <c r="AQ70" s="118" t="n">
        <f aca="false">SUM(AF70:AM70)</f>
        <v>0</v>
      </c>
      <c r="AR70" s="118"/>
      <c r="AS70" s="119" t="s">
        <v>211</v>
      </c>
      <c r="AT70" s="119" t="s">
        <v>162</v>
      </c>
    </row>
    <row r="71" customFormat="false" ht="13.5" hidden="false" customHeight="false" outlineLevel="0" collapsed="false">
      <c r="A71" s="129"/>
      <c r="B71" s="172"/>
      <c r="C71" s="110"/>
      <c r="D71" s="122"/>
      <c r="E71" s="122"/>
      <c r="F71" s="173"/>
      <c r="G71" s="123"/>
      <c r="H71" s="101"/>
      <c r="I71" s="123"/>
      <c r="J71" s="101"/>
      <c r="K71" s="124" t="s">
        <v>248</v>
      </c>
      <c r="L71" s="125" t="n">
        <f aca="false">$E$68-2*0.05</f>
        <v>1.1</v>
      </c>
      <c r="M71" s="125" t="n">
        <v>0.2</v>
      </c>
      <c r="N71" s="126" t="n">
        <f aca="false">$C$68</f>
        <v>4</v>
      </c>
      <c r="O71" s="126" t="n">
        <f aca="false">CEILING(L71/M71,1)+1</f>
        <v>7</v>
      </c>
      <c r="P71" s="126" t="n">
        <v>16</v>
      </c>
      <c r="Q71" s="127" t="n">
        <f aca="false">$D$68-2*0.05+2*($F$68-2*0.05)</f>
        <v>2.4</v>
      </c>
      <c r="R71" s="105" t="str">
        <f aca="false">IF(P71=6,N71*O71*Q71*0.222*1,IF(P71&gt;6,"",IF(P71&lt;6,"")))</f>
        <v/>
      </c>
      <c r="S71" s="106" t="str">
        <f aca="false">IF(P71=8,N71*O71*Q71*0.395*1,IF(P71&gt;8,"",IF(P71&lt;8,"")))</f>
        <v/>
      </c>
      <c r="T71" s="106" t="str">
        <f aca="false">IF(P71=10,N71*O71*Q71*0.617*1,IF(P71&gt;10,"",IF(P71&lt;10,"")))</f>
        <v/>
      </c>
      <c r="U71" s="106" t="str">
        <f aca="false">IF(P71=12,N71*O71*Q71*0.888*1,IF(P71&gt;12,"",IF(P71&lt;12,"")))</f>
        <v/>
      </c>
      <c r="V71" s="107" t="n">
        <f aca="false">IF(P71=16,N71*O71*Q71*1.578*1,IF(P71&gt;16,"",IF(P71&lt;16,"")))</f>
        <v>106.0416</v>
      </c>
      <c r="W71" s="106" t="str">
        <f aca="false">IF(P71=20,N71*O71*Q71*2.466*1,IF(P71&gt;20,"",IF(P71&lt;20,"")))</f>
        <v/>
      </c>
      <c r="X71" s="106" t="str">
        <f aca="false">IF(P71=25,N71*O71*Q71*3.853*1,IF(P71&gt;25,"",IF(P71&lt;25,"")))</f>
        <v/>
      </c>
      <c r="Y71" s="108" t="str">
        <f aca="false">IF(P71=32,N71*O71*Q71*6.313*1,IF(P71&gt;32,"",IF(P71&lt;32,"")))</f>
        <v/>
      </c>
      <c r="Z71" s="109"/>
      <c r="AA71" s="110" t="str">
        <f aca="false">IF(AC71&gt;0,N71,"")</f>
        <v/>
      </c>
      <c r="AB71" s="111" t="str">
        <f aca="false">IF(AC71&gt;0,O71,"")</f>
        <v/>
      </c>
      <c r="AC71" s="112"/>
      <c r="AD71" s="112"/>
      <c r="AE71" s="113" t="str">
        <f aca="false">IF(AC71&gt;0,P71,"")</f>
        <v/>
      </c>
      <c r="AF71" s="114" t="str">
        <f aca="false">IF(AE71=6,AA71*AB71*AC71*AD71*(AE71/1000)*0.222*1,IF(AE71&gt;6,"",IF(AE71&lt;6,"")))</f>
        <v/>
      </c>
      <c r="AG71" s="107" t="str">
        <f aca="false">IF(AE71=8,AA71*AB71*AC71*AD71*(AE71/1000)*0.395*1,IF(AE71&gt;8,"",IF(AE71&lt;8,"")))</f>
        <v/>
      </c>
      <c r="AH71" s="107" t="str">
        <f aca="false">IF(AE71=10,AA71*AB71*AC71*AD71*(AE71/1000)*0.617*1,IF(AE71&gt;10,"",IF(AE71&lt;10,"")))</f>
        <v/>
      </c>
      <c r="AI71" s="107" t="str">
        <f aca="false">IF(AE71=12,AA71*AB71*AC71*AD71*(AE71/1000)*0.888*1,IF(AE71&gt;12,"",IF(AE71&lt;12,"")))</f>
        <v/>
      </c>
      <c r="AJ71" s="107" t="str">
        <f aca="false">IF(AE71=16,AA71*AB71*AC71*AD71*(AE71/1000)*1.578*1,IF(AE71&gt;16,"",IF(AE71&lt;16,"")))</f>
        <v/>
      </c>
      <c r="AK71" s="107" t="str">
        <f aca="false">IF(AE71=20,AA71*AB71*AC71*AD71*(AE71/1000)*2.466*1,IF(AE71&gt;20,"",IF(AE71&lt;20,"")))</f>
        <v/>
      </c>
      <c r="AL71" s="107" t="str">
        <f aca="false">IF(AE71=25,AA71*AB71*AC71*AD71*(AE71/1000)*3.853*1,IF(AE71&gt;25,"",IF(AE71&lt;25,"")))</f>
        <v/>
      </c>
      <c r="AM71" s="115" t="str">
        <f aca="false">IF(AE71=32,AA71*AB71*AC71*AD71*(AE71/1000)*6.313*1,IF(AE71&gt;32,"",IF(AE71&lt;32,"")))</f>
        <v/>
      </c>
      <c r="AN71" s="128"/>
      <c r="AO71" s="117" t="s">
        <v>170</v>
      </c>
      <c r="AP71" s="118" t="n">
        <f aca="false">SUM(R71:Y71)+SUM(AN71)</f>
        <v>106.0416</v>
      </c>
      <c r="AQ71" s="118" t="n">
        <f aca="false">SUM(AF71:AM71)</f>
        <v>0</v>
      </c>
      <c r="AR71" s="118"/>
      <c r="AS71" s="119" t="s">
        <v>211</v>
      </c>
      <c r="AT71" s="119" t="s">
        <v>162</v>
      </c>
    </row>
    <row r="72" customFormat="false" ht="13.5" hidden="false" customHeight="false" outlineLevel="0" collapsed="false">
      <c r="A72" s="129"/>
      <c r="B72" s="172"/>
      <c r="C72" s="110"/>
      <c r="D72" s="122"/>
      <c r="E72" s="122"/>
      <c r="F72" s="173"/>
      <c r="G72" s="123"/>
      <c r="H72" s="101"/>
      <c r="I72" s="123"/>
      <c r="J72" s="101"/>
      <c r="K72" s="124" t="s">
        <v>249</v>
      </c>
      <c r="L72" s="125" t="n">
        <f aca="false">$D$68-2*0.05</f>
        <v>1.6</v>
      </c>
      <c r="M72" s="125" t="n">
        <v>0.2</v>
      </c>
      <c r="N72" s="126" t="n">
        <f aca="false">$C$68</f>
        <v>4</v>
      </c>
      <c r="O72" s="126" t="n">
        <f aca="false">CEILING(L72/M72,1)+1</f>
        <v>9</v>
      </c>
      <c r="P72" s="126" t="n">
        <v>16</v>
      </c>
      <c r="Q72" s="127" t="n">
        <f aca="false">$E$68-2*0.05+2*($F$68-2*0.05)</f>
        <v>1.9</v>
      </c>
      <c r="R72" s="105" t="str">
        <f aca="false">IF(P72=6,N72*O72*Q72*0.222*1,IF(P72&gt;6,"",IF(P72&lt;6,"")))</f>
        <v/>
      </c>
      <c r="S72" s="106" t="str">
        <f aca="false">IF(P72=8,N72*O72*Q72*0.395*1,IF(P72&gt;8,"",IF(P72&lt;8,"")))</f>
        <v/>
      </c>
      <c r="T72" s="106" t="str">
        <f aca="false">IF(P72=10,N72*O72*Q72*0.617*1,IF(P72&gt;10,"",IF(P72&lt;10,"")))</f>
        <v/>
      </c>
      <c r="U72" s="106" t="str">
        <f aca="false">IF(P72=12,N72*O72*Q72*0.888*1,IF(P72&gt;12,"",IF(P72&lt;12,"")))</f>
        <v/>
      </c>
      <c r="V72" s="107" t="n">
        <f aca="false">IF(P72=16,N72*O72*Q72*1.578*1,IF(P72&gt;16,"",IF(P72&lt;16,"")))</f>
        <v>107.9352</v>
      </c>
      <c r="W72" s="106" t="str">
        <f aca="false">IF(P72=20,N72*O72*Q72*2.466*1,IF(P72&gt;20,"",IF(P72&lt;20,"")))</f>
        <v/>
      </c>
      <c r="X72" s="106" t="str">
        <f aca="false">IF(P72=25,N72*O72*Q72*3.853*1,IF(P72&gt;25,"",IF(P72&lt;25,"")))</f>
        <v/>
      </c>
      <c r="Y72" s="108" t="str">
        <f aca="false">IF(P72=32,N72*O72*Q72*6.313*1,IF(P72&gt;32,"",IF(P72&lt;32,"")))</f>
        <v/>
      </c>
      <c r="Z72" s="109"/>
      <c r="AA72" s="110" t="str">
        <f aca="false">IF(AC72&gt;0,N72,"")</f>
        <v/>
      </c>
      <c r="AB72" s="111" t="str">
        <f aca="false">IF(AC72&gt;0,O72,"")</f>
        <v/>
      </c>
      <c r="AC72" s="112"/>
      <c r="AD72" s="112"/>
      <c r="AE72" s="113" t="str">
        <f aca="false">IF(AC72&gt;0,P72,"")</f>
        <v/>
      </c>
      <c r="AF72" s="114" t="str">
        <f aca="false">IF(AE72=6,AA72*AB72*AC72*AD72*(AE72/1000)*0.222*1,IF(AE72&gt;6,"",IF(AE72&lt;6,"")))</f>
        <v/>
      </c>
      <c r="AG72" s="107" t="str">
        <f aca="false">IF(AE72=8,AA72*AB72*AC72*AD72*(AE72/1000)*0.395*1,IF(AE72&gt;8,"",IF(AE72&lt;8,"")))</f>
        <v/>
      </c>
      <c r="AH72" s="107" t="str">
        <f aca="false">IF(AE72=10,AA72*AB72*AC72*AD72*(AE72/1000)*0.617*1,IF(AE72&gt;10,"",IF(AE72&lt;10,"")))</f>
        <v/>
      </c>
      <c r="AI72" s="107" t="str">
        <f aca="false">IF(AE72=12,AA72*AB72*AC72*AD72*(AE72/1000)*0.888*1,IF(AE72&gt;12,"",IF(AE72&lt;12,"")))</f>
        <v/>
      </c>
      <c r="AJ72" s="107" t="str">
        <f aca="false">IF(AE72=16,AA72*AB72*AC72*AD72*(AE72/1000)*1.578*1,IF(AE72&gt;16,"",IF(AE72&lt;16,"")))</f>
        <v/>
      </c>
      <c r="AK72" s="107" t="str">
        <f aca="false">IF(AE72=20,AA72*AB72*AC72*AD72*(AE72/1000)*2.466*1,IF(AE72&gt;20,"",IF(AE72&lt;20,"")))</f>
        <v/>
      </c>
      <c r="AL72" s="107" t="str">
        <f aca="false">IF(AE72=25,AA72*AB72*AC72*AD72*(AE72/1000)*3.853*1,IF(AE72&gt;25,"",IF(AE72&lt;25,"")))</f>
        <v/>
      </c>
      <c r="AM72" s="115" t="str">
        <f aca="false">IF(AE72=32,AA72*AB72*AC72*AD72*(AE72/1000)*6.313*1,IF(AE72&gt;32,"",IF(AE72&lt;32,"")))</f>
        <v/>
      </c>
      <c r="AN72" s="128"/>
      <c r="AO72" s="117" t="s">
        <v>170</v>
      </c>
      <c r="AP72" s="118" t="n">
        <f aca="false">SUM(R72:Y72)+SUM(AN72)</f>
        <v>107.9352</v>
      </c>
      <c r="AQ72" s="118" t="n">
        <f aca="false">SUM(AF72:AM72)</f>
        <v>0</v>
      </c>
      <c r="AR72" s="118"/>
      <c r="AS72" s="119" t="s">
        <v>211</v>
      </c>
      <c r="AT72" s="119" t="s">
        <v>162</v>
      </c>
    </row>
    <row r="73" customFormat="false" ht="13.5" hidden="false" customHeight="false" outlineLevel="0" collapsed="false">
      <c r="A73" s="129"/>
      <c r="B73" s="172"/>
      <c r="C73" s="110"/>
      <c r="D73" s="122"/>
      <c r="E73" s="122"/>
      <c r="F73" s="173"/>
      <c r="G73" s="123"/>
      <c r="H73" s="101"/>
      <c r="I73" s="123"/>
      <c r="J73" s="101"/>
      <c r="K73" s="124" t="s">
        <v>224</v>
      </c>
      <c r="L73" s="125"/>
      <c r="M73" s="125"/>
      <c r="N73" s="126" t="n">
        <f aca="false">$C$68</f>
        <v>4</v>
      </c>
      <c r="O73" s="126" t="n">
        <v>4</v>
      </c>
      <c r="P73" s="126" t="n">
        <v>12</v>
      </c>
      <c r="Q73" s="127" t="n">
        <f aca="false">2*($D$68+$E$68)-8*0.05</f>
        <v>5.4</v>
      </c>
      <c r="R73" s="105" t="str">
        <f aca="false">IF(P73=6,N73*O73*Q73*0.222*1,IF(P73&gt;6,"",IF(P73&lt;6,"")))</f>
        <v/>
      </c>
      <c r="S73" s="106" t="str">
        <f aca="false">IF(P73=8,N73*O73*Q73*0.395*1,IF(P73&gt;8,"",IF(P73&lt;8,"")))</f>
        <v/>
      </c>
      <c r="T73" s="106" t="str">
        <f aca="false">IF(P73=10,N73*O73*Q73*0.617*1,IF(P73&gt;10,"",IF(P73&lt;10,"")))</f>
        <v/>
      </c>
      <c r="U73" s="106" t="n">
        <f aca="false">IF(P73=12,N73*O73*Q73*0.888*1,IF(P73&gt;12,"",IF(P73&lt;12,"")))</f>
        <v>76.7232</v>
      </c>
      <c r="V73" s="107" t="str">
        <f aca="false">IF(P73=16,N73*O73*Q73*1.578*1,IF(P73&gt;16,"",IF(P73&lt;16,"")))</f>
        <v/>
      </c>
      <c r="W73" s="106" t="str">
        <f aca="false">IF(P73=20,N73*O73*Q73*2.466*1,IF(P73&gt;20,"",IF(P73&lt;20,"")))</f>
        <v/>
      </c>
      <c r="X73" s="106" t="str">
        <f aca="false">IF(P73=25,N73*O73*Q73*3.853*1,IF(P73&gt;25,"",IF(P73&lt;25,"")))</f>
        <v/>
      </c>
      <c r="Y73" s="108" t="str">
        <f aca="false">IF(P73=32,N73*O73*Q73*6.313*1,IF(P73&gt;32,"",IF(P73&lt;32,"")))</f>
        <v/>
      </c>
      <c r="Z73" s="109"/>
      <c r="AA73" s="110" t="n">
        <f aca="false">IF(AC73&gt;0,N73,"")</f>
        <v>4</v>
      </c>
      <c r="AB73" s="111" t="n">
        <f aca="false">IF(AC73&gt;0,O73,"")</f>
        <v>4</v>
      </c>
      <c r="AC73" s="112" t="n">
        <v>1</v>
      </c>
      <c r="AD73" s="112" t="n">
        <v>50</v>
      </c>
      <c r="AE73" s="113" t="n">
        <f aca="false">IF(AC73&gt;0,P73,"")</f>
        <v>12</v>
      </c>
      <c r="AF73" s="114" t="str">
        <f aca="false">IF(AE73=6,AA73*AB73*AC73*AD73*(AE73/1000)*0.222*1,IF(AE73&gt;6,"",IF(AE73&lt;6,"")))</f>
        <v/>
      </c>
      <c r="AG73" s="107" t="str">
        <f aca="false">IF(AE73=8,AA73*AB73*AC73*AD73*(AE73/1000)*0.395*1,IF(AE73&gt;8,"",IF(AE73&lt;8,"")))</f>
        <v/>
      </c>
      <c r="AH73" s="107" t="str">
        <f aca="false">IF(AE73=10,AA73*AB73*AC73*AD73*(AE73/1000)*0.617*1,IF(AE73&gt;10,"",IF(AE73&lt;10,"")))</f>
        <v/>
      </c>
      <c r="AI73" s="107" t="n">
        <f aca="false">IF(AE73=12,AA73*AB73*AC73*AD73*(AE73/1000)*0.888*1,IF(AE73&gt;12,"",IF(AE73&lt;12,"")))</f>
        <v>8.5248</v>
      </c>
      <c r="AJ73" s="107" t="str">
        <f aca="false">IF(AE73=16,AA73*AB73*AC73*AD73*(AE73/1000)*1.578*1,IF(AE73&gt;16,"",IF(AE73&lt;16,"")))</f>
        <v/>
      </c>
      <c r="AK73" s="107" t="str">
        <f aca="false">IF(AE73=20,AA73*AB73*AC73*AD73*(AE73/1000)*2.466*1,IF(AE73&gt;20,"",IF(AE73&lt;20,"")))</f>
        <v/>
      </c>
      <c r="AL73" s="107" t="str">
        <f aca="false">IF(AE73=25,AA73*AB73*AC73*AD73*(AE73/1000)*3.853*1,IF(AE73&gt;25,"",IF(AE73&lt;25,"")))</f>
        <v/>
      </c>
      <c r="AM73" s="115" t="str">
        <f aca="false">IF(AE73=32,AA73*AB73*AC73*AD73*(AE73/1000)*6.313*1,IF(AE73&gt;32,"",IF(AE73&lt;32,"")))</f>
        <v/>
      </c>
      <c r="AN73" s="128"/>
      <c r="AO73" s="117" t="s">
        <v>170</v>
      </c>
      <c r="AP73" s="118" t="n">
        <f aca="false">SUM(R73:Y73)+SUM(AN73)</f>
        <v>76.7232</v>
      </c>
      <c r="AQ73" s="118" t="n">
        <f aca="false">SUM(AF73:AM73)</f>
        <v>8.5248</v>
      </c>
      <c r="AR73" s="118"/>
      <c r="AS73" s="119" t="s">
        <v>216</v>
      </c>
      <c r="AT73" s="119" t="s">
        <v>173</v>
      </c>
    </row>
    <row r="74" customFormat="false" ht="13.5" hidden="false" customHeight="false" outlineLevel="0" collapsed="false">
      <c r="A74" s="129"/>
      <c r="B74" s="172"/>
      <c r="C74" s="110"/>
      <c r="D74" s="122"/>
      <c r="E74" s="122"/>
      <c r="F74" s="173"/>
      <c r="G74" s="123"/>
      <c r="H74" s="101"/>
      <c r="I74" s="123"/>
      <c r="J74" s="101"/>
      <c r="K74" s="124" t="s">
        <v>250</v>
      </c>
      <c r="L74" s="125"/>
      <c r="M74" s="125"/>
      <c r="N74" s="126" t="n">
        <v>4</v>
      </c>
      <c r="O74" s="126" t="n">
        <v>6</v>
      </c>
      <c r="P74" s="126" t="n">
        <v>20</v>
      </c>
      <c r="Q74" s="127" t="n">
        <f aca="false">MAX(50*20/1000,$F$68-2*0.05+0.15)+50*20/1000</f>
        <v>2</v>
      </c>
      <c r="R74" s="105" t="str">
        <f aca="false">IF(P74=6,N74*O74*Q74*0.222*1,IF(P74&gt;6,"",IF(P74&lt;6,"")))</f>
        <v/>
      </c>
      <c r="S74" s="106" t="str">
        <f aca="false">IF(P74=8,N74*O74*Q74*0.395*1,IF(P74&gt;8,"",IF(P74&lt;8,"")))</f>
        <v/>
      </c>
      <c r="T74" s="106" t="str">
        <f aca="false">IF(P74=10,N74*O74*Q74*0.617*1,IF(P74&gt;10,"",IF(P74&lt;10,"")))</f>
        <v/>
      </c>
      <c r="U74" s="106" t="str">
        <f aca="false">IF(P74=12,N74*O74*Q74*0.888*1,IF(P74&gt;12,"",IF(P74&lt;12,"")))</f>
        <v/>
      </c>
      <c r="V74" s="107" t="str">
        <f aca="false">IF(P74=16,N74*O74*Q74*1.578*1,IF(P74&gt;16,"",IF(P74&lt;16,"")))</f>
        <v/>
      </c>
      <c r="W74" s="106" t="n">
        <f aca="false">IF(P74=20,N74*O74*Q74*2.466*1,IF(P74&gt;20,"",IF(P74&lt;20,"")))</f>
        <v>118.368</v>
      </c>
      <c r="X74" s="106" t="str">
        <f aca="false">IF(P74=25,N74*O74*Q74*3.853*1,IF(P74&gt;25,"",IF(P74&lt;25,"")))</f>
        <v/>
      </c>
      <c r="Y74" s="108" t="str">
        <f aca="false">IF(P74=32,N74*O74*Q74*6.313*1,IF(P74&gt;32,"",IF(P74&lt;32,"")))</f>
        <v/>
      </c>
      <c r="Z74" s="109"/>
      <c r="AA74" s="110" t="str">
        <f aca="false">IF(AC74&gt;0,N74,"")</f>
        <v/>
      </c>
      <c r="AB74" s="111" t="str">
        <f aca="false">IF(AC74&gt;0,O74,"")</f>
        <v/>
      </c>
      <c r="AC74" s="112"/>
      <c r="AD74" s="112"/>
      <c r="AE74" s="113" t="str">
        <f aca="false">IF(AC74&gt;0,P74,"")</f>
        <v/>
      </c>
      <c r="AF74" s="114" t="str">
        <f aca="false">IF(AE74=6,AA74*AB74*AC74*AD74*(AE74/1000)*0.222*1,IF(AE74&gt;6,"",IF(AE74&lt;6,"")))</f>
        <v/>
      </c>
      <c r="AG74" s="107" t="str">
        <f aca="false">IF(AE74=8,AA74*AB74*AC74*AD74*(AE74/1000)*0.395*1,IF(AE74&gt;8,"",IF(AE74&lt;8,"")))</f>
        <v/>
      </c>
      <c r="AH74" s="107" t="str">
        <f aca="false">IF(AE74=10,AA74*AB74*AC74*AD74*(AE74/1000)*0.617*1,IF(AE74&gt;10,"",IF(AE74&lt;10,"")))</f>
        <v/>
      </c>
      <c r="AI74" s="107" t="str">
        <f aca="false">IF(AE74=12,AA74*AB74*AC74*AD74*(AE74/1000)*0.888*1,IF(AE74&gt;12,"",IF(AE74&lt;12,"")))</f>
        <v/>
      </c>
      <c r="AJ74" s="107" t="str">
        <f aca="false">IF(AE74=16,AA74*AB74*AC74*AD74*(AE74/1000)*1.578*1,IF(AE74&gt;16,"",IF(AE74&lt;16,"")))</f>
        <v/>
      </c>
      <c r="AK74" s="107" t="str">
        <f aca="false">IF(AE74=20,AA74*AB74*AC74*AD74*(AE74/1000)*2.466*1,IF(AE74&gt;20,"",IF(AE74&lt;20,"")))</f>
        <v/>
      </c>
      <c r="AL74" s="107" t="str">
        <f aca="false">IF(AE74=25,AA74*AB74*AC74*AD74*(AE74/1000)*3.853*1,IF(AE74&gt;25,"",IF(AE74&lt;25,"")))</f>
        <v/>
      </c>
      <c r="AM74" s="115" t="str">
        <f aca="false">IF(AE74=32,AA74*AB74*AC74*AD74*(AE74/1000)*6.313*1,IF(AE74&gt;32,"",IF(AE74&lt;32,"")))</f>
        <v/>
      </c>
      <c r="AN74" s="128"/>
      <c r="AO74" s="117" t="s">
        <v>170</v>
      </c>
      <c r="AP74" s="118" t="n">
        <f aca="false">SUM(R74:Y74)+SUM(AN74)</f>
        <v>118.368</v>
      </c>
      <c r="AQ74" s="118" t="n">
        <f aca="false">SUM(AF74:AM74)</f>
        <v>0</v>
      </c>
      <c r="AR74" s="118"/>
      <c r="AS74" s="119" t="s">
        <v>218</v>
      </c>
      <c r="AT74" s="119" t="s">
        <v>173</v>
      </c>
    </row>
    <row r="75" customFormat="false" ht="13.5" hidden="false" customHeight="false" outlineLevel="0" collapsed="false">
      <c r="A75" s="129"/>
      <c r="B75" s="130"/>
      <c r="C75" s="110"/>
      <c r="D75" s="122"/>
      <c r="E75" s="122"/>
      <c r="F75" s="122"/>
      <c r="G75" s="123"/>
      <c r="H75" s="101"/>
      <c r="I75" s="123"/>
      <c r="J75" s="101"/>
      <c r="K75" s="124"/>
      <c r="L75" s="125"/>
      <c r="M75" s="125"/>
      <c r="N75" s="126"/>
      <c r="O75" s="126"/>
      <c r="P75" s="126"/>
      <c r="Q75" s="127"/>
      <c r="R75" s="105"/>
      <c r="S75" s="106"/>
      <c r="T75" s="106"/>
      <c r="U75" s="106"/>
      <c r="V75" s="107"/>
      <c r="W75" s="106"/>
      <c r="X75" s="106"/>
      <c r="Y75" s="108"/>
      <c r="Z75" s="109"/>
      <c r="AA75" s="110"/>
      <c r="AB75" s="111"/>
      <c r="AC75" s="112"/>
      <c r="AD75" s="112"/>
      <c r="AE75" s="113"/>
      <c r="AF75" s="114"/>
      <c r="AG75" s="107"/>
      <c r="AH75" s="107"/>
      <c r="AI75" s="107"/>
      <c r="AJ75" s="107"/>
      <c r="AK75" s="107"/>
      <c r="AL75" s="107"/>
      <c r="AM75" s="115"/>
      <c r="AO75" s="117"/>
      <c r="AP75" s="118"/>
      <c r="AQ75" s="118"/>
      <c r="AR75" s="118"/>
      <c r="AS75" s="119"/>
      <c r="AT75" s="119"/>
    </row>
    <row r="76" customFormat="false" ht="13.5" hidden="false" customHeight="false" outlineLevel="0" collapsed="false">
      <c r="A76" s="96"/>
      <c r="B76" s="97" t="s">
        <v>251</v>
      </c>
      <c r="C76" s="98"/>
      <c r="D76" s="99"/>
      <c r="E76" s="99"/>
      <c r="F76" s="99"/>
      <c r="G76" s="100"/>
      <c r="H76" s="101"/>
      <c r="I76" s="100"/>
      <c r="J76" s="101"/>
      <c r="K76" s="102"/>
      <c r="L76" s="103"/>
      <c r="M76" s="103"/>
      <c r="N76" s="104"/>
      <c r="O76" s="104"/>
      <c r="P76" s="104"/>
      <c r="Q76" s="100"/>
      <c r="R76" s="105"/>
      <c r="S76" s="106"/>
      <c r="T76" s="106"/>
      <c r="U76" s="106"/>
      <c r="V76" s="107"/>
      <c r="W76" s="106"/>
      <c r="X76" s="106"/>
      <c r="Y76" s="108"/>
      <c r="Z76" s="109"/>
      <c r="AA76" s="110"/>
      <c r="AB76" s="111"/>
      <c r="AC76" s="112"/>
      <c r="AD76" s="112"/>
      <c r="AE76" s="113"/>
      <c r="AF76" s="114"/>
      <c r="AG76" s="107"/>
      <c r="AH76" s="107"/>
      <c r="AI76" s="107"/>
      <c r="AJ76" s="107"/>
      <c r="AK76" s="107"/>
      <c r="AL76" s="107"/>
      <c r="AM76" s="115"/>
      <c r="AO76" s="117"/>
      <c r="AP76" s="118"/>
      <c r="AQ76" s="118"/>
      <c r="AR76" s="118"/>
      <c r="AS76" s="119"/>
      <c r="AT76" s="119"/>
    </row>
    <row r="77" customFormat="false" ht="13.5" hidden="false" customHeight="false" outlineLevel="0" collapsed="false">
      <c r="A77" s="120"/>
      <c r="B77" s="121" t="s">
        <v>177</v>
      </c>
      <c r="C77" s="110" t="n">
        <v>4</v>
      </c>
      <c r="D77" s="122" t="n">
        <v>1.7</v>
      </c>
      <c r="E77" s="122" t="n">
        <v>2.2</v>
      </c>
      <c r="F77" s="122" t="n">
        <v>0.6</v>
      </c>
      <c r="G77" s="123" t="n">
        <f aca="false">C77*D77*E77*F77</f>
        <v>8.976</v>
      </c>
      <c r="H77" s="101"/>
      <c r="I77" s="123" t="n">
        <f aca="false">2*(D77+E77)*F77*C77</f>
        <v>18.72</v>
      </c>
      <c r="J77" s="101"/>
      <c r="K77" s="124"/>
      <c r="L77" s="125"/>
      <c r="M77" s="125"/>
      <c r="N77" s="126"/>
      <c r="O77" s="126"/>
      <c r="P77" s="126"/>
      <c r="Q77" s="127"/>
      <c r="R77" s="105" t="str">
        <f aca="false">IF(P77=6,N77*O77*Q77*0.222*1,IF(P77&gt;6,"",IF(P77&lt;6,"")))</f>
        <v/>
      </c>
      <c r="S77" s="106" t="str">
        <f aca="false">IF(P77=8,N77*O77*Q77*0.395*1,IF(P77&gt;8,"",IF(P77&lt;8,"")))</f>
        <v/>
      </c>
      <c r="T77" s="106" t="str">
        <f aca="false">IF(P77=10,N77*O77*Q77*0.617*1,IF(P77&gt;10,"",IF(P77&lt;10,"")))</f>
        <v/>
      </c>
      <c r="U77" s="106" t="str">
        <f aca="false">IF(P77=12,N77*O77*Q77*0.888*1,IF(P77&gt;12,"",IF(P77&lt;12,"")))</f>
        <v/>
      </c>
      <c r="V77" s="107" t="str">
        <f aca="false">IF(P77=16,N77*O77*Q77*1.578*1,IF(P77&gt;16,"",IF(P77&lt;16,"")))</f>
        <v/>
      </c>
      <c r="W77" s="106" t="str">
        <f aca="false">IF(P77=20,N77*O77*Q77*2.466*1,IF(P77&gt;20,"",IF(P77&lt;20,"")))</f>
        <v/>
      </c>
      <c r="X77" s="106" t="str">
        <f aca="false">IF(P77=25,N77*O77*Q77*3.853*1,IF(P77&gt;25,"",IF(P77&lt;25,"")))</f>
        <v/>
      </c>
      <c r="Y77" s="108" t="str">
        <f aca="false">IF(P77=32,N77*O77*Q77*6.313*1,IF(P77&gt;32,"",IF(P77&lt;32,"")))</f>
        <v/>
      </c>
      <c r="Z77" s="109"/>
      <c r="AA77" s="110" t="str">
        <f aca="false">IF(AC77&gt;0,N77,"")</f>
        <v/>
      </c>
      <c r="AB77" s="111" t="str">
        <f aca="false">IF(AC77&gt;0,O77,"")</f>
        <v/>
      </c>
      <c r="AC77" s="112"/>
      <c r="AD77" s="112"/>
      <c r="AE77" s="113" t="str">
        <f aca="false">IF(AC77&gt;0,P77,"")</f>
        <v/>
      </c>
      <c r="AF77" s="114" t="str">
        <f aca="false">IF(AE77=6,AA77*AB77*AC77*AD77*(AE77/1000)*0.222*1,IF(AE77&gt;6,"",IF(AE77&lt;6,"")))</f>
        <v/>
      </c>
      <c r="AG77" s="107" t="str">
        <f aca="false">IF(AE77=8,AA77*AB77*AC77*AD77*(AE77/1000)*0.395*1,IF(AE77&gt;8,"",IF(AE77&lt;8,"")))</f>
        <v/>
      </c>
      <c r="AH77" s="107" t="str">
        <f aca="false">IF(AE77=10,AA77*AB77*AC77*AD77*(AE77/1000)*0.617*1,IF(AE77&gt;10,"",IF(AE77&lt;10,"")))</f>
        <v/>
      </c>
      <c r="AI77" s="107" t="str">
        <f aca="false">IF(AE77=12,AA77*AB77*AC77*AD77*(AE77/1000)*0.888*1,IF(AE77&gt;12,"",IF(AE77&lt;12,"")))</f>
        <v/>
      </c>
      <c r="AJ77" s="107" t="str">
        <f aca="false">IF(AE77=16,AA77*AB77*AC77*AD77*(AE77/1000)*1.578*1,IF(AE77&gt;16,"",IF(AE77&lt;16,"")))</f>
        <v/>
      </c>
      <c r="AK77" s="107" t="str">
        <f aca="false">IF(AE77=20,AA77*AB77*AC77*AD77*(AE77/1000)*2.466*1,IF(AE77&gt;20,"",IF(AE77&lt;20,"")))</f>
        <v/>
      </c>
      <c r="AL77" s="107" t="str">
        <f aca="false">IF(AE77=25,AA77*AB77*AC77*AD77*(AE77/1000)*3.853*1,IF(AE77&gt;25,"",IF(AE77&lt;25,"")))</f>
        <v/>
      </c>
      <c r="AM77" s="115" t="str">
        <f aca="false">IF(AE77=32,AA77*AB77*AC77*AD77*(AE77/1000)*6.313*1,IF(AE77&gt;32,"",IF(AE77&lt;32,"")))</f>
        <v/>
      </c>
      <c r="AN77" s="128"/>
      <c r="AO77" s="117" t="s">
        <v>178</v>
      </c>
      <c r="AP77" s="118" t="n">
        <f aca="false">SUM(R77:Y77)+SUM(AN77)</f>
        <v>0</v>
      </c>
      <c r="AQ77" s="118" t="n">
        <f aca="false">SUM(AF77:AM77)</f>
        <v>0</v>
      </c>
      <c r="AR77" s="118" t="n">
        <v>8.976</v>
      </c>
      <c r="AS77" s="119" t="s">
        <v>252</v>
      </c>
      <c r="AT77" s="119" t="s">
        <v>209</v>
      </c>
    </row>
    <row r="78" customFormat="false" ht="13.5" hidden="false" customHeight="false" outlineLevel="0" collapsed="false">
      <c r="A78" s="129"/>
      <c r="B78" s="172"/>
      <c r="C78" s="110"/>
      <c r="D78" s="122"/>
      <c r="E78" s="122"/>
      <c r="F78" s="173"/>
      <c r="G78" s="123"/>
      <c r="H78" s="101"/>
      <c r="I78" s="123"/>
      <c r="J78" s="101"/>
      <c r="K78" s="124" t="s">
        <v>253</v>
      </c>
      <c r="L78" s="125" t="n">
        <f aca="false">$E$77-2*0.05</f>
        <v>2.1</v>
      </c>
      <c r="M78" s="125" t="n">
        <v>0.2</v>
      </c>
      <c r="N78" s="126" t="n">
        <f aca="false">$C$77</f>
        <v>4</v>
      </c>
      <c r="O78" s="126" t="n">
        <f aca="false">CEILING(L78/M78,1)+1</f>
        <v>12</v>
      </c>
      <c r="P78" s="126" t="n">
        <v>12</v>
      </c>
      <c r="Q78" s="127" t="n">
        <f aca="false">$D$77-2*0.05+2*($F$77-2*0.05)</f>
        <v>2.6</v>
      </c>
      <c r="R78" s="105" t="str">
        <f aca="false">IF(P78=6,N78*O78*Q78*0.222*1,IF(P78&gt;6,"",IF(P78&lt;6,"")))</f>
        <v/>
      </c>
      <c r="S78" s="106" t="str">
        <f aca="false">IF(P78=8,N78*O78*Q78*0.395*1,IF(P78&gt;8,"",IF(P78&lt;8,"")))</f>
        <v/>
      </c>
      <c r="T78" s="106" t="str">
        <f aca="false">IF(P78=10,N78*O78*Q78*0.617*1,IF(P78&gt;10,"",IF(P78&lt;10,"")))</f>
        <v/>
      </c>
      <c r="U78" s="106" t="n">
        <f aca="false">IF(P78=12,N78*O78*Q78*0.888*1,IF(P78&gt;12,"",IF(P78&lt;12,"")))</f>
        <v>110.8224</v>
      </c>
      <c r="V78" s="107" t="str">
        <f aca="false">IF(P78=16,N78*O78*Q78*1.578*1,IF(P78&gt;16,"",IF(P78&lt;16,"")))</f>
        <v/>
      </c>
      <c r="W78" s="106" t="str">
        <f aca="false">IF(P78=20,N78*O78*Q78*2.466*1,IF(P78&gt;20,"",IF(P78&lt;20,"")))</f>
        <v/>
      </c>
      <c r="X78" s="106" t="str">
        <f aca="false">IF(P78=25,N78*O78*Q78*3.853*1,IF(P78&gt;25,"",IF(P78&lt;25,"")))</f>
        <v/>
      </c>
      <c r="Y78" s="108" t="str">
        <f aca="false">IF(P78=32,N78*O78*Q78*6.313*1,IF(P78&gt;32,"",IF(P78&lt;32,"")))</f>
        <v/>
      </c>
      <c r="Z78" s="109"/>
      <c r="AA78" s="110" t="str">
        <f aca="false">IF(AC78&gt;0,N78,"")</f>
        <v/>
      </c>
      <c r="AB78" s="111" t="str">
        <f aca="false">IF(AC78&gt;0,O78,"")</f>
        <v/>
      </c>
      <c r="AC78" s="112"/>
      <c r="AD78" s="112"/>
      <c r="AE78" s="113" t="str">
        <f aca="false">IF(AC78&gt;0,P78,"")</f>
        <v/>
      </c>
      <c r="AF78" s="114" t="str">
        <f aca="false">IF(AE78=6,AA78*AB78*AC78*AD78*(AE78/1000)*0.222*1,IF(AE78&gt;6,"",IF(AE78&lt;6,"")))</f>
        <v/>
      </c>
      <c r="AG78" s="107" t="str">
        <f aca="false">IF(AE78=8,AA78*AB78*AC78*AD78*(AE78/1000)*0.395*1,IF(AE78&gt;8,"",IF(AE78&lt;8,"")))</f>
        <v/>
      </c>
      <c r="AH78" s="107" t="str">
        <f aca="false">IF(AE78=10,AA78*AB78*AC78*AD78*(AE78/1000)*0.617*1,IF(AE78&gt;10,"",IF(AE78&lt;10,"")))</f>
        <v/>
      </c>
      <c r="AI78" s="107" t="str">
        <f aca="false">IF(AE78=12,AA78*AB78*AC78*AD78*(AE78/1000)*0.888*1,IF(AE78&gt;12,"",IF(AE78&lt;12,"")))</f>
        <v/>
      </c>
      <c r="AJ78" s="107" t="str">
        <f aca="false">IF(AE78=16,AA78*AB78*AC78*AD78*(AE78/1000)*1.578*1,IF(AE78&gt;16,"",IF(AE78&lt;16,"")))</f>
        <v/>
      </c>
      <c r="AK78" s="107" t="str">
        <f aca="false">IF(AE78=20,AA78*AB78*AC78*AD78*(AE78/1000)*2.466*1,IF(AE78&gt;20,"",IF(AE78&lt;20,"")))</f>
        <v/>
      </c>
      <c r="AL78" s="107" t="str">
        <f aca="false">IF(AE78=25,AA78*AB78*AC78*AD78*(AE78/1000)*3.853*1,IF(AE78&gt;25,"",IF(AE78&lt;25,"")))</f>
        <v/>
      </c>
      <c r="AM78" s="115" t="str">
        <f aca="false">IF(AE78=32,AA78*AB78*AC78*AD78*(AE78/1000)*6.313*1,IF(AE78&gt;32,"",IF(AE78&lt;32,"")))</f>
        <v/>
      </c>
      <c r="AN78" s="128"/>
      <c r="AO78" s="117" t="s">
        <v>178</v>
      </c>
      <c r="AP78" s="118" t="n">
        <f aca="false">SUM(R78:Y78)+SUM(AN78)</f>
        <v>110.8224</v>
      </c>
      <c r="AQ78" s="118" t="n">
        <f aca="false">SUM(AF78:AM78)</f>
        <v>0</v>
      </c>
      <c r="AR78" s="118"/>
      <c r="AS78" s="119" t="s">
        <v>211</v>
      </c>
      <c r="AT78" s="119" t="s">
        <v>162</v>
      </c>
    </row>
    <row r="79" customFormat="false" ht="13.5" hidden="false" customHeight="false" outlineLevel="0" collapsed="false">
      <c r="A79" s="129"/>
      <c r="B79" s="172"/>
      <c r="C79" s="110"/>
      <c r="D79" s="122"/>
      <c r="E79" s="122"/>
      <c r="F79" s="173"/>
      <c r="G79" s="123"/>
      <c r="H79" s="101"/>
      <c r="I79" s="123"/>
      <c r="J79" s="101"/>
      <c r="K79" s="124" t="s">
        <v>254</v>
      </c>
      <c r="L79" s="125" t="n">
        <f aca="false">$D$77-2*0.05</f>
        <v>1.6</v>
      </c>
      <c r="M79" s="125" t="n">
        <v>0.2</v>
      </c>
      <c r="N79" s="126" t="n">
        <f aca="false">$C$77</f>
        <v>4</v>
      </c>
      <c r="O79" s="126" t="n">
        <f aca="false">CEILING(L79/M79,1)+1</f>
        <v>9</v>
      </c>
      <c r="P79" s="126" t="n">
        <v>12</v>
      </c>
      <c r="Q79" s="127" t="n">
        <f aca="false">$E$77-2*0.05+2*($F$77-2*0.05)</f>
        <v>3.1</v>
      </c>
      <c r="R79" s="105" t="str">
        <f aca="false">IF(P79=6,N79*O79*Q79*0.222*1,IF(P79&gt;6,"",IF(P79&lt;6,"")))</f>
        <v/>
      </c>
      <c r="S79" s="106" t="str">
        <f aca="false">IF(P79=8,N79*O79*Q79*0.395*1,IF(P79&gt;8,"",IF(P79&lt;8,"")))</f>
        <v/>
      </c>
      <c r="T79" s="106" t="str">
        <f aca="false">IF(P79=10,N79*O79*Q79*0.617*1,IF(P79&gt;10,"",IF(P79&lt;10,"")))</f>
        <v/>
      </c>
      <c r="U79" s="106" t="n">
        <f aca="false">IF(P79=12,N79*O79*Q79*0.888*1,IF(P79&gt;12,"",IF(P79&lt;12,"")))</f>
        <v>99.1008</v>
      </c>
      <c r="V79" s="107" t="str">
        <f aca="false">IF(P79=16,N79*O79*Q79*1.578*1,IF(P79&gt;16,"",IF(P79&lt;16,"")))</f>
        <v/>
      </c>
      <c r="W79" s="106" t="str">
        <f aca="false">IF(P79=20,N79*O79*Q79*2.466*1,IF(P79&gt;20,"",IF(P79&lt;20,"")))</f>
        <v/>
      </c>
      <c r="X79" s="106" t="str">
        <f aca="false">IF(P79=25,N79*O79*Q79*3.853*1,IF(P79&gt;25,"",IF(P79&lt;25,"")))</f>
        <v/>
      </c>
      <c r="Y79" s="108" t="str">
        <f aca="false">IF(P79=32,N79*O79*Q79*6.313*1,IF(P79&gt;32,"",IF(P79&lt;32,"")))</f>
        <v/>
      </c>
      <c r="Z79" s="109"/>
      <c r="AA79" s="110" t="str">
        <f aca="false">IF(AC79&gt;0,N79,"")</f>
        <v/>
      </c>
      <c r="AB79" s="111" t="str">
        <f aca="false">IF(AC79&gt;0,O79,"")</f>
        <v/>
      </c>
      <c r="AC79" s="112"/>
      <c r="AD79" s="112"/>
      <c r="AE79" s="113" t="str">
        <f aca="false">IF(AC79&gt;0,P79,"")</f>
        <v/>
      </c>
      <c r="AF79" s="114" t="str">
        <f aca="false">IF(AE79=6,AA79*AB79*AC79*AD79*(AE79/1000)*0.222*1,IF(AE79&gt;6,"",IF(AE79&lt;6,"")))</f>
        <v/>
      </c>
      <c r="AG79" s="107" t="str">
        <f aca="false">IF(AE79=8,AA79*AB79*AC79*AD79*(AE79/1000)*0.395*1,IF(AE79&gt;8,"",IF(AE79&lt;8,"")))</f>
        <v/>
      </c>
      <c r="AH79" s="107" t="str">
        <f aca="false">IF(AE79=10,AA79*AB79*AC79*AD79*(AE79/1000)*0.617*1,IF(AE79&gt;10,"",IF(AE79&lt;10,"")))</f>
        <v/>
      </c>
      <c r="AI79" s="107" t="str">
        <f aca="false">IF(AE79=12,AA79*AB79*AC79*AD79*(AE79/1000)*0.888*1,IF(AE79&gt;12,"",IF(AE79&lt;12,"")))</f>
        <v/>
      </c>
      <c r="AJ79" s="107" t="str">
        <f aca="false">IF(AE79=16,AA79*AB79*AC79*AD79*(AE79/1000)*1.578*1,IF(AE79&gt;16,"",IF(AE79&lt;16,"")))</f>
        <v/>
      </c>
      <c r="AK79" s="107" t="str">
        <f aca="false">IF(AE79=20,AA79*AB79*AC79*AD79*(AE79/1000)*2.466*1,IF(AE79&gt;20,"",IF(AE79&lt;20,"")))</f>
        <v/>
      </c>
      <c r="AL79" s="107" t="str">
        <f aca="false">IF(AE79=25,AA79*AB79*AC79*AD79*(AE79/1000)*3.853*1,IF(AE79&gt;25,"",IF(AE79&lt;25,"")))</f>
        <v/>
      </c>
      <c r="AM79" s="115" t="str">
        <f aca="false">IF(AE79=32,AA79*AB79*AC79*AD79*(AE79/1000)*6.313*1,IF(AE79&gt;32,"",IF(AE79&lt;32,"")))</f>
        <v/>
      </c>
      <c r="AN79" s="128"/>
      <c r="AO79" s="117" t="s">
        <v>178</v>
      </c>
      <c r="AP79" s="118" t="n">
        <f aca="false">SUM(R79:Y79)+SUM(AN79)</f>
        <v>99.1008</v>
      </c>
      <c r="AQ79" s="118" t="n">
        <f aca="false">SUM(AF79:AM79)</f>
        <v>0</v>
      </c>
      <c r="AR79" s="118"/>
      <c r="AS79" s="119" t="s">
        <v>211</v>
      </c>
      <c r="AT79" s="119" t="s">
        <v>162</v>
      </c>
    </row>
    <row r="80" customFormat="false" ht="13.5" hidden="false" customHeight="false" outlineLevel="0" collapsed="false">
      <c r="A80" s="129"/>
      <c r="B80" s="172"/>
      <c r="C80" s="110"/>
      <c r="D80" s="122"/>
      <c r="E80" s="122"/>
      <c r="F80" s="173"/>
      <c r="G80" s="123"/>
      <c r="H80" s="101"/>
      <c r="I80" s="123"/>
      <c r="J80" s="101"/>
      <c r="K80" s="124" t="s">
        <v>255</v>
      </c>
      <c r="L80" s="125" t="n">
        <f aca="false">$E$77-2*0.05</f>
        <v>2.1</v>
      </c>
      <c r="M80" s="125" t="n">
        <v>0.2</v>
      </c>
      <c r="N80" s="126" t="n">
        <f aca="false">$C$77</f>
        <v>4</v>
      </c>
      <c r="O80" s="126" t="n">
        <f aca="false">CEILING(L80/M80,1)+1</f>
        <v>12</v>
      </c>
      <c r="P80" s="126" t="n">
        <v>12</v>
      </c>
      <c r="Q80" s="127" t="n">
        <f aca="false">$D$77-2*0.05+2*($F$77-2*0.05)</f>
        <v>2.6</v>
      </c>
      <c r="R80" s="105" t="str">
        <f aca="false">IF(P80=6,N80*O80*Q80*0.222*1,IF(P80&gt;6,"",IF(P80&lt;6,"")))</f>
        <v/>
      </c>
      <c r="S80" s="106" t="str">
        <f aca="false">IF(P80=8,N80*O80*Q80*0.395*1,IF(P80&gt;8,"",IF(P80&lt;8,"")))</f>
        <v/>
      </c>
      <c r="T80" s="106" t="str">
        <f aca="false">IF(P80=10,N80*O80*Q80*0.617*1,IF(P80&gt;10,"",IF(P80&lt;10,"")))</f>
        <v/>
      </c>
      <c r="U80" s="106" t="n">
        <f aca="false">IF(P80=12,N80*O80*Q80*0.888*1,IF(P80&gt;12,"",IF(P80&lt;12,"")))</f>
        <v>110.8224</v>
      </c>
      <c r="V80" s="107" t="str">
        <f aca="false">IF(P80=16,N80*O80*Q80*1.578*1,IF(P80&gt;16,"",IF(P80&lt;16,"")))</f>
        <v/>
      </c>
      <c r="W80" s="106" t="str">
        <f aca="false">IF(P80=20,N80*O80*Q80*2.466*1,IF(P80&gt;20,"",IF(P80&lt;20,"")))</f>
        <v/>
      </c>
      <c r="X80" s="106" t="str">
        <f aca="false">IF(P80=25,N80*O80*Q80*3.853*1,IF(P80&gt;25,"",IF(P80&lt;25,"")))</f>
        <v/>
      </c>
      <c r="Y80" s="108" t="str">
        <f aca="false">IF(P80=32,N80*O80*Q80*6.313*1,IF(P80&gt;32,"",IF(P80&lt;32,"")))</f>
        <v/>
      </c>
      <c r="Z80" s="109"/>
      <c r="AA80" s="110" t="str">
        <f aca="false">IF(AC80&gt;0,N80,"")</f>
        <v/>
      </c>
      <c r="AB80" s="111" t="str">
        <f aca="false">IF(AC80&gt;0,O80,"")</f>
        <v/>
      </c>
      <c r="AC80" s="112"/>
      <c r="AD80" s="112"/>
      <c r="AE80" s="113" t="str">
        <f aca="false">IF(AC80&gt;0,P80,"")</f>
        <v/>
      </c>
      <c r="AF80" s="114" t="str">
        <f aca="false">IF(AE80=6,AA80*AB80*AC80*AD80*(AE80/1000)*0.222*1,IF(AE80&gt;6,"",IF(AE80&lt;6,"")))</f>
        <v/>
      </c>
      <c r="AG80" s="107" t="str">
        <f aca="false">IF(AE80=8,AA80*AB80*AC80*AD80*(AE80/1000)*0.395*1,IF(AE80&gt;8,"",IF(AE80&lt;8,"")))</f>
        <v/>
      </c>
      <c r="AH80" s="107" t="str">
        <f aca="false">IF(AE80=10,AA80*AB80*AC80*AD80*(AE80/1000)*0.617*1,IF(AE80&gt;10,"",IF(AE80&lt;10,"")))</f>
        <v/>
      </c>
      <c r="AI80" s="107" t="str">
        <f aca="false">IF(AE80=12,AA80*AB80*AC80*AD80*(AE80/1000)*0.888*1,IF(AE80&gt;12,"",IF(AE80&lt;12,"")))</f>
        <v/>
      </c>
      <c r="AJ80" s="107" t="str">
        <f aca="false">IF(AE80=16,AA80*AB80*AC80*AD80*(AE80/1000)*1.578*1,IF(AE80&gt;16,"",IF(AE80&lt;16,"")))</f>
        <v/>
      </c>
      <c r="AK80" s="107" t="str">
        <f aca="false">IF(AE80=20,AA80*AB80*AC80*AD80*(AE80/1000)*2.466*1,IF(AE80&gt;20,"",IF(AE80&lt;20,"")))</f>
        <v/>
      </c>
      <c r="AL80" s="107" t="str">
        <f aca="false">IF(AE80=25,AA80*AB80*AC80*AD80*(AE80/1000)*3.853*1,IF(AE80&gt;25,"",IF(AE80&lt;25,"")))</f>
        <v/>
      </c>
      <c r="AM80" s="115" t="str">
        <f aca="false">IF(AE80=32,AA80*AB80*AC80*AD80*(AE80/1000)*6.313*1,IF(AE80&gt;32,"",IF(AE80&lt;32,"")))</f>
        <v/>
      </c>
      <c r="AN80" s="128"/>
      <c r="AO80" s="117" t="s">
        <v>178</v>
      </c>
      <c r="AP80" s="118" t="n">
        <f aca="false">SUM(R80:Y80)+SUM(AN80)</f>
        <v>110.8224</v>
      </c>
      <c r="AQ80" s="118" t="n">
        <f aca="false">SUM(AF80:AM80)</f>
        <v>0</v>
      </c>
      <c r="AR80" s="118"/>
      <c r="AS80" s="119" t="s">
        <v>211</v>
      </c>
      <c r="AT80" s="119" t="s">
        <v>162</v>
      </c>
    </row>
    <row r="81" customFormat="false" ht="13.5" hidden="false" customHeight="false" outlineLevel="0" collapsed="false">
      <c r="A81" s="129"/>
      <c r="B81" s="172"/>
      <c r="C81" s="110"/>
      <c r="D81" s="122"/>
      <c r="E81" s="122"/>
      <c r="F81" s="173"/>
      <c r="G81" s="123"/>
      <c r="H81" s="101"/>
      <c r="I81" s="123"/>
      <c r="J81" s="101"/>
      <c r="K81" s="124" t="s">
        <v>256</v>
      </c>
      <c r="L81" s="125" t="n">
        <f aca="false">$D$77-2*0.05</f>
        <v>1.6</v>
      </c>
      <c r="M81" s="125" t="n">
        <v>0.2</v>
      </c>
      <c r="N81" s="126" t="n">
        <f aca="false">$C$77</f>
        <v>4</v>
      </c>
      <c r="O81" s="126" t="n">
        <f aca="false">CEILING(L81/M81,1)+1</f>
        <v>9</v>
      </c>
      <c r="P81" s="126" t="n">
        <v>12</v>
      </c>
      <c r="Q81" s="127" t="n">
        <f aca="false">$E$77-2*0.05+2*($F$77-2*0.05)</f>
        <v>3.1</v>
      </c>
      <c r="R81" s="105" t="str">
        <f aca="false">IF(P81=6,N81*O81*Q81*0.222*1,IF(P81&gt;6,"",IF(P81&lt;6,"")))</f>
        <v/>
      </c>
      <c r="S81" s="106" t="str">
        <f aca="false">IF(P81=8,N81*O81*Q81*0.395*1,IF(P81&gt;8,"",IF(P81&lt;8,"")))</f>
        <v/>
      </c>
      <c r="T81" s="106" t="str">
        <f aca="false">IF(P81=10,N81*O81*Q81*0.617*1,IF(P81&gt;10,"",IF(P81&lt;10,"")))</f>
        <v/>
      </c>
      <c r="U81" s="106" t="n">
        <f aca="false">IF(P81=12,N81*O81*Q81*0.888*1,IF(P81&gt;12,"",IF(P81&lt;12,"")))</f>
        <v>99.1008</v>
      </c>
      <c r="V81" s="107" t="str">
        <f aca="false">IF(P81=16,N81*O81*Q81*1.578*1,IF(P81&gt;16,"",IF(P81&lt;16,"")))</f>
        <v/>
      </c>
      <c r="W81" s="106" t="str">
        <f aca="false">IF(P81=20,N81*O81*Q81*2.466*1,IF(P81&gt;20,"",IF(P81&lt;20,"")))</f>
        <v/>
      </c>
      <c r="X81" s="106" t="str">
        <f aca="false">IF(P81=25,N81*O81*Q81*3.853*1,IF(P81&gt;25,"",IF(P81&lt;25,"")))</f>
        <v/>
      </c>
      <c r="Y81" s="108" t="str">
        <f aca="false">IF(P81=32,N81*O81*Q81*6.313*1,IF(P81&gt;32,"",IF(P81&lt;32,"")))</f>
        <v/>
      </c>
      <c r="Z81" s="109"/>
      <c r="AA81" s="110" t="str">
        <f aca="false">IF(AC81&gt;0,N81,"")</f>
        <v/>
      </c>
      <c r="AB81" s="111" t="str">
        <f aca="false">IF(AC81&gt;0,O81,"")</f>
        <v/>
      </c>
      <c r="AC81" s="112"/>
      <c r="AD81" s="112"/>
      <c r="AE81" s="113" t="str">
        <f aca="false">IF(AC81&gt;0,P81,"")</f>
        <v/>
      </c>
      <c r="AF81" s="114" t="str">
        <f aca="false">IF(AE81=6,AA81*AB81*AC81*AD81*(AE81/1000)*0.222*1,IF(AE81&gt;6,"",IF(AE81&lt;6,"")))</f>
        <v/>
      </c>
      <c r="AG81" s="107" t="str">
        <f aca="false">IF(AE81=8,AA81*AB81*AC81*AD81*(AE81/1000)*0.395*1,IF(AE81&gt;8,"",IF(AE81&lt;8,"")))</f>
        <v/>
      </c>
      <c r="AH81" s="107" t="str">
        <f aca="false">IF(AE81=10,AA81*AB81*AC81*AD81*(AE81/1000)*0.617*1,IF(AE81&gt;10,"",IF(AE81&lt;10,"")))</f>
        <v/>
      </c>
      <c r="AI81" s="107" t="str">
        <f aca="false">IF(AE81=12,AA81*AB81*AC81*AD81*(AE81/1000)*0.888*1,IF(AE81&gt;12,"",IF(AE81&lt;12,"")))</f>
        <v/>
      </c>
      <c r="AJ81" s="107" t="str">
        <f aca="false">IF(AE81=16,AA81*AB81*AC81*AD81*(AE81/1000)*1.578*1,IF(AE81&gt;16,"",IF(AE81&lt;16,"")))</f>
        <v/>
      </c>
      <c r="AK81" s="107" t="str">
        <f aca="false">IF(AE81=20,AA81*AB81*AC81*AD81*(AE81/1000)*2.466*1,IF(AE81&gt;20,"",IF(AE81&lt;20,"")))</f>
        <v/>
      </c>
      <c r="AL81" s="107" t="str">
        <f aca="false">IF(AE81=25,AA81*AB81*AC81*AD81*(AE81/1000)*3.853*1,IF(AE81&gt;25,"",IF(AE81&lt;25,"")))</f>
        <v/>
      </c>
      <c r="AM81" s="115" t="str">
        <f aca="false">IF(AE81=32,AA81*AB81*AC81*AD81*(AE81/1000)*6.313*1,IF(AE81&gt;32,"",IF(AE81&lt;32,"")))</f>
        <v/>
      </c>
      <c r="AN81" s="128"/>
      <c r="AO81" s="117" t="s">
        <v>178</v>
      </c>
      <c r="AP81" s="118" t="n">
        <f aca="false">SUM(R81:Y81)+SUM(AN81)</f>
        <v>99.1008</v>
      </c>
      <c r="AQ81" s="118" t="n">
        <f aca="false">SUM(AF81:AM81)</f>
        <v>0</v>
      </c>
      <c r="AR81" s="118"/>
      <c r="AS81" s="119" t="s">
        <v>211</v>
      </c>
      <c r="AT81" s="119" t="s">
        <v>162</v>
      </c>
    </row>
    <row r="82" customFormat="false" ht="13.5" hidden="false" customHeight="false" outlineLevel="0" collapsed="false">
      <c r="A82" s="129"/>
      <c r="B82" s="172"/>
      <c r="C82" s="110"/>
      <c r="D82" s="122"/>
      <c r="E82" s="122"/>
      <c r="F82" s="173"/>
      <c r="G82" s="123"/>
      <c r="H82" s="101"/>
      <c r="I82" s="123"/>
      <c r="J82" s="101"/>
      <c r="K82" s="124" t="s">
        <v>257</v>
      </c>
      <c r="L82" s="125"/>
      <c r="M82" s="125"/>
      <c r="N82" s="126" t="n">
        <f aca="false">$C$77</f>
        <v>4</v>
      </c>
      <c r="O82" s="126" t="n">
        <v>5</v>
      </c>
      <c r="P82" s="126" t="n">
        <v>12</v>
      </c>
      <c r="Q82" s="127" t="n">
        <f aca="false">2*($D$77+$E$77)-8*0.05</f>
        <v>7.4</v>
      </c>
      <c r="R82" s="105" t="str">
        <f aca="false">IF(P82=6,N82*O82*Q82*0.222*1,IF(P82&gt;6,"",IF(P82&lt;6,"")))</f>
        <v/>
      </c>
      <c r="S82" s="106" t="str">
        <f aca="false">IF(P82=8,N82*O82*Q82*0.395*1,IF(P82&gt;8,"",IF(P82&lt;8,"")))</f>
        <v/>
      </c>
      <c r="T82" s="106" t="str">
        <f aca="false">IF(P82=10,N82*O82*Q82*0.617*1,IF(P82&gt;10,"",IF(P82&lt;10,"")))</f>
        <v/>
      </c>
      <c r="U82" s="106" t="n">
        <f aca="false">IF(P82=12,N82*O82*Q82*0.888*1,IF(P82&gt;12,"",IF(P82&lt;12,"")))</f>
        <v>131.424</v>
      </c>
      <c r="V82" s="107" t="str">
        <f aca="false">IF(P82=16,N82*O82*Q82*1.578*1,IF(P82&gt;16,"",IF(P82&lt;16,"")))</f>
        <v/>
      </c>
      <c r="W82" s="106" t="str">
        <f aca="false">IF(P82=20,N82*O82*Q82*2.466*1,IF(P82&gt;20,"",IF(P82&lt;20,"")))</f>
        <v/>
      </c>
      <c r="X82" s="106" t="str">
        <f aca="false">IF(P82=25,N82*O82*Q82*3.853*1,IF(P82&gt;25,"",IF(P82&lt;25,"")))</f>
        <v/>
      </c>
      <c r="Y82" s="108" t="str">
        <f aca="false">IF(P82=32,N82*O82*Q82*6.313*1,IF(P82&gt;32,"",IF(P82&lt;32,"")))</f>
        <v/>
      </c>
      <c r="Z82" s="109"/>
      <c r="AA82" s="110" t="n">
        <f aca="false">IF(AC82&gt;0,N82,"")</f>
        <v>4</v>
      </c>
      <c r="AB82" s="111" t="n">
        <f aca="false">IF(AC82&gt;0,O82,"")</f>
        <v>5</v>
      </c>
      <c r="AC82" s="112" t="n">
        <v>1</v>
      </c>
      <c r="AD82" s="112" t="n">
        <v>50</v>
      </c>
      <c r="AE82" s="113" t="n">
        <f aca="false">IF(AC82&gt;0,P82,"")</f>
        <v>12</v>
      </c>
      <c r="AF82" s="114" t="str">
        <f aca="false">IF(AE82=6,AA82*AB82*AC82*AD82*(AE82/1000)*0.222*1,IF(AE82&gt;6,"",IF(AE82&lt;6,"")))</f>
        <v/>
      </c>
      <c r="AG82" s="107" t="str">
        <f aca="false">IF(AE82=8,AA82*AB82*AC82*AD82*(AE82/1000)*0.395*1,IF(AE82&gt;8,"",IF(AE82&lt;8,"")))</f>
        <v/>
      </c>
      <c r="AH82" s="107" t="str">
        <f aca="false">IF(AE82=10,AA82*AB82*AC82*AD82*(AE82/1000)*0.617*1,IF(AE82&gt;10,"",IF(AE82&lt;10,"")))</f>
        <v/>
      </c>
      <c r="AI82" s="107" t="n">
        <f aca="false">IF(AE82=12,AA82*AB82*AC82*AD82*(AE82/1000)*0.888*1,IF(AE82&gt;12,"",IF(AE82&lt;12,"")))</f>
        <v>10.656</v>
      </c>
      <c r="AJ82" s="107" t="str">
        <f aca="false">IF(AE82=16,AA82*AB82*AC82*AD82*(AE82/1000)*1.578*1,IF(AE82&gt;16,"",IF(AE82&lt;16,"")))</f>
        <v/>
      </c>
      <c r="AK82" s="107" t="str">
        <f aca="false">IF(AE82=20,AA82*AB82*AC82*AD82*(AE82/1000)*2.466*1,IF(AE82&gt;20,"",IF(AE82&lt;20,"")))</f>
        <v/>
      </c>
      <c r="AL82" s="107" t="str">
        <f aca="false">IF(AE82=25,AA82*AB82*AC82*AD82*(AE82/1000)*3.853*1,IF(AE82&gt;25,"",IF(AE82&lt;25,"")))</f>
        <v/>
      </c>
      <c r="AM82" s="115" t="str">
        <f aca="false">IF(AE82=32,AA82*AB82*AC82*AD82*(AE82/1000)*6.313*1,IF(AE82&gt;32,"",IF(AE82&lt;32,"")))</f>
        <v/>
      </c>
      <c r="AN82" s="128"/>
      <c r="AO82" s="117" t="s">
        <v>178</v>
      </c>
      <c r="AP82" s="118" t="n">
        <f aca="false">SUM(R82:Y82)+SUM(AN82)</f>
        <v>131.424</v>
      </c>
      <c r="AQ82" s="118" t="n">
        <f aca="false">SUM(AF82:AM82)</f>
        <v>10.656</v>
      </c>
      <c r="AR82" s="118"/>
      <c r="AS82" s="119" t="s">
        <v>216</v>
      </c>
      <c r="AT82" s="119" t="s">
        <v>173</v>
      </c>
    </row>
    <row r="83" customFormat="false" ht="13.5" hidden="false" customHeight="false" outlineLevel="0" collapsed="false">
      <c r="A83" s="129"/>
      <c r="B83" s="172"/>
      <c r="C83" s="110"/>
      <c r="D83" s="122"/>
      <c r="E83" s="122"/>
      <c r="F83" s="173"/>
      <c r="G83" s="123"/>
      <c r="H83" s="101"/>
      <c r="I83" s="123"/>
      <c r="J83" s="101"/>
      <c r="K83" s="124" t="s">
        <v>258</v>
      </c>
      <c r="L83" s="125"/>
      <c r="M83" s="125"/>
      <c r="N83" s="126" t="n">
        <v>4</v>
      </c>
      <c r="O83" s="126" t="n">
        <v>4</v>
      </c>
      <c r="P83" s="126" t="n">
        <v>20</v>
      </c>
      <c r="Q83" s="127" t="n">
        <f aca="false">MAX(50*20/1000,$F$77-2*0.05+0.15)+50*20/1000</f>
        <v>2</v>
      </c>
      <c r="R83" s="105" t="str">
        <f aca="false">IF(P83=6,N83*O83*Q83*0.222*1,IF(P83&gt;6,"",IF(P83&lt;6,"")))</f>
        <v/>
      </c>
      <c r="S83" s="106" t="str">
        <f aca="false">IF(P83=8,N83*O83*Q83*0.395*1,IF(P83&gt;8,"",IF(P83&lt;8,"")))</f>
        <v/>
      </c>
      <c r="T83" s="106" t="str">
        <f aca="false">IF(P83=10,N83*O83*Q83*0.617*1,IF(P83&gt;10,"",IF(P83&lt;10,"")))</f>
        <v/>
      </c>
      <c r="U83" s="106" t="str">
        <f aca="false">IF(P83=12,N83*O83*Q83*0.888*1,IF(P83&gt;12,"",IF(P83&lt;12,"")))</f>
        <v/>
      </c>
      <c r="V83" s="107" t="str">
        <f aca="false">IF(P83=16,N83*O83*Q83*1.578*1,IF(P83&gt;16,"",IF(P83&lt;16,"")))</f>
        <v/>
      </c>
      <c r="W83" s="106" t="n">
        <f aca="false">IF(P83=20,N83*O83*Q83*2.466*1,IF(P83&gt;20,"",IF(P83&lt;20,"")))</f>
        <v>78.912</v>
      </c>
      <c r="X83" s="106" t="str">
        <f aca="false">IF(P83=25,N83*O83*Q83*3.853*1,IF(P83&gt;25,"",IF(P83&lt;25,"")))</f>
        <v/>
      </c>
      <c r="Y83" s="108" t="str">
        <f aca="false">IF(P83=32,N83*O83*Q83*6.313*1,IF(P83&gt;32,"",IF(P83&lt;32,"")))</f>
        <v/>
      </c>
      <c r="Z83" s="109"/>
      <c r="AA83" s="110" t="str">
        <f aca="false">IF(AC83&gt;0,N83,"")</f>
        <v/>
      </c>
      <c r="AB83" s="111" t="str">
        <f aca="false">IF(AC83&gt;0,O83,"")</f>
        <v/>
      </c>
      <c r="AC83" s="112"/>
      <c r="AD83" s="112"/>
      <c r="AE83" s="113" t="str">
        <f aca="false">IF(AC83&gt;0,P83,"")</f>
        <v/>
      </c>
      <c r="AF83" s="114" t="str">
        <f aca="false">IF(AE83=6,AA83*AB83*AC83*AD83*(AE83/1000)*0.222*1,IF(AE83&gt;6,"",IF(AE83&lt;6,"")))</f>
        <v/>
      </c>
      <c r="AG83" s="107" t="str">
        <f aca="false">IF(AE83=8,AA83*AB83*AC83*AD83*(AE83/1000)*0.395*1,IF(AE83&gt;8,"",IF(AE83&lt;8,"")))</f>
        <v/>
      </c>
      <c r="AH83" s="107" t="str">
        <f aca="false">IF(AE83=10,AA83*AB83*AC83*AD83*(AE83/1000)*0.617*1,IF(AE83&gt;10,"",IF(AE83&lt;10,"")))</f>
        <v/>
      </c>
      <c r="AI83" s="107" t="str">
        <f aca="false">IF(AE83=12,AA83*AB83*AC83*AD83*(AE83/1000)*0.888*1,IF(AE83&gt;12,"",IF(AE83&lt;12,"")))</f>
        <v/>
      </c>
      <c r="AJ83" s="107" t="str">
        <f aca="false">IF(AE83=16,AA83*AB83*AC83*AD83*(AE83/1000)*1.578*1,IF(AE83&gt;16,"",IF(AE83&lt;16,"")))</f>
        <v/>
      </c>
      <c r="AK83" s="107" t="str">
        <f aca="false">IF(AE83=20,AA83*AB83*AC83*AD83*(AE83/1000)*2.466*1,IF(AE83&gt;20,"",IF(AE83&lt;20,"")))</f>
        <v/>
      </c>
      <c r="AL83" s="107" t="str">
        <f aca="false">IF(AE83=25,AA83*AB83*AC83*AD83*(AE83/1000)*3.853*1,IF(AE83&gt;25,"",IF(AE83&lt;25,"")))</f>
        <v/>
      </c>
      <c r="AM83" s="115" t="str">
        <f aca="false">IF(AE83=32,AA83*AB83*AC83*AD83*(AE83/1000)*6.313*1,IF(AE83&gt;32,"",IF(AE83&lt;32,"")))</f>
        <v/>
      </c>
      <c r="AN83" s="128"/>
      <c r="AO83" s="117" t="s">
        <v>178</v>
      </c>
      <c r="AP83" s="118" t="n">
        <f aca="false">SUM(R83:Y83)+SUM(AN83)</f>
        <v>78.912</v>
      </c>
      <c r="AQ83" s="118" t="n">
        <f aca="false">SUM(AF83:AM83)</f>
        <v>0</v>
      </c>
      <c r="AR83" s="118"/>
      <c r="AS83" s="119" t="s">
        <v>218</v>
      </c>
      <c r="AT83" s="119" t="s">
        <v>173</v>
      </c>
    </row>
    <row r="84" customFormat="false" ht="13.5" hidden="false" customHeight="false" outlineLevel="0" collapsed="false">
      <c r="A84" s="129"/>
      <c r="B84" s="172"/>
      <c r="C84" s="110"/>
      <c r="D84" s="122"/>
      <c r="E84" s="122"/>
      <c r="F84" s="173"/>
      <c r="G84" s="123"/>
      <c r="H84" s="101"/>
      <c r="I84" s="123"/>
      <c r="J84" s="101"/>
      <c r="K84" s="124" t="s">
        <v>259</v>
      </c>
      <c r="L84" s="125"/>
      <c r="M84" s="125"/>
      <c r="N84" s="126" t="n">
        <v>4</v>
      </c>
      <c r="O84" s="126" t="n">
        <v>6</v>
      </c>
      <c r="P84" s="126" t="n">
        <v>16</v>
      </c>
      <c r="Q84" s="127" t="n">
        <f aca="false">MAX(50*16/1000,$F$77-2*0.05+0.15)+50*16/1000</f>
        <v>1.6</v>
      </c>
      <c r="R84" s="105" t="str">
        <f aca="false">IF(P84=6,N84*O84*Q84*0.222*1,IF(P84&gt;6,"",IF(P84&lt;6,"")))</f>
        <v/>
      </c>
      <c r="S84" s="106" t="str">
        <f aca="false">IF(P84=8,N84*O84*Q84*0.395*1,IF(P84&gt;8,"",IF(P84&lt;8,"")))</f>
        <v/>
      </c>
      <c r="T84" s="106" t="str">
        <f aca="false">IF(P84=10,N84*O84*Q84*0.617*1,IF(P84&gt;10,"",IF(P84&lt;10,"")))</f>
        <v/>
      </c>
      <c r="U84" s="106" t="str">
        <f aca="false">IF(P84=12,N84*O84*Q84*0.888*1,IF(P84&gt;12,"",IF(P84&lt;12,"")))</f>
        <v/>
      </c>
      <c r="V84" s="107" t="n">
        <f aca="false">IF(P84=16,N84*O84*Q84*1.578*1,IF(P84&gt;16,"",IF(P84&lt;16,"")))</f>
        <v>60.5952</v>
      </c>
      <c r="W84" s="106" t="str">
        <f aca="false">IF(P84=20,N84*O84*Q84*2.466*1,IF(P84&gt;20,"",IF(P84&lt;20,"")))</f>
        <v/>
      </c>
      <c r="X84" s="106" t="str">
        <f aca="false">IF(P84=25,N84*O84*Q84*3.853*1,IF(P84&gt;25,"",IF(P84&lt;25,"")))</f>
        <v/>
      </c>
      <c r="Y84" s="108" t="str">
        <f aca="false">IF(P84=32,N84*O84*Q84*6.313*1,IF(P84&gt;32,"",IF(P84&lt;32,"")))</f>
        <v/>
      </c>
      <c r="Z84" s="109"/>
      <c r="AA84" s="110" t="str">
        <f aca="false">IF(AC84&gt;0,N84,"")</f>
        <v/>
      </c>
      <c r="AB84" s="111" t="str">
        <f aca="false">IF(AC84&gt;0,O84,"")</f>
        <v/>
      </c>
      <c r="AC84" s="112"/>
      <c r="AD84" s="112"/>
      <c r="AE84" s="113" t="str">
        <f aca="false">IF(AC84&gt;0,P84,"")</f>
        <v/>
      </c>
      <c r="AF84" s="114" t="str">
        <f aca="false">IF(AE84=6,AA84*AB84*AC84*AD84*(AE84/1000)*0.222*1,IF(AE84&gt;6,"",IF(AE84&lt;6,"")))</f>
        <v/>
      </c>
      <c r="AG84" s="107" t="str">
        <f aca="false">IF(AE84=8,AA84*AB84*AC84*AD84*(AE84/1000)*0.395*1,IF(AE84&gt;8,"",IF(AE84&lt;8,"")))</f>
        <v/>
      </c>
      <c r="AH84" s="107" t="str">
        <f aca="false">IF(AE84=10,AA84*AB84*AC84*AD84*(AE84/1000)*0.617*1,IF(AE84&gt;10,"",IF(AE84&lt;10,"")))</f>
        <v/>
      </c>
      <c r="AI84" s="107" t="str">
        <f aca="false">IF(AE84=12,AA84*AB84*AC84*AD84*(AE84/1000)*0.888*1,IF(AE84&gt;12,"",IF(AE84&lt;12,"")))</f>
        <v/>
      </c>
      <c r="AJ84" s="107" t="str">
        <f aca="false">IF(AE84=16,AA84*AB84*AC84*AD84*(AE84/1000)*1.578*1,IF(AE84&gt;16,"",IF(AE84&lt;16,"")))</f>
        <v/>
      </c>
      <c r="AK84" s="107" t="str">
        <f aca="false">IF(AE84=20,AA84*AB84*AC84*AD84*(AE84/1000)*2.466*1,IF(AE84&gt;20,"",IF(AE84&lt;20,"")))</f>
        <v/>
      </c>
      <c r="AL84" s="107" t="str">
        <f aca="false">IF(AE84=25,AA84*AB84*AC84*AD84*(AE84/1000)*3.853*1,IF(AE84&gt;25,"",IF(AE84&lt;25,"")))</f>
        <v/>
      </c>
      <c r="AM84" s="115" t="str">
        <f aca="false">IF(AE84=32,AA84*AB84*AC84*AD84*(AE84/1000)*6.313*1,IF(AE84&gt;32,"",IF(AE84&lt;32,"")))</f>
        <v/>
      </c>
      <c r="AN84" s="128"/>
      <c r="AO84" s="117" t="s">
        <v>178</v>
      </c>
      <c r="AP84" s="118" t="n">
        <f aca="false">SUM(R84:Y84)+SUM(AN84)</f>
        <v>60.5952</v>
      </c>
      <c r="AQ84" s="118" t="n">
        <f aca="false">SUM(AF84:AM84)</f>
        <v>0</v>
      </c>
      <c r="AR84" s="118"/>
      <c r="AS84" s="119" t="s">
        <v>218</v>
      </c>
      <c r="AT84" s="119" t="s">
        <v>173</v>
      </c>
    </row>
    <row r="85" customFormat="false" ht="13.5" hidden="false" customHeight="false" outlineLevel="0" collapsed="false">
      <c r="A85" s="129"/>
      <c r="B85" s="130"/>
      <c r="C85" s="110"/>
      <c r="D85" s="122"/>
      <c r="E85" s="122"/>
      <c r="F85" s="122"/>
      <c r="G85" s="123"/>
      <c r="H85" s="101"/>
      <c r="I85" s="123"/>
      <c r="J85" s="101"/>
      <c r="K85" s="124"/>
      <c r="L85" s="125"/>
      <c r="M85" s="125"/>
      <c r="N85" s="126"/>
      <c r="O85" s="126"/>
      <c r="P85" s="126"/>
      <c r="Q85" s="127"/>
      <c r="R85" s="105"/>
      <c r="S85" s="106"/>
      <c r="T85" s="106"/>
      <c r="U85" s="106"/>
      <c r="V85" s="107"/>
      <c r="W85" s="106"/>
      <c r="X85" s="106"/>
      <c r="Y85" s="108"/>
      <c r="Z85" s="109"/>
      <c r="AA85" s="110"/>
      <c r="AB85" s="111"/>
      <c r="AC85" s="112"/>
      <c r="AD85" s="112"/>
      <c r="AE85" s="113"/>
      <c r="AF85" s="114"/>
      <c r="AG85" s="107"/>
      <c r="AH85" s="107"/>
      <c r="AI85" s="107"/>
      <c r="AJ85" s="107"/>
      <c r="AK85" s="107"/>
      <c r="AL85" s="107"/>
      <c r="AM85" s="115"/>
      <c r="AO85" s="117"/>
      <c r="AP85" s="118"/>
      <c r="AQ85" s="118"/>
      <c r="AR85" s="118"/>
      <c r="AS85" s="119"/>
      <c r="AT85" s="119"/>
    </row>
    <row r="86" customFormat="false" ht="19.4" hidden="false" customHeight="false" outlineLevel="0" collapsed="false">
      <c r="A86" s="120"/>
      <c r="B86" s="121" t="s">
        <v>179</v>
      </c>
      <c r="C86" s="110" t="n">
        <v>9</v>
      </c>
      <c r="D86" s="122" t="n">
        <v>1.2</v>
      </c>
      <c r="E86" s="122" t="n">
        <v>1.2</v>
      </c>
      <c r="F86" s="122" t="n">
        <v>0.5</v>
      </c>
      <c r="G86" s="123" t="n">
        <f aca="false">C86*D86*E86*F86</f>
        <v>6.48</v>
      </c>
      <c r="H86" s="101"/>
      <c r="I86" s="123" t="n">
        <f aca="false">2*(D86+E86)*F86*C86</f>
        <v>21.6</v>
      </c>
      <c r="J86" s="101"/>
      <c r="K86" s="124"/>
      <c r="L86" s="125"/>
      <c r="M86" s="125"/>
      <c r="N86" s="126"/>
      <c r="O86" s="126"/>
      <c r="P86" s="126"/>
      <c r="Q86" s="127"/>
      <c r="R86" s="105" t="str">
        <f aca="false">IF(P86=6,N86*O86*Q86*0.222*1,IF(P86&gt;6,"",IF(P86&lt;6,"")))</f>
        <v/>
      </c>
      <c r="S86" s="106" t="str">
        <f aca="false">IF(P86=8,N86*O86*Q86*0.395*1,IF(P86&gt;8,"",IF(P86&lt;8,"")))</f>
        <v/>
      </c>
      <c r="T86" s="106" t="str">
        <f aca="false">IF(P86=10,N86*O86*Q86*0.617*1,IF(P86&gt;10,"",IF(P86&lt;10,"")))</f>
        <v/>
      </c>
      <c r="U86" s="106" t="str">
        <f aca="false">IF(P86=12,N86*O86*Q86*0.888*1,IF(P86&gt;12,"",IF(P86&lt;12,"")))</f>
        <v/>
      </c>
      <c r="V86" s="107" t="str">
        <f aca="false">IF(P86=16,N86*O86*Q86*1.578*1,IF(P86&gt;16,"",IF(P86&lt;16,"")))</f>
        <v/>
      </c>
      <c r="W86" s="106" t="str">
        <f aca="false">IF(P86=20,N86*O86*Q86*2.466*1,IF(P86&gt;20,"",IF(P86&lt;20,"")))</f>
        <v/>
      </c>
      <c r="X86" s="106" t="str">
        <f aca="false">IF(P86=25,N86*O86*Q86*3.853*1,IF(P86&gt;25,"",IF(P86&lt;25,"")))</f>
        <v/>
      </c>
      <c r="Y86" s="108" t="str">
        <f aca="false">IF(P86=32,N86*O86*Q86*6.313*1,IF(P86&gt;32,"",IF(P86&lt;32,"")))</f>
        <v/>
      </c>
      <c r="Z86" s="109"/>
      <c r="AA86" s="110" t="str">
        <f aca="false">IF(AC86&gt;0,N86,"")</f>
        <v/>
      </c>
      <c r="AB86" s="111" t="str">
        <f aca="false">IF(AC86&gt;0,O86,"")</f>
        <v/>
      </c>
      <c r="AC86" s="112"/>
      <c r="AD86" s="112"/>
      <c r="AE86" s="113" t="str">
        <f aca="false">IF(AC86&gt;0,P86,"")</f>
        <v/>
      </c>
      <c r="AF86" s="114" t="str">
        <f aca="false">IF(AE86=6,AA86*AB86*AC86*AD86*(AE86/1000)*0.222*1,IF(AE86&gt;6,"",IF(AE86&lt;6,"")))</f>
        <v/>
      </c>
      <c r="AG86" s="107" t="str">
        <f aca="false">IF(AE86=8,AA86*AB86*AC86*AD86*(AE86/1000)*0.395*1,IF(AE86&gt;8,"",IF(AE86&lt;8,"")))</f>
        <v/>
      </c>
      <c r="AH86" s="107" t="str">
        <f aca="false">IF(AE86=10,AA86*AB86*AC86*AD86*(AE86/1000)*0.617*1,IF(AE86&gt;10,"",IF(AE86&lt;10,"")))</f>
        <v/>
      </c>
      <c r="AI86" s="107" t="str">
        <f aca="false">IF(AE86=12,AA86*AB86*AC86*AD86*(AE86/1000)*0.888*1,IF(AE86&gt;12,"",IF(AE86&lt;12,"")))</f>
        <v/>
      </c>
      <c r="AJ86" s="107" t="str">
        <f aca="false">IF(AE86=16,AA86*AB86*AC86*AD86*(AE86/1000)*1.578*1,IF(AE86&gt;16,"",IF(AE86&lt;16,"")))</f>
        <v/>
      </c>
      <c r="AK86" s="107" t="str">
        <f aca="false">IF(AE86=20,AA86*AB86*AC86*AD86*(AE86/1000)*2.466*1,IF(AE86&gt;20,"",IF(AE86&lt;20,"")))</f>
        <v/>
      </c>
      <c r="AL86" s="107" t="str">
        <f aca="false">IF(AE86=25,AA86*AB86*AC86*AD86*(AE86/1000)*3.853*1,IF(AE86&gt;25,"",IF(AE86&lt;25,"")))</f>
        <v/>
      </c>
      <c r="AM86" s="115" t="str">
        <f aca="false">IF(AE86=32,AA86*AB86*AC86*AD86*(AE86/1000)*6.313*1,IF(AE86&gt;32,"",IF(AE86&lt;32,"")))</f>
        <v/>
      </c>
      <c r="AN86" s="128"/>
      <c r="AO86" s="117" t="s">
        <v>178</v>
      </c>
      <c r="AP86" s="118" t="n">
        <f aca="false">SUM(R86:Y86)+SUM(AN86)</f>
        <v>0</v>
      </c>
      <c r="AQ86" s="118" t="n">
        <f aca="false">SUM(AF86:AM86)</f>
        <v>0</v>
      </c>
      <c r="AR86" s="118" t="n">
        <v>6.48</v>
      </c>
      <c r="AS86" s="119" t="s">
        <v>260</v>
      </c>
      <c r="AT86" s="119" t="s">
        <v>209</v>
      </c>
    </row>
    <row r="87" customFormat="false" ht="13.5" hidden="false" customHeight="false" outlineLevel="0" collapsed="false">
      <c r="A87" s="129"/>
      <c r="B87" s="172"/>
      <c r="C87" s="110"/>
      <c r="D87" s="122"/>
      <c r="E87" s="122"/>
      <c r="F87" s="173"/>
      <c r="G87" s="123"/>
      <c r="H87" s="101"/>
      <c r="I87" s="123"/>
      <c r="J87" s="101"/>
      <c r="K87" s="124" t="s">
        <v>253</v>
      </c>
      <c r="L87" s="125" t="n">
        <f aca="false">$E$86-2*0.05</f>
        <v>1.1</v>
      </c>
      <c r="M87" s="125" t="n">
        <v>0.2</v>
      </c>
      <c r="N87" s="126" t="n">
        <f aca="false">$C$86</f>
        <v>9</v>
      </c>
      <c r="O87" s="126" t="n">
        <f aca="false">CEILING(L87/M87,1)+1</f>
        <v>7</v>
      </c>
      <c r="P87" s="126" t="n">
        <v>12</v>
      </c>
      <c r="Q87" s="127" t="n">
        <f aca="false">$D$86-2*0.05+2*($F$86-2*0.05)</f>
        <v>1.9</v>
      </c>
      <c r="R87" s="105" t="str">
        <f aca="false">IF(P87=6,N87*O87*Q87*0.222*1,IF(P87&gt;6,"",IF(P87&lt;6,"")))</f>
        <v/>
      </c>
      <c r="S87" s="106" t="str">
        <f aca="false">IF(P87=8,N87*O87*Q87*0.395*1,IF(P87&gt;8,"",IF(P87&lt;8,"")))</f>
        <v/>
      </c>
      <c r="T87" s="106" t="str">
        <f aca="false">IF(P87=10,N87*O87*Q87*0.617*1,IF(P87&gt;10,"",IF(P87&lt;10,"")))</f>
        <v/>
      </c>
      <c r="U87" s="106" t="n">
        <f aca="false">IF(P87=12,N87*O87*Q87*0.888*1,IF(P87&gt;12,"",IF(P87&lt;12,"")))</f>
        <v>106.2936</v>
      </c>
      <c r="V87" s="107" t="str">
        <f aca="false">IF(P87=16,N87*O87*Q87*1.578*1,IF(P87&gt;16,"",IF(P87&lt;16,"")))</f>
        <v/>
      </c>
      <c r="W87" s="106" t="str">
        <f aca="false">IF(P87=20,N87*O87*Q87*2.466*1,IF(P87&gt;20,"",IF(P87&lt;20,"")))</f>
        <v/>
      </c>
      <c r="X87" s="106" t="str">
        <f aca="false">IF(P87=25,N87*O87*Q87*3.853*1,IF(P87&gt;25,"",IF(P87&lt;25,"")))</f>
        <v/>
      </c>
      <c r="Y87" s="108" t="str">
        <f aca="false">IF(P87=32,N87*O87*Q87*6.313*1,IF(P87&gt;32,"",IF(P87&lt;32,"")))</f>
        <v/>
      </c>
      <c r="Z87" s="109"/>
      <c r="AA87" s="110" t="str">
        <f aca="false">IF(AC87&gt;0,N87,"")</f>
        <v/>
      </c>
      <c r="AB87" s="111" t="str">
        <f aca="false">IF(AC87&gt;0,O87,"")</f>
        <v/>
      </c>
      <c r="AC87" s="112"/>
      <c r="AD87" s="112"/>
      <c r="AE87" s="113" t="str">
        <f aca="false">IF(AC87&gt;0,P87,"")</f>
        <v/>
      </c>
      <c r="AF87" s="114" t="str">
        <f aca="false">IF(AE87=6,AA87*AB87*AC87*AD87*(AE87/1000)*0.222*1,IF(AE87&gt;6,"",IF(AE87&lt;6,"")))</f>
        <v/>
      </c>
      <c r="AG87" s="107" t="str">
        <f aca="false">IF(AE87=8,AA87*AB87*AC87*AD87*(AE87/1000)*0.395*1,IF(AE87&gt;8,"",IF(AE87&lt;8,"")))</f>
        <v/>
      </c>
      <c r="AH87" s="107" t="str">
        <f aca="false">IF(AE87=10,AA87*AB87*AC87*AD87*(AE87/1000)*0.617*1,IF(AE87&gt;10,"",IF(AE87&lt;10,"")))</f>
        <v/>
      </c>
      <c r="AI87" s="107" t="str">
        <f aca="false">IF(AE87=12,AA87*AB87*AC87*AD87*(AE87/1000)*0.888*1,IF(AE87&gt;12,"",IF(AE87&lt;12,"")))</f>
        <v/>
      </c>
      <c r="AJ87" s="107" t="str">
        <f aca="false">IF(AE87=16,AA87*AB87*AC87*AD87*(AE87/1000)*1.578*1,IF(AE87&gt;16,"",IF(AE87&lt;16,"")))</f>
        <v/>
      </c>
      <c r="AK87" s="107" t="str">
        <f aca="false">IF(AE87=20,AA87*AB87*AC87*AD87*(AE87/1000)*2.466*1,IF(AE87&gt;20,"",IF(AE87&lt;20,"")))</f>
        <v/>
      </c>
      <c r="AL87" s="107" t="str">
        <f aca="false">IF(AE87=25,AA87*AB87*AC87*AD87*(AE87/1000)*3.853*1,IF(AE87&gt;25,"",IF(AE87&lt;25,"")))</f>
        <v/>
      </c>
      <c r="AM87" s="115" t="str">
        <f aca="false">IF(AE87=32,AA87*AB87*AC87*AD87*(AE87/1000)*6.313*1,IF(AE87&gt;32,"",IF(AE87&lt;32,"")))</f>
        <v/>
      </c>
      <c r="AN87" s="128"/>
      <c r="AO87" s="117" t="s">
        <v>178</v>
      </c>
      <c r="AP87" s="118" t="n">
        <f aca="false">SUM(R87:Y87)+SUM(AN87)</f>
        <v>106.2936</v>
      </c>
      <c r="AQ87" s="118" t="n">
        <f aca="false">SUM(AF87:AM87)</f>
        <v>0</v>
      </c>
      <c r="AR87" s="118"/>
      <c r="AS87" s="119" t="s">
        <v>211</v>
      </c>
      <c r="AT87" s="119" t="s">
        <v>162</v>
      </c>
    </row>
    <row r="88" customFormat="false" ht="13.5" hidden="false" customHeight="false" outlineLevel="0" collapsed="false">
      <c r="A88" s="129"/>
      <c r="B88" s="172"/>
      <c r="C88" s="110"/>
      <c r="D88" s="122"/>
      <c r="E88" s="122"/>
      <c r="F88" s="173"/>
      <c r="G88" s="123"/>
      <c r="H88" s="101"/>
      <c r="I88" s="123"/>
      <c r="J88" s="101"/>
      <c r="K88" s="124" t="s">
        <v>254</v>
      </c>
      <c r="L88" s="125" t="n">
        <f aca="false">$D$86-2*0.05</f>
        <v>1.1</v>
      </c>
      <c r="M88" s="125" t="n">
        <v>0.2</v>
      </c>
      <c r="N88" s="126" t="n">
        <f aca="false">$C$86</f>
        <v>9</v>
      </c>
      <c r="O88" s="126" t="n">
        <f aca="false">CEILING(L88/M88,1)+1</f>
        <v>7</v>
      </c>
      <c r="P88" s="126" t="n">
        <v>12</v>
      </c>
      <c r="Q88" s="127" t="n">
        <f aca="false">$E$86-2*0.05+2*($F$86-2*0.05)</f>
        <v>1.9</v>
      </c>
      <c r="R88" s="105" t="str">
        <f aca="false">IF(P88=6,N88*O88*Q88*0.222*1,IF(P88&gt;6,"",IF(P88&lt;6,"")))</f>
        <v/>
      </c>
      <c r="S88" s="106" t="str">
        <f aca="false">IF(P88=8,N88*O88*Q88*0.395*1,IF(P88&gt;8,"",IF(P88&lt;8,"")))</f>
        <v/>
      </c>
      <c r="T88" s="106" t="str">
        <f aca="false">IF(P88=10,N88*O88*Q88*0.617*1,IF(P88&gt;10,"",IF(P88&lt;10,"")))</f>
        <v/>
      </c>
      <c r="U88" s="106" t="n">
        <f aca="false">IF(P88=12,N88*O88*Q88*0.888*1,IF(P88&gt;12,"",IF(P88&lt;12,"")))</f>
        <v>106.2936</v>
      </c>
      <c r="V88" s="107" t="str">
        <f aca="false">IF(P88=16,N88*O88*Q88*1.578*1,IF(P88&gt;16,"",IF(P88&lt;16,"")))</f>
        <v/>
      </c>
      <c r="W88" s="106" t="str">
        <f aca="false">IF(P88=20,N88*O88*Q88*2.466*1,IF(P88&gt;20,"",IF(P88&lt;20,"")))</f>
        <v/>
      </c>
      <c r="X88" s="106" t="str">
        <f aca="false">IF(P88=25,N88*O88*Q88*3.853*1,IF(P88&gt;25,"",IF(P88&lt;25,"")))</f>
        <v/>
      </c>
      <c r="Y88" s="108" t="str">
        <f aca="false">IF(P88=32,N88*O88*Q88*6.313*1,IF(P88&gt;32,"",IF(P88&lt;32,"")))</f>
        <v/>
      </c>
      <c r="Z88" s="109"/>
      <c r="AA88" s="110" t="str">
        <f aca="false">IF(AC88&gt;0,N88,"")</f>
        <v/>
      </c>
      <c r="AB88" s="111" t="str">
        <f aca="false">IF(AC88&gt;0,O88,"")</f>
        <v/>
      </c>
      <c r="AC88" s="112"/>
      <c r="AD88" s="112"/>
      <c r="AE88" s="113" t="str">
        <f aca="false">IF(AC88&gt;0,P88,"")</f>
        <v/>
      </c>
      <c r="AF88" s="114" t="str">
        <f aca="false">IF(AE88=6,AA88*AB88*AC88*AD88*(AE88/1000)*0.222*1,IF(AE88&gt;6,"",IF(AE88&lt;6,"")))</f>
        <v/>
      </c>
      <c r="AG88" s="107" t="str">
        <f aca="false">IF(AE88=8,AA88*AB88*AC88*AD88*(AE88/1000)*0.395*1,IF(AE88&gt;8,"",IF(AE88&lt;8,"")))</f>
        <v/>
      </c>
      <c r="AH88" s="107" t="str">
        <f aca="false">IF(AE88=10,AA88*AB88*AC88*AD88*(AE88/1000)*0.617*1,IF(AE88&gt;10,"",IF(AE88&lt;10,"")))</f>
        <v/>
      </c>
      <c r="AI88" s="107" t="str">
        <f aca="false">IF(AE88=12,AA88*AB88*AC88*AD88*(AE88/1000)*0.888*1,IF(AE88&gt;12,"",IF(AE88&lt;12,"")))</f>
        <v/>
      </c>
      <c r="AJ88" s="107" t="str">
        <f aca="false">IF(AE88=16,AA88*AB88*AC88*AD88*(AE88/1000)*1.578*1,IF(AE88&gt;16,"",IF(AE88&lt;16,"")))</f>
        <v/>
      </c>
      <c r="AK88" s="107" t="str">
        <f aca="false">IF(AE88=20,AA88*AB88*AC88*AD88*(AE88/1000)*2.466*1,IF(AE88&gt;20,"",IF(AE88&lt;20,"")))</f>
        <v/>
      </c>
      <c r="AL88" s="107" t="str">
        <f aca="false">IF(AE88=25,AA88*AB88*AC88*AD88*(AE88/1000)*3.853*1,IF(AE88&gt;25,"",IF(AE88&lt;25,"")))</f>
        <v/>
      </c>
      <c r="AM88" s="115" t="str">
        <f aca="false">IF(AE88=32,AA88*AB88*AC88*AD88*(AE88/1000)*6.313*1,IF(AE88&gt;32,"",IF(AE88&lt;32,"")))</f>
        <v/>
      </c>
      <c r="AN88" s="128"/>
      <c r="AO88" s="117" t="s">
        <v>178</v>
      </c>
      <c r="AP88" s="118" t="n">
        <f aca="false">SUM(R88:Y88)+SUM(AN88)</f>
        <v>106.2936</v>
      </c>
      <c r="AQ88" s="118" t="n">
        <f aca="false">SUM(AF88:AM88)</f>
        <v>0</v>
      </c>
      <c r="AR88" s="118"/>
      <c r="AS88" s="119" t="s">
        <v>211</v>
      </c>
      <c r="AT88" s="119" t="s">
        <v>162</v>
      </c>
    </row>
    <row r="89" customFormat="false" ht="13.5" hidden="false" customHeight="false" outlineLevel="0" collapsed="false">
      <c r="A89" s="129"/>
      <c r="B89" s="172"/>
      <c r="C89" s="110"/>
      <c r="D89" s="122"/>
      <c r="E89" s="122"/>
      <c r="F89" s="173"/>
      <c r="G89" s="123"/>
      <c r="H89" s="101"/>
      <c r="I89" s="123"/>
      <c r="J89" s="101"/>
      <c r="K89" s="124" t="s">
        <v>255</v>
      </c>
      <c r="L89" s="125" t="n">
        <f aca="false">$E$86-2*0.05</f>
        <v>1.1</v>
      </c>
      <c r="M89" s="125" t="n">
        <v>0.2</v>
      </c>
      <c r="N89" s="126" t="n">
        <f aca="false">$C$86</f>
        <v>9</v>
      </c>
      <c r="O89" s="126" t="n">
        <f aca="false">CEILING(L89/M89,1)+1</f>
        <v>7</v>
      </c>
      <c r="P89" s="126" t="n">
        <v>12</v>
      </c>
      <c r="Q89" s="127" t="n">
        <f aca="false">$D$86-2*0.05+2*($F$86-2*0.05)</f>
        <v>1.9</v>
      </c>
      <c r="R89" s="105" t="str">
        <f aca="false">IF(P89=6,N89*O89*Q89*0.222*1,IF(P89&gt;6,"",IF(P89&lt;6,"")))</f>
        <v/>
      </c>
      <c r="S89" s="106" t="str">
        <f aca="false">IF(P89=8,N89*O89*Q89*0.395*1,IF(P89&gt;8,"",IF(P89&lt;8,"")))</f>
        <v/>
      </c>
      <c r="T89" s="106" t="str">
        <f aca="false">IF(P89=10,N89*O89*Q89*0.617*1,IF(P89&gt;10,"",IF(P89&lt;10,"")))</f>
        <v/>
      </c>
      <c r="U89" s="106" t="n">
        <f aca="false">IF(P89=12,N89*O89*Q89*0.888*1,IF(P89&gt;12,"",IF(P89&lt;12,"")))</f>
        <v>106.2936</v>
      </c>
      <c r="V89" s="107" t="str">
        <f aca="false">IF(P89=16,N89*O89*Q89*1.578*1,IF(P89&gt;16,"",IF(P89&lt;16,"")))</f>
        <v/>
      </c>
      <c r="W89" s="106" t="str">
        <f aca="false">IF(P89=20,N89*O89*Q89*2.466*1,IF(P89&gt;20,"",IF(P89&lt;20,"")))</f>
        <v/>
      </c>
      <c r="X89" s="106" t="str">
        <f aca="false">IF(P89=25,N89*O89*Q89*3.853*1,IF(P89&gt;25,"",IF(P89&lt;25,"")))</f>
        <v/>
      </c>
      <c r="Y89" s="108" t="str">
        <f aca="false">IF(P89=32,N89*O89*Q89*6.313*1,IF(P89&gt;32,"",IF(P89&lt;32,"")))</f>
        <v/>
      </c>
      <c r="Z89" s="109"/>
      <c r="AA89" s="110" t="str">
        <f aca="false">IF(AC89&gt;0,N89,"")</f>
        <v/>
      </c>
      <c r="AB89" s="111" t="str">
        <f aca="false">IF(AC89&gt;0,O89,"")</f>
        <v/>
      </c>
      <c r="AC89" s="112"/>
      <c r="AD89" s="112"/>
      <c r="AE89" s="113" t="str">
        <f aca="false">IF(AC89&gt;0,P89,"")</f>
        <v/>
      </c>
      <c r="AF89" s="114" t="str">
        <f aca="false">IF(AE89=6,AA89*AB89*AC89*AD89*(AE89/1000)*0.222*1,IF(AE89&gt;6,"",IF(AE89&lt;6,"")))</f>
        <v/>
      </c>
      <c r="AG89" s="107" t="str">
        <f aca="false">IF(AE89=8,AA89*AB89*AC89*AD89*(AE89/1000)*0.395*1,IF(AE89&gt;8,"",IF(AE89&lt;8,"")))</f>
        <v/>
      </c>
      <c r="AH89" s="107" t="str">
        <f aca="false">IF(AE89=10,AA89*AB89*AC89*AD89*(AE89/1000)*0.617*1,IF(AE89&gt;10,"",IF(AE89&lt;10,"")))</f>
        <v/>
      </c>
      <c r="AI89" s="107" t="str">
        <f aca="false">IF(AE89=12,AA89*AB89*AC89*AD89*(AE89/1000)*0.888*1,IF(AE89&gt;12,"",IF(AE89&lt;12,"")))</f>
        <v/>
      </c>
      <c r="AJ89" s="107" t="str">
        <f aca="false">IF(AE89=16,AA89*AB89*AC89*AD89*(AE89/1000)*1.578*1,IF(AE89&gt;16,"",IF(AE89&lt;16,"")))</f>
        <v/>
      </c>
      <c r="AK89" s="107" t="str">
        <f aca="false">IF(AE89=20,AA89*AB89*AC89*AD89*(AE89/1000)*2.466*1,IF(AE89&gt;20,"",IF(AE89&lt;20,"")))</f>
        <v/>
      </c>
      <c r="AL89" s="107" t="str">
        <f aca="false">IF(AE89=25,AA89*AB89*AC89*AD89*(AE89/1000)*3.853*1,IF(AE89&gt;25,"",IF(AE89&lt;25,"")))</f>
        <v/>
      </c>
      <c r="AM89" s="115" t="str">
        <f aca="false">IF(AE89=32,AA89*AB89*AC89*AD89*(AE89/1000)*6.313*1,IF(AE89&gt;32,"",IF(AE89&lt;32,"")))</f>
        <v/>
      </c>
      <c r="AN89" s="128"/>
      <c r="AO89" s="117" t="s">
        <v>178</v>
      </c>
      <c r="AP89" s="118" t="n">
        <f aca="false">SUM(R89:Y89)+SUM(AN89)</f>
        <v>106.2936</v>
      </c>
      <c r="AQ89" s="118" t="n">
        <f aca="false">SUM(AF89:AM89)</f>
        <v>0</v>
      </c>
      <c r="AR89" s="118"/>
      <c r="AS89" s="119" t="s">
        <v>211</v>
      </c>
      <c r="AT89" s="119" t="s">
        <v>162</v>
      </c>
    </row>
    <row r="90" customFormat="false" ht="13.5" hidden="false" customHeight="false" outlineLevel="0" collapsed="false">
      <c r="A90" s="129"/>
      <c r="B90" s="172"/>
      <c r="C90" s="110"/>
      <c r="D90" s="122"/>
      <c r="E90" s="122"/>
      <c r="F90" s="173"/>
      <c r="G90" s="123"/>
      <c r="H90" s="101"/>
      <c r="I90" s="123"/>
      <c r="J90" s="101"/>
      <c r="K90" s="124" t="s">
        <v>256</v>
      </c>
      <c r="L90" s="125" t="n">
        <f aca="false">$D$86-2*0.05</f>
        <v>1.1</v>
      </c>
      <c r="M90" s="125" t="n">
        <v>0.2</v>
      </c>
      <c r="N90" s="126" t="n">
        <f aca="false">$C$86</f>
        <v>9</v>
      </c>
      <c r="O90" s="126" t="n">
        <f aca="false">CEILING(L90/M90,1)+1</f>
        <v>7</v>
      </c>
      <c r="P90" s="126" t="n">
        <v>12</v>
      </c>
      <c r="Q90" s="127" t="n">
        <f aca="false">$E$86-2*0.05+2*($F$86-2*0.05)</f>
        <v>1.9</v>
      </c>
      <c r="R90" s="105" t="str">
        <f aca="false">IF(P90=6,N90*O90*Q90*0.222*1,IF(P90&gt;6,"",IF(P90&lt;6,"")))</f>
        <v/>
      </c>
      <c r="S90" s="106" t="str">
        <f aca="false">IF(P90=8,N90*O90*Q90*0.395*1,IF(P90&gt;8,"",IF(P90&lt;8,"")))</f>
        <v/>
      </c>
      <c r="T90" s="106" t="str">
        <f aca="false">IF(P90=10,N90*O90*Q90*0.617*1,IF(P90&gt;10,"",IF(P90&lt;10,"")))</f>
        <v/>
      </c>
      <c r="U90" s="106" t="n">
        <f aca="false">IF(P90=12,N90*O90*Q90*0.888*1,IF(P90&gt;12,"",IF(P90&lt;12,"")))</f>
        <v>106.2936</v>
      </c>
      <c r="V90" s="107" t="str">
        <f aca="false">IF(P90=16,N90*O90*Q90*1.578*1,IF(P90&gt;16,"",IF(P90&lt;16,"")))</f>
        <v/>
      </c>
      <c r="W90" s="106" t="str">
        <f aca="false">IF(P90=20,N90*O90*Q90*2.466*1,IF(P90&gt;20,"",IF(P90&lt;20,"")))</f>
        <v/>
      </c>
      <c r="X90" s="106" t="str">
        <f aca="false">IF(P90=25,N90*O90*Q90*3.853*1,IF(P90&gt;25,"",IF(P90&lt;25,"")))</f>
        <v/>
      </c>
      <c r="Y90" s="108" t="str">
        <f aca="false">IF(P90=32,N90*O90*Q90*6.313*1,IF(P90&gt;32,"",IF(P90&lt;32,"")))</f>
        <v/>
      </c>
      <c r="Z90" s="109"/>
      <c r="AA90" s="110" t="str">
        <f aca="false">IF(AC90&gt;0,N90,"")</f>
        <v/>
      </c>
      <c r="AB90" s="111" t="str">
        <f aca="false">IF(AC90&gt;0,O90,"")</f>
        <v/>
      </c>
      <c r="AC90" s="112"/>
      <c r="AD90" s="112"/>
      <c r="AE90" s="113" t="str">
        <f aca="false">IF(AC90&gt;0,P90,"")</f>
        <v/>
      </c>
      <c r="AF90" s="114" t="str">
        <f aca="false">IF(AE90=6,AA90*AB90*AC90*AD90*(AE90/1000)*0.222*1,IF(AE90&gt;6,"",IF(AE90&lt;6,"")))</f>
        <v/>
      </c>
      <c r="AG90" s="107" t="str">
        <f aca="false">IF(AE90=8,AA90*AB90*AC90*AD90*(AE90/1000)*0.395*1,IF(AE90&gt;8,"",IF(AE90&lt;8,"")))</f>
        <v/>
      </c>
      <c r="AH90" s="107" t="str">
        <f aca="false">IF(AE90=10,AA90*AB90*AC90*AD90*(AE90/1000)*0.617*1,IF(AE90&gt;10,"",IF(AE90&lt;10,"")))</f>
        <v/>
      </c>
      <c r="AI90" s="107" t="str">
        <f aca="false">IF(AE90=12,AA90*AB90*AC90*AD90*(AE90/1000)*0.888*1,IF(AE90&gt;12,"",IF(AE90&lt;12,"")))</f>
        <v/>
      </c>
      <c r="AJ90" s="107" t="str">
        <f aca="false">IF(AE90=16,AA90*AB90*AC90*AD90*(AE90/1000)*1.578*1,IF(AE90&gt;16,"",IF(AE90&lt;16,"")))</f>
        <v/>
      </c>
      <c r="AK90" s="107" t="str">
        <f aca="false">IF(AE90=20,AA90*AB90*AC90*AD90*(AE90/1000)*2.466*1,IF(AE90&gt;20,"",IF(AE90&lt;20,"")))</f>
        <v/>
      </c>
      <c r="AL90" s="107" t="str">
        <f aca="false">IF(AE90=25,AA90*AB90*AC90*AD90*(AE90/1000)*3.853*1,IF(AE90&gt;25,"",IF(AE90&lt;25,"")))</f>
        <v/>
      </c>
      <c r="AM90" s="115" t="str">
        <f aca="false">IF(AE90=32,AA90*AB90*AC90*AD90*(AE90/1000)*6.313*1,IF(AE90&gt;32,"",IF(AE90&lt;32,"")))</f>
        <v/>
      </c>
      <c r="AN90" s="128"/>
      <c r="AO90" s="117" t="s">
        <v>178</v>
      </c>
      <c r="AP90" s="118" t="n">
        <f aca="false">SUM(R90:Y90)+SUM(AN90)</f>
        <v>106.2936</v>
      </c>
      <c r="AQ90" s="118" t="n">
        <f aca="false">SUM(AF90:AM90)</f>
        <v>0</v>
      </c>
      <c r="AR90" s="118"/>
      <c r="AS90" s="119" t="s">
        <v>211</v>
      </c>
      <c r="AT90" s="119" t="s">
        <v>162</v>
      </c>
    </row>
    <row r="91" s="116" customFormat="true" ht="13.5" hidden="false" customHeight="false" outlineLevel="0" collapsed="false">
      <c r="A91" s="129"/>
      <c r="B91" s="172"/>
      <c r="C91" s="110"/>
      <c r="D91" s="122"/>
      <c r="E91" s="122"/>
      <c r="F91" s="173"/>
      <c r="G91" s="123"/>
      <c r="H91" s="101"/>
      <c r="I91" s="123"/>
      <c r="J91" s="101"/>
      <c r="K91" s="124" t="s">
        <v>224</v>
      </c>
      <c r="L91" s="125"/>
      <c r="M91" s="125"/>
      <c r="N91" s="126" t="n">
        <f aca="false">$C$86</f>
        <v>9</v>
      </c>
      <c r="O91" s="126" t="n">
        <v>4</v>
      </c>
      <c r="P91" s="126" t="n">
        <v>12</v>
      </c>
      <c r="Q91" s="127" t="n">
        <f aca="false">2*($D$86+$E$86)-8*0.05</f>
        <v>4.4</v>
      </c>
      <c r="R91" s="105" t="str">
        <f aca="false">IF(P91=6,N91*O91*Q91*0.222*1,IF(P91&gt;6,"",IF(P91&lt;6,"")))</f>
        <v/>
      </c>
      <c r="S91" s="106" t="str">
        <f aca="false">IF(P91=8,N91*O91*Q91*0.395*1,IF(P91&gt;8,"",IF(P91&lt;8,"")))</f>
        <v/>
      </c>
      <c r="T91" s="106" t="str">
        <f aca="false">IF(P91=10,N91*O91*Q91*0.617*1,IF(P91&gt;10,"",IF(P91&lt;10,"")))</f>
        <v/>
      </c>
      <c r="U91" s="106" t="n">
        <f aca="false">IF(P91=12,N91*O91*Q91*0.888*1,IF(P91&gt;12,"",IF(P91&lt;12,"")))</f>
        <v>140.6592</v>
      </c>
      <c r="V91" s="107" t="str">
        <f aca="false">IF(P91=16,N91*O91*Q91*1.578*1,IF(P91&gt;16,"",IF(P91&lt;16,"")))</f>
        <v/>
      </c>
      <c r="W91" s="106" t="str">
        <f aca="false">IF(P91=20,N91*O91*Q91*2.466*1,IF(P91&gt;20,"",IF(P91&lt;20,"")))</f>
        <v/>
      </c>
      <c r="X91" s="106" t="str">
        <f aca="false">IF(P91=25,N91*O91*Q91*3.853*1,IF(P91&gt;25,"",IF(P91&lt;25,"")))</f>
        <v/>
      </c>
      <c r="Y91" s="108" t="str">
        <f aca="false">IF(P91=32,N91*O91*Q91*6.313*1,IF(P91&gt;32,"",IF(P91&lt;32,"")))</f>
        <v/>
      </c>
      <c r="Z91" s="109"/>
      <c r="AA91" s="110" t="n">
        <f aca="false">IF(AC91&gt;0,N91,"")</f>
        <v>9</v>
      </c>
      <c r="AB91" s="111" t="n">
        <f aca="false">IF(AC91&gt;0,O91,"")</f>
        <v>4</v>
      </c>
      <c r="AC91" s="112" t="n">
        <v>1</v>
      </c>
      <c r="AD91" s="112" t="n">
        <v>50</v>
      </c>
      <c r="AE91" s="113" t="n">
        <f aca="false">IF(AC91&gt;0,P91,"")</f>
        <v>12</v>
      </c>
      <c r="AF91" s="114" t="str">
        <f aca="false">IF(AE91=6,AA91*AB91*AC91*AD91*(AE91/1000)*0.222*1,IF(AE91&gt;6,"",IF(AE91&lt;6,"")))</f>
        <v/>
      </c>
      <c r="AG91" s="107" t="str">
        <f aca="false">IF(AE91=8,AA91*AB91*AC91*AD91*(AE91/1000)*0.395*1,IF(AE91&gt;8,"",IF(AE91&lt;8,"")))</f>
        <v/>
      </c>
      <c r="AH91" s="107" t="str">
        <f aca="false">IF(AE91=10,AA91*AB91*AC91*AD91*(AE91/1000)*0.617*1,IF(AE91&gt;10,"",IF(AE91&lt;10,"")))</f>
        <v/>
      </c>
      <c r="AI91" s="107" t="n">
        <f aca="false">IF(AE91=12,AA91*AB91*AC91*AD91*(AE91/1000)*0.888*1,IF(AE91&gt;12,"",IF(AE91&lt;12,"")))</f>
        <v>19.1808</v>
      </c>
      <c r="AJ91" s="107" t="str">
        <f aca="false">IF(AE91=16,AA91*AB91*AC91*AD91*(AE91/1000)*1.578*1,IF(AE91&gt;16,"",IF(AE91&lt;16,"")))</f>
        <v/>
      </c>
      <c r="AK91" s="107" t="str">
        <f aca="false">IF(AE91=20,AA91*AB91*AC91*AD91*(AE91/1000)*2.466*1,IF(AE91&gt;20,"",IF(AE91&lt;20,"")))</f>
        <v/>
      </c>
      <c r="AL91" s="107" t="str">
        <f aca="false">IF(AE91=25,AA91*AB91*AC91*AD91*(AE91/1000)*3.853*1,IF(AE91&gt;25,"",IF(AE91&lt;25,"")))</f>
        <v/>
      </c>
      <c r="AM91" s="115" t="str">
        <f aca="false">IF(AE91=32,AA91*AB91*AC91*AD91*(AE91/1000)*6.313*1,IF(AE91&gt;32,"",IF(AE91&lt;32,"")))</f>
        <v/>
      </c>
      <c r="AN91" s="128"/>
      <c r="AO91" s="117" t="s">
        <v>178</v>
      </c>
      <c r="AP91" s="118" t="n">
        <f aca="false">SUM(R91:Y91)+SUM(AN91)</f>
        <v>140.6592</v>
      </c>
      <c r="AQ91" s="118" t="n">
        <f aca="false">SUM(AF91:AM91)</f>
        <v>19.1808</v>
      </c>
      <c r="AR91" s="118"/>
      <c r="AS91" s="119" t="s">
        <v>216</v>
      </c>
      <c r="AT91" s="119" t="s">
        <v>173</v>
      </c>
    </row>
    <row r="92" customFormat="false" ht="13.5" hidden="false" customHeight="false" outlineLevel="0" collapsed="false">
      <c r="A92" s="129"/>
      <c r="B92" s="172"/>
      <c r="C92" s="110"/>
      <c r="D92" s="122"/>
      <c r="E92" s="122"/>
      <c r="F92" s="173"/>
      <c r="G92" s="123"/>
      <c r="H92" s="101"/>
      <c r="I92" s="123"/>
      <c r="J92" s="101"/>
      <c r="K92" s="124" t="s">
        <v>261</v>
      </c>
      <c r="L92" s="125"/>
      <c r="M92" s="125"/>
      <c r="N92" s="126" t="n">
        <v>7</v>
      </c>
      <c r="O92" s="126" t="n">
        <v>4</v>
      </c>
      <c r="P92" s="126" t="n">
        <v>16</v>
      </c>
      <c r="Q92" s="127" t="n">
        <f aca="false">MAX(50*16/1000,$F$86-2*0.05+0.15)+50*16/1000</f>
        <v>1.6</v>
      </c>
      <c r="R92" s="105" t="str">
        <f aca="false">IF(P92=6,N92*O92*Q92*0.222*1,IF(P92&gt;6,"",IF(P92&lt;6,"")))</f>
        <v/>
      </c>
      <c r="S92" s="106" t="str">
        <f aca="false">IF(P92=8,N92*O92*Q92*0.395*1,IF(P92&gt;8,"",IF(P92&lt;8,"")))</f>
        <v/>
      </c>
      <c r="T92" s="106" t="str">
        <f aca="false">IF(P92=10,N92*O92*Q92*0.617*1,IF(P92&gt;10,"",IF(P92&lt;10,"")))</f>
        <v/>
      </c>
      <c r="U92" s="106" t="str">
        <f aca="false">IF(P92=12,N92*O92*Q92*0.888*1,IF(P92&gt;12,"",IF(P92&lt;12,"")))</f>
        <v/>
      </c>
      <c r="V92" s="107" t="n">
        <f aca="false">IF(P92=16,N92*O92*Q92*1.578*1,IF(P92&gt;16,"",IF(P92&lt;16,"")))</f>
        <v>70.6944</v>
      </c>
      <c r="W92" s="106" t="str">
        <f aca="false">IF(P92=20,N92*O92*Q92*2.466*1,IF(P92&gt;20,"",IF(P92&lt;20,"")))</f>
        <v/>
      </c>
      <c r="X92" s="106" t="str">
        <f aca="false">IF(P92=25,N92*O92*Q92*3.853*1,IF(P92&gt;25,"",IF(P92&lt;25,"")))</f>
        <v/>
      </c>
      <c r="Y92" s="108" t="str">
        <f aca="false">IF(P92=32,N92*O92*Q92*6.313*1,IF(P92&gt;32,"",IF(P92&lt;32,"")))</f>
        <v/>
      </c>
      <c r="Z92" s="109"/>
      <c r="AA92" s="110" t="str">
        <f aca="false">IF(AC92&gt;0,N92,"")</f>
        <v/>
      </c>
      <c r="AB92" s="111" t="str">
        <f aca="false">IF(AC92&gt;0,O92,"")</f>
        <v/>
      </c>
      <c r="AC92" s="112"/>
      <c r="AD92" s="112"/>
      <c r="AE92" s="113" t="str">
        <f aca="false">IF(AC92&gt;0,P92,"")</f>
        <v/>
      </c>
      <c r="AF92" s="114" t="str">
        <f aca="false">IF(AE92=6,AA92*AB92*AC92*AD92*(AE92/1000)*0.222*1,IF(AE92&gt;6,"",IF(AE92&lt;6,"")))</f>
        <v/>
      </c>
      <c r="AG92" s="107" t="str">
        <f aca="false">IF(AE92=8,AA92*AB92*AC92*AD92*(AE92/1000)*0.395*1,IF(AE92&gt;8,"",IF(AE92&lt;8,"")))</f>
        <v/>
      </c>
      <c r="AH92" s="107" t="str">
        <f aca="false">IF(AE92=10,AA92*AB92*AC92*AD92*(AE92/1000)*0.617*1,IF(AE92&gt;10,"",IF(AE92&lt;10,"")))</f>
        <v/>
      </c>
      <c r="AI92" s="107" t="str">
        <f aca="false">IF(AE92=12,AA92*AB92*AC92*AD92*(AE92/1000)*0.888*1,IF(AE92&gt;12,"",IF(AE92&lt;12,"")))</f>
        <v/>
      </c>
      <c r="AJ92" s="107" t="str">
        <f aca="false">IF(AE92=16,AA92*AB92*AC92*AD92*(AE92/1000)*1.578*1,IF(AE92&gt;16,"",IF(AE92&lt;16,"")))</f>
        <v/>
      </c>
      <c r="AK92" s="107" t="str">
        <f aca="false">IF(AE92=20,AA92*AB92*AC92*AD92*(AE92/1000)*2.466*1,IF(AE92&gt;20,"",IF(AE92&lt;20,"")))</f>
        <v/>
      </c>
      <c r="AL92" s="107" t="str">
        <f aca="false">IF(AE92=25,AA92*AB92*AC92*AD92*(AE92/1000)*3.853*1,IF(AE92&gt;25,"",IF(AE92&lt;25,"")))</f>
        <v/>
      </c>
      <c r="AM92" s="115" t="str">
        <f aca="false">IF(AE92=32,AA92*AB92*AC92*AD92*(AE92/1000)*6.313*1,IF(AE92&gt;32,"",IF(AE92&lt;32,"")))</f>
        <v/>
      </c>
      <c r="AN92" s="128"/>
      <c r="AO92" s="117" t="s">
        <v>178</v>
      </c>
      <c r="AP92" s="118" t="n">
        <f aca="false">SUM(R92:Y92)+SUM(AN92)</f>
        <v>70.6944</v>
      </c>
      <c r="AQ92" s="118" t="n">
        <f aca="false">SUM(AF92:AM92)</f>
        <v>0</v>
      </c>
      <c r="AR92" s="118"/>
      <c r="AS92" s="119" t="s">
        <v>218</v>
      </c>
      <c r="AT92" s="119" t="s">
        <v>173</v>
      </c>
    </row>
    <row r="93" customFormat="false" ht="13.5" hidden="false" customHeight="false" outlineLevel="0" collapsed="false">
      <c r="A93" s="129"/>
      <c r="B93" s="172"/>
      <c r="C93" s="110"/>
      <c r="D93" s="122"/>
      <c r="E93" s="122"/>
      <c r="F93" s="173"/>
      <c r="G93" s="123"/>
      <c r="H93" s="101"/>
      <c r="I93" s="123"/>
      <c r="J93" s="101"/>
      <c r="K93" s="124" t="s">
        <v>262</v>
      </c>
      <c r="L93" s="125"/>
      <c r="M93" s="125"/>
      <c r="N93" s="126" t="n">
        <v>7</v>
      </c>
      <c r="O93" s="126" t="n">
        <v>4</v>
      </c>
      <c r="P93" s="126" t="n">
        <v>12</v>
      </c>
      <c r="Q93" s="127" t="n">
        <f aca="false">MAX(50*12/1000,$F$86-2*0.05+0.15)+50*12/1000</f>
        <v>1.2</v>
      </c>
      <c r="R93" s="105" t="str">
        <f aca="false">IF(P93=6,N93*O93*Q93*0.222*1,IF(P93&gt;6,"",IF(P93&lt;6,"")))</f>
        <v/>
      </c>
      <c r="S93" s="106" t="str">
        <f aca="false">IF(P93=8,N93*O93*Q93*0.395*1,IF(P93&gt;8,"",IF(P93&lt;8,"")))</f>
        <v/>
      </c>
      <c r="T93" s="106" t="str">
        <f aca="false">IF(P93=10,N93*O93*Q93*0.617*1,IF(P93&gt;10,"",IF(P93&lt;10,"")))</f>
        <v/>
      </c>
      <c r="U93" s="106" t="n">
        <f aca="false">IF(P93=12,N93*O93*Q93*0.888*1,IF(P93&gt;12,"",IF(P93&lt;12,"")))</f>
        <v>29.8368</v>
      </c>
      <c r="V93" s="107" t="str">
        <f aca="false">IF(P93=16,N93*O93*Q93*1.578*1,IF(P93&gt;16,"",IF(P93&lt;16,"")))</f>
        <v/>
      </c>
      <c r="W93" s="106" t="str">
        <f aca="false">IF(P93=20,N93*O93*Q93*2.466*1,IF(P93&gt;20,"",IF(P93&lt;20,"")))</f>
        <v/>
      </c>
      <c r="X93" s="106" t="str">
        <f aca="false">IF(P93=25,N93*O93*Q93*3.853*1,IF(P93&gt;25,"",IF(P93&lt;25,"")))</f>
        <v/>
      </c>
      <c r="Y93" s="108" t="str">
        <f aca="false">IF(P93=32,N93*O93*Q93*6.313*1,IF(P93&gt;32,"",IF(P93&lt;32,"")))</f>
        <v/>
      </c>
      <c r="Z93" s="109"/>
      <c r="AA93" s="110" t="str">
        <f aca="false">IF(AC93&gt;0,N93,"")</f>
        <v/>
      </c>
      <c r="AB93" s="111" t="str">
        <f aca="false">IF(AC93&gt;0,O93,"")</f>
        <v/>
      </c>
      <c r="AC93" s="112"/>
      <c r="AD93" s="112"/>
      <c r="AE93" s="113" t="str">
        <f aca="false">IF(AC93&gt;0,P93,"")</f>
        <v/>
      </c>
      <c r="AF93" s="114" t="str">
        <f aca="false">IF(AE93=6,AA93*AB93*AC93*AD93*(AE93/1000)*0.222*1,IF(AE93&gt;6,"",IF(AE93&lt;6,"")))</f>
        <v/>
      </c>
      <c r="AG93" s="107" t="str">
        <f aca="false">IF(AE93=8,AA93*AB93*AC93*AD93*(AE93/1000)*0.395*1,IF(AE93&gt;8,"",IF(AE93&lt;8,"")))</f>
        <v/>
      </c>
      <c r="AH93" s="107" t="str">
        <f aca="false">IF(AE93=10,AA93*AB93*AC93*AD93*(AE93/1000)*0.617*1,IF(AE93&gt;10,"",IF(AE93&lt;10,"")))</f>
        <v/>
      </c>
      <c r="AI93" s="107" t="str">
        <f aca="false">IF(AE93=12,AA93*AB93*AC93*AD93*(AE93/1000)*0.888*1,IF(AE93&gt;12,"",IF(AE93&lt;12,"")))</f>
        <v/>
      </c>
      <c r="AJ93" s="107" t="str">
        <f aca="false">IF(AE93=16,AA93*AB93*AC93*AD93*(AE93/1000)*1.578*1,IF(AE93&gt;16,"",IF(AE93&lt;16,"")))</f>
        <v/>
      </c>
      <c r="AK93" s="107" t="str">
        <f aca="false">IF(AE93=20,AA93*AB93*AC93*AD93*(AE93/1000)*2.466*1,IF(AE93&gt;20,"",IF(AE93&lt;20,"")))</f>
        <v/>
      </c>
      <c r="AL93" s="107" t="str">
        <f aca="false">IF(AE93=25,AA93*AB93*AC93*AD93*(AE93/1000)*3.853*1,IF(AE93&gt;25,"",IF(AE93&lt;25,"")))</f>
        <v/>
      </c>
      <c r="AM93" s="115" t="str">
        <f aca="false">IF(AE93=32,AA93*AB93*AC93*AD93*(AE93/1000)*6.313*1,IF(AE93&gt;32,"",IF(AE93&lt;32,"")))</f>
        <v/>
      </c>
      <c r="AN93" s="128"/>
      <c r="AO93" s="117" t="s">
        <v>178</v>
      </c>
      <c r="AP93" s="118" t="n">
        <f aca="false">SUM(R93:Y93)+SUM(AN93)</f>
        <v>29.8368</v>
      </c>
      <c r="AQ93" s="118" t="n">
        <f aca="false">SUM(AF93:AM93)</f>
        <v>0</v>
      </c>
      <c r="AR93" s="118"/>
      <c r="AS93" s="119" t="s">
        <v>218</v>
      </c>
      <c r="AT93" s="119" t="s">
        <v>173</v>
      </c>
    </row>
    <row r="94" customFormat="false" ht="13.5" hidden="false" customHeight="false" outlineLevel="0" collapsed="false">
      <c r="A94" s="129"/>
      <c r="B94" s="130"/>
      <c r="C94" s="110"/>
      <c r="D94" s="122"/>
      <c r="E94" s="122"/>
      <c r="F94" s="122"/>
      <c r="G94" s="123"/>
      <c r="H94" s="101"/>
      <c r="I94" s="123"/>
      <c r="J94" s="101"/>
      <c r="K94" s="124"/>
      <c r="L94" s="125"/>
      <c r="M94" s="125"/>
      <c r="N94" s="126"/>
      <c r="O94" s="126"/>
      <c r="P94" s="126"/>
      <c r="Q94" s="127"/>
      <c r="R94" s="105"/>
      <c r="S94" s="106"/>
      <c r="T94" s="106"/>
      <c r="U94" s="106"/>
      <c r="V94" s="107"/>
      <c r="W94" s="106"/>
      <c r="X94" s="106"/>
      <c r="Y94" s="108"/>
      <c r="Z94" s="109"/>
      <c r="AA94" s="110"/>
      <c r="AB94" s="111"/>
      <c r="AC94" s="112"/>
      <c r="AD94" s="112"/>
      <c r="AE94" s="113"/>
      <c r="AF94" s="114"/>
      <c r="AG94" s="107"/>
      <c r="AH94" s="107"/>
      <c r="AI94" s="107"/>
      <c r="AJ94" s="107"/>
      <c r="AK94" s="107"/>
      <c r="AL94" s="107"/>
      <c r="AM94" s="115"/>
      <c r="AO94" s="117"/>
      <c r="AP94" s="118"/>
      <c r="AQ94" s="118"/>
      <c r="AR94" s="118"/>
      <c r="AS94" s="119"/>
      <c r="AT94" s="119"/>
    </row>
    <row r="95" customFormat="false" ht="13.5" hidden="false" customHeight="false" outlineLevel="0" collapsed="false">
      <c r="A95" s="120"/>
      <c r="B95" s="121" t="s">
        <v>180</v>
      </c>
      <c r="C95" s="110" t="n">
        <v>2</v>
      </c>
      <c r="D95" s="122" t="n">
        <v>1.4</v>
      </c>
      <c r="E95" s="122" t="n">
        <v>0.8</v>
      </c>
      <c r="F95" s="122" t="n">
        <v>0.5</v>
      </c>
      <c r="G95" s="123" t="n">
        <f aca="false">C95*D95*E95*F95</f>
        <v>1.12</v>
      </c>
      <c r="H95" s="101"/>
      <c r="I95" s="123" t="n">
        <f aca="false">2*(D95+E95)*F95*C95</f>
        <v>4.4</v>
      </c>
      <c r="J95" s="101"/>
      <c r="K95" s="124"/>
      <c r="L95" s="125"/>
      <c r="M95" s="125"/>
      <c r="N95" s="126"/>
      <c r="O95" s="126"/>
      <c r="P95" s="126"/>
      <c r="Q95" s="127"/>
      <c r="R95" s="105" t="str">
        <f aca="false">IF(P95=6,N95*O95*Q95*0.222*1,IF(P95&gt;6,"",IF(P95&lt;6,"")))</f>
        <v/>
      </c>
      <c r="S95" s="106" t="str">
        <f aca="false">IF(P95=8,N95*O95*Q95*0.395*1,IF(P95&gt;8,"",IF(P95&lt;8,"")))</f>
        <v/>
      </c>
      <c r="T95" s="106" t="str">
        <f aca="false">IF(P95=10,N95*O95*Q95*0.617*1,IF(P95&gt;10,"",IF(P95&lt;10,"")))</f>
        <v/>
      </c>
      <c r="U95" s="106" t="str">
        <f aca="false">IF(P95=12,N95*O95*Q95*0.888*1,IF(P95&gt;12,"",IF(P95&lt;12,"")))</f>
        <v/>
      </c>
      <c r="V95" s="107" t="str">
        <f aca="false">IF(P95=16,N95*O95*Q95*1.578*1,IF(P95&gt;16,"",IF(P95&lt;16,"")))</f>
        <v/>
      </c>
      <c r="W95" s="106" t="str">
        <f aca="false">IF(P95=20,N95*O95*Q95*2.466*1,IF(P95&gt;20,"",IF(P95&lt;20,"")))</f>
        <v/>
      </c>
      <c r="X95" s="106" t="str">
        <f aca="false">IF(P95=25,N95*O95*Q95*3.853*1,IF(P95&gt;25,"",IF(P95&lt;25,"")))</f>
        <v/>
      </c>
      <c r="Y95" s="108" t="str">
        <f aca="false">IF(P95=32,N95*O95*Q95*6.313*1,IF(P95&gt;32,"",IF(P95&lt;32,"")))</f>
        <v/>
      </c>
      <c r="Z95" s="109"/>
      <c r="AA95" s="110" t="str">
        <f aca="false">IF(AC95&gt;0,N95,"")</f>
        <v/>
      </c>
      <c r="AB95" s="111" t="str">
        <f aca="false">IF(AC95&gt;0,O95,"")</f>
        <v/>
      </c>
      <c r="AC95" s="112"/>
      <c r="AD95" s="112"/>
      <c r="AE95" s="113" t="str">
        <f aca="false">IF(AC95&gt;0,P95,"")</f>
        <v/>
      </c>
      <c r="AF95" s="114" t="str">
        <f aca="false">IF(AE95=6,AA95*AB95*AC95*AD95*(AE95/1000)*0.222*1,IF(AE95&gt;6,"",IF(AE95&lt;6,"")))</f>
        <v/>
      </c>
      <c r="AG95" s="107" t="str">
        <f aca="false">IF(AE95=8,AA95*AB95*AC95*AD95*(AE95/1000)*0.395*1,IF(AE95&gt;8,"",IF(AE95&lt;8,"")))</f>
        <v/>
      </c>
      <c r="AH95" s="107" t="str">
        <f aca="false">IF(AE95=10,AA95*AB95*AC95*AD95*(AE95/1000)*0.617*1,IF(AE95&gt;10,"",IF(AE95&lt;10,"")))</f>
        <v/>
      </c>
      <c r="AI95" s="107" t="str">
        <f aca="false">IF(AE95=12,AA95*AB95*AC95*AD95*(AE95/1000)*0.888*1,IF(AE95&gt;12,"",IF(AE95&lt;12,"")))</f>
        <v/>
      </c>
      <c r="AJ95" s="107" t="str">
        <f aca="false">IF(AE95=16,AA95*AB95*AC95*AD95*(AE95/1000)*1.578*1,IF(AE95&gt;16,"",IF(AE95&lt;16,"")))</f>
        <v/>
      </c>
      <c r="AK95" s="107" t="str">
        <f aca="false">IF(AE95=20,AA95*AB95*AC95*AD95*(AE95/1000)*2.466*1,IF(AE95&gt;20,"",IF(AE95&lt;20,"")))</f>
        <v/>
      </c>
      <c r="AL95" s="107" t="str">
        <f aca="false">IF(AE95=25,AA95*AB95*AC95*AD95*(AE95/1000)*3.853*1,IF(AE95&gt;25,"",IF(AE95&lt;25,"")))</f>
        <v/>
      </c>
      <c r="AM95" s="115" t="str">
        <f aca="false">IF(AE95=32,AA95*AB95*AC95*AD95*(AE95/1000)*6.313*1,IF(AE95&gt;32,"",IF(AE95&lt;32,"")))</f>
        <v/>
      </c>
      <c r="AN95" s="128"/>
      <c r="AO95" s="117" t="s">
        <v>178</v>
      </c>
      <c r="AP95" s="118" t="n">
        <f aca="false">SUM(R95:Y95)+SUM(AN95)</f>
        <v>0</v>
      </c>
      <c r="AQ95" s="118" t="n">
        <f aca="false">SUM(AF95:AM95)</f>
        <v>0</v>
      </c>
      <c r="AR95" s="118" t="n">
        <v>1.12</v>
      </c>
      <c r="AS95" s="119" t="s">
        <v>263</v>
      </c>
      <c r="AT95" s="119" t="s">
        <v>209</v>
      </c>
    </row>
    <row r="96" customFormat="false" ht="13.5" hidden="false" customHeight="false" outlineLevel="0" collapsed="false">
      <c r="A96" s="129"/>
      <c r="B96" s="172"/>
      <c r="C96" s="110"/>
      <c r="D96" s="122"/>
      <c r="E96" s="122"/>
      <c r="F96" s="173"/>
      <c r="G96" s="123"/>
      <c r="H96" s="101"/>
      <c r="I96" s="123"/>
      <c r="J96" s="101"/>
      <c r="K96" s="124" t="s">
        <v>253</v>
      </c>
      <c r="L96" s="125" t="n">
        <f aca="false">$E$95-2*0.05</f>
        <v>0.7</v>
      </c>
      <c r="M96" s="125" t="n">
        <v>0.2</v>
      </c>
      <c r="N96" s="126" t="n">
        <f aca="false">$C$95</f>
        <v>2</v>
      </c>
      <c r="O96" s="126" t="n">
        <f aca="false">CEILING(L96/M96,1)+1</f>
        <v>5</v>
      </c>
      <c r="P96" s="126" t="n">
        <v>12</v>
      </c>
      <c r="Q96" s="127" t="n">
        <f aca="false">$D$95-2*0.05+2*($F$95-2*0.05)</f>
        <v>2.1</v>
      </c>
      <c r="R96" s="105" t="str">
        <f aca="false">IF(P96=6,N96*O96*Q96*0.222*1,IF(P96&gt;6,"",IF(P96&lt;6,"")))</f>
        <v/>
      </c>
      <c r="S96" s="106" t="str">
        <f aca="false">IF(P96=8,N96*O96*Q96*0.395*1,IF(P96&gt;8,"",IF(P96&lt;8,"")))</f>
        <v/>
      </c>
      <c r="T96" s="106" t="str">
        <f aca="false">IF(P96=10,N96*O96*Q96*0.617*1,IF(P96&gt;10,"",IF(P96&lt;10,"")))</f>
        <v/>
      </c>
      <c r="U96" s="106" t="n">
        <f aca="false">IF(P96=12,N96*O96*Q96*0.888*1,IF(P96&gt;12,"",IF(P96&lt;12,"")))</f>
        <v>18.648</v>
      </c>
      <c r="V96" s="107" t="str">
        <f aca="false">IF(P96=16,N96*O96*Q96*1.578*1,IF(P96&gt;16,"",IF(P96&lt;16,"")))</f>
        <v/>
      </c>
      <c r="W96" s="106" t="str">
        <f aca="false">IF(P96=20,N96*O96*Q96*2.466*1,IF(P96&gt;20,"",IF(P96&lt;20,"")))</f>
        <v/>
      </c>
      <c r="X96" s="106" t="str">
        <f aca="false">IF(P96=25,N96*O96*Q96*3.853*1,IF(P96&gt;25,"",IF(P96&lt;25,"")))</f>
        <v/>
      </c>
      <c r="Y96" s="108" t="str">
        <f aca="false">IF(P96=32,N96*O96*Q96*6.313*1,IF(P96&gt;32,"",IF(P96&lt;32,"")))</f>
        <v/>
      </c>
      <c r="Z96" s="109"/>
      <c r="AA96" s="110" t="str">
        <f aca="false">IF(AC96&gt;0,N96,"")</f>
        <v/>
      </c>
      <c r="AB96" s="111" t="str">
        <f aca="false">IF(AC96&gt;0,O96,"")</f>
        <v/>
      </c>
      <c r="AC96" s="112"/>
      <c r="AD96" s="112"/>
      <c r="AE96" s="113" t="str">
        <f aca="false">IF(AC96&gt;0,P96,"")</f>
        <v/>
      </c>
      <c r="AF96" s="114" t="str">
        <f aca="false">IF(AE96=6,AA96*AB96*AC96*AD96*(AE96/1000)*0.222*1,IF(AE96&gt;6,"",IF(AE96&lt;6,"")))</f>
        <v/>
      </c>
      <c r="AG96" s="107" t="str">
        <f aca="false">IF(AE96=8,AA96*AB96*AC96*AD96*(AE96/1000)*0.395*1,IF(AE96&gt;8,"",IF(AE96&lt;8,"")))</f>
        <v/>
      </c>
      <c r="AH96" s="107" t="str">
        <f aca="false">IF(AE96=10,AA96*AB96*AC96*AD96*(AE96/1000)*0.617*1,IF(AE96&gt;10,"",IF(AE96&lt;10,"")))</f>
        <v/>
      </c>
      <c r="AI96" s="107" t="str">
        <f aca="false">IF(AE96=12,AA96*AB96*AC96*AD96*(AE96/1000)*0.888*1,IF(AE96&gt;12,"",IF(AE96&lt;12,"")))</f>
        <v/>
      </c>
      <c r="AJ96" s="107" t="str">
        <f aca="false">IF(AE96=16,AA96*AB96*AC96*AD96*(AE96/1000)*1.578*1,IF(AE96&gt;16,"",IF(AE96&lt;16,"")))</f>
        <v/>
      </c>
      <c r="AK96" s="107" t="str">
        <f aca="false">IF(AE96=20,AA96*AB96*AC96*AD96*(AE96/1000)*2.466*1,IF(AE96&gt;20,"",IF(AE96&lt;20,"")))</f>
        <v/>
      </c>
      <c r="AL96" s="107" t="str">
        <f aca="false">IF(AE96=25,AA96*AB96*AC96*AD96*(AE96/1000)*3.853*1,IF(AE96&gt;25,"",IF(AE96&lt;25,"")))</f>
        <v/>
      </c>
      <c r="AM96" s="115" t="str">
        <f aca="false">IF(AE96=32,AA96*AB96*AC96*AD96*(AE96/1000)*6.313*1,IF(AE96&gt;32,"",IF(AE96&lt;32,"")))</f>
        <v/>
      </c>
      <c r="AN96" s="128"/>
      <c r="AO96" s="117" t="s">
        <v>178</v>
      </c>
      <c r="AP96" s="118" t="n">
        <f aca="false">SUM(R96:Y96)+SUM(AN96)</f>
        <v>18.648</v>
      </c>
      <c r="AQ96" s="118" t="n">
        <f aca="false">SUM(AF96:AM96)</f>
        <v>0</v>
      </c>
      <c r="AR96" s="118"/>
      <c r="AS96" s="119" t="s">
        <v>211</v>
      </c>
      <c r="AT96" s="119" t="s">
        <v>162</v>
      </c>
    </row>
    <row r="97" customFormat="false" ht="13.5" hidden="false" customHeight="false" outlineLevel="0" collapsed="false">
      <c r="A97" s="129"/>
      <c r="B97" s="172"/>
      <c r="C97" s="110"/>
      <c r="D97" s="122"/>
      <c r="E97" s="122"/>
      <c r="F97" s="173"/>
      <c r="G97" s="123"/>
      <c r="H97" s="101"/>
      <c r="I97" s="123"/>
      <c r="J97" s="101"/>
      <c r="K97" s="124" t="s">
        <v>254</v>
      </c>
      <c r="L97" s="125" t="n">
        <f aca="false">$D$95-2*0.05</f>
        <v>1.3</v>
      </c>
      <c r="M97" s="125" t="n">
        <v>0.2</v>
      </c>
      <c r="N97" s="126" t="n">
        <f aca="false">$C$95</f>
        <v>2</v>
      </c>
      <c r="O97" s="126" t="n">
        <f aca="false">CEILING(L97/M97,1)+1</f>
        <v>8</v>
      </c>
      <c r="P97" s="126" t="n">
        <v>12</v>
      </c>
      <c r="Q97" s="127" t="n">
        <f aca="false">$E$95-2*0.05+2*($F$95-2*0.05)</f>
        <v>1.5</v>
      </c>
      <c r="R97" s="105" t="str">
        <f aca="false">IF(P97=6,N97*O97*Q97*0.222*1,IF(P97&gt;6,"",IF(P97&lt;6,"")))</f>
        <v/>
      </c>
      <c r="S97" s="106" t="str">
        <f aca="false">IF(P97=8,N97*O97*Q97*0.395*1,IF(P97&gt;8,"",IF(P97&lt;8,"")))</f>
        <v/>
      </c>
      <c r="T97" s="106" t="str">
        <f aca="false">IF(P97=10,N97*O97*Q97*0.617*1,IF(P97&gt;10,"",IF(P97&lt;10,"")))</f>
        <v/>
      </c>
      <c r="U97" s="106" t="n">
        <f aca="false">IF(P97=12,N97*O97*Q97*0.888*1,IF(P97&gt;12,"",IF(P97&lt;12,"")))</f>
        <v>21.312</v>
      </c>
      <c r="V97" s="107" t="str">
        <f aca="false">IF(P97=16,N97*O97*Q97*1.578*1,IF(P97&gt;16,"",IF(P97&lt;16,"")))</f>
        <v/>
      </c>
      <c r="W97" s="106" t="str">
        <f aca="false">IF(P97=20,N97*O97*Q97*2.466*1,IF(P97&gt;20,"",IF(P97&lt;20,"")))</f>
        <v/>
      </c>
      <c r="X97" s="106" t="str">
        <f aca="false">IF(P97=25,N97*O97*Q97*3.853*1,IF(P97&gt;25,"",IF(P97&lt;25,"")))</f>
        <v/>
      </c>
      <c r="Y97" s="108" t="str">
        <f aca="false">IF(P97=32,N97*O97*Q97*6.313*1,IF(P97&gt;32,"",IF(P97&lt;32,"")))</f>
        <v/>
      </c>
      <c r="Z97" s="109"/>
      <c r="AA97" s="110" t="str">
        <f aca="false">IF(AC97&gt;0,N97,"")</f>
        <v/>
      </c>
      <c r="AB97" s="111" t="str">
        <f aca="false">IF(AC97&gt;0,O97,"")</f>
        <v/>
      </c>
      <c r="AC97" s="112"/>
      <c r="AD97" s="112"/>
      <c r="AE97" s="113" t="str">
        <f aca="false">IF(AC97&gt;0,P97,"")</f>
        <v/>
      </c>
      <c r="AF97" s="114" t="str">
        <f aca="false">IF(AE97=6,AA97*AB97*AC97*AD97*(AE97/1000)*0.222*1,IF(AE97&gt;6,"",IF(AE97&lt;6,"")))</f>
        <v/>
      </c>
      <c r="AG97" s="107" t="str">
        <f aca="false">IF(AE97=8,AA97*AB97*AC97*AD97*(AE97/1000)*0.395*1,IF(AE97&gt;8,"",IF(AE97&lt;8,"")))</f>
        <v/>
      </c>
      <c r="AH97" s="107" t="str">
        <f aca="false">IF(AE97=10,AA97*AB97*AC97*AD97*(AE97/1000)*0.617*1,IF(AE97&gt;10,"",IF(AE97&lt;10,"")))</f>
        <v/>
      </c>
      <c r="AI97" s="107" t="str">
        <f aca="false">IF(AE97=12,AA97*AB97*AC97*AD97*(AE97/1000)*0.888*1,IF(AE97&gt;12,"",IF(AE97&lt;12,"")))</f>
        <v/>
      </c>
      <c r="AJ97" s="107" t="str">
        <f aca="false">IF(AE97=16,AA97*AB97*AC97*AD97*(AE97/1000)*1.578*1,IF(AE97&gt;16,"",IF(AE97&lt;16,"")))</f>
        <v/>
      </c>
      <c r="AK97" s="107" t="str">
        <f aca="false">IF(AE97=20,AA97*AB97*AC97*AD97*(AE97/1000)*2.466*1,IF(AE97&gt;20,"",IF(AE97&lt;20,"")))</f>
        <v/>
      </c>
      <c r="AL97" s="107" t="str">
        <f aca="false">IF(AE97=25,AA97*AB97*AC97*AD97*(AE97/1000)*3.853*1,IF(AE97&gt;25,"",IF(AE97&lt;25,"")))</f>
        <v/>
      </c>
      <c r="AM97" s="115" t="str">
        <f aca="false">IF(AE97=32,AA97*AB97*AC97*AD97*(AE97/1000)*6.313*1,IF(AE97&gt;32,"",IF(AE97&lt;32,"")))</f>
        <v/>
      </c>
      <c r="AN97" s="128"/>
      <c r="AO97" s="117" t="s">
        <v>178</v>
      </c>
      <c r="AP97" s="118" t="n">
        <f aca="false">SUM(R97:Y97)+SUM(AN97)</f>
        <v>21.312</v>
      </c>
      <c r="AQ97" s="118" t="n">
        <f aca="false">SUM(AF97:AM97)</f>
        <v>0</v>
      </c>
      <c r="AR97" s="118"/>
      <c r="AS97" s="119" t="s">
        <v>211</v>
      </c>
      <c r="AT97" s="119" t="s">
        <v>162</v>
      </c>
    </row>
    <row r="98" customFormat="false" ht="13.5" hidden="false" customHeight="false" outlineLevel="0" collapsed="false">
      <c r="A98" s="129"/>
      <c r="B98" s="172"/>
      <c r="C98" s="110"/>
      <c r="D98" s="122"/>
      <c r="E98" s="122"/>
      <c r="F98" s="173"/>
      <c r="G98" s="123"/>
      <c r="H98" s="101"/>
      <c r="I98" s="123"/>
      <c r="J98" s="101"/>
      <c r="K98" s="124" t="s">
        <v>255</v>
      </c>
      <c r="L98" s="125" t="n">
        <f aca="false">$E$95-2*0.05</f>
        <v>0.7</v>
      </c>
      <c r="M98" s="125" t="n">
        <v>0.2</v>
      </c>
      <c r="N98" s="126" t="n">
        <f aca="false">$C$95</f>
        <v>2</v>
      </c>
      <c r="O98" s="126" t="n">
        <f aca="false">CEILING(L98/M98,1)+1</f>
        <v>5</v>
      </c>
      <c r="P98" s="126" t="n">
        <v>12</v>
      </c>
      <c r="Q98" s="127" t="n">
        <f aca="false">$D$95-2*0.05+2*($F$95-2*0.05)</f>
        <v>2.1</v>
      </c>
      <c r="R98" s="105" t="str">
        <f aca="false">IF(P98=6,N98*O98*Q98*0.222*1,IF(P98&gt;6,"",IF(P98&lt;6,"")))</f>
        <v/>
      </c>
      <c r="S98" s="106" t="str">
        <f aca="false">IF(P98=8,N98*O98*Q98*0.395*1,IF(P98&gt;8,"",IF(P98&lt;8,"")))</f>
        <v/>
      </c>
      <c r="T98" s="106" t="str">
        <f aca="false">IF(P98=10,N98*O98*Q98*0.617*1,IF(P98&gt;10,"",IF(P98&lt;10,"")))</f>
        <v/>
      </c>
      <c r="U98" s="106" t="n">
        <f aca="false">IF(P98=12,N98*O98*Q98*0.888*1,IF(P98&gt;12,"",IF(P98&lt;12,"")))</f>
        <v>18.648</v>
      </c>
      <c r="V98" s="107" t="str">
        <f aca="false">IF(P98=16,N98*O98*Q98*1.578*1,IF(P98&gt;16,"",IF(P98&lt;16,"")))</f>
        <v/>
      </c>
      <c r="W98" s="106" t="str">
        <f aca="false">IF(P98=20,N98*O98*Q98*2.466*1,IF(P98&gt;20,"",IF(P98&lt;20,"")))</f>
        <v/>
      </c>
      <c r="X98" s="106" t="str">
        <f aca="false">IF(P98=25,N98*O98*Q98*3.853*1,IF(P98&gt;25,"",IF(P98&lt;25,"")))</f>
        <v/>
      </c>
      <c r="Y98" s="108" t="str">
        <f aca="false">IF(P98=32,N98*O98*Q98*6.313*1,IF(P98&gt;32,"",IF(P98&lt;32,"")))</f>
        <v/>
      </c>
      <c r="Z98" s="109"/>
      <c r="AA98" s="110" t="str">
        <f aca="false">IF(AC98&gt;0,N98,"")</f>
        <v/>
      </c>
      <c r="AB98" s="111" t="str">
        <f aca="false">IF(AC98&gt;0,O98,"")</f>
        <v/>
      </c>
      <c r="AC98" s="112"/>
      <c r="AD98" s="112"/>
      <c r="AE98" s="113" t="str">
        <f aca="false">IF(AC98&gt;0,P98,"")</f>
        <v/>
      </c>
      <c r="AF98" s="114" t="str">
        <f aca="false">IF(AE98=6,AA98*AB98*AC98*AD98*(AE98/1000)*0.222*1,IF(AE98&gt;6,"",IF(AE98&lt;6,"")))</f>
        <v/>
      </c>
      <c r="AG98" s="107" t="str">
        <f aca="false">IF(AE98=8,AA98*AB98*AC98*AD98*(AE98/1000)*0.395*1,IF(AE98&gt;8,"",IF(AE98&lt;8,"")))</f>
        <v/>
      </c>
      <c r="AH98" s="107" t="str">
        <f aca="false">IF(AE98=10,AA98*AB98*AC98*AD98*(AE98/1000)*0.617*1,IF(AE98&gt;10,"",IF(AE98&lt;10,"")))</f>
        <v/>
      </c>
      <c r="AI98" s="107" t="str">
        <f aca="false">IF(AE98=12,AA98*AB98*AC98*AD98*(AE98/1000)*0.888*1,IF(AE98&gt;12,"",IF(AE98&lt;12,"")))</f>
        <v/>
      </c>
      <c r="AJ98" s="107" t="str">
        <f aca="false">IF(AE98=16,AA98*AB98*AC98*AD98*(AE98/1000)*1.578*1,IF(AE98&gt;16,"",IF(AE98&lt;16,"")))</f>
        <v/>
      </c>
      <c r="AK98" s="107" t="str">
        <f aca="false">IF(AE98=20,AA98*AB98*AC98*AD98*(AE98/1000)*2.466*1,IF(AE98&gt;20,"",IF(AE98&lt;20,"")))</f>
        <v/>
      </c>
      <c r="AL98" s="107" t="str">
        <f aca="false">IF(AE98=25,AA98*AB98*AC98*AD98*(AE98/1000)*3.853*1,IF(AE98&gt;25,"",IF(AE98&lt;25,"")))</f>
        <v/>
      </c>
      <c r="AM98" s="115" t="str">
        <f aca="false">IF(AE98=32,AA98*AB98*AC98*AD98*(AE98/1000)*6.313*1,IF(AE98&gt;32,"",IF(AE98&lt;32,"")))</f>
        <v/>
      </c>
      <c r="AN98" s="128"/>
      <c r="AO98" s="117" t="s">
        <v>178</v>
      </c>
      <c r="AP98" s="118" t="n">
        <f aca="false">SUM(R98:Y98)+SUM(AN98)</f>
        <v>18.648</v>
      </c>
      <c r="AQ98" s="118" t="n">
        <f aca="false">SUM(AF98:AM98)</f>
        <v>0</v>
      </c>
      <c r="AR98" s="118"/>
      <c r="AS98" s="119" t="s">
        <v>211</v>
      </c>
      <c r="AT98" s="119" t="s">
        <v>162</v>
      </c>
    </row>
    <row r="99" customFormat="false" ht="13.5" hidden="false" customHeight="false" outlineLevel="0" collapsed="false">
      <c r="A99" s="129"/>
      <c r="B99" s="172"/>
      <c r="C99" s="110"/>
      <c r="D99" s="122"/>
      <c r="E99" s="122"/>
      <c r="F99" s="173"/>
      <c r="G99" s="123"/>
      <c r="H99" s="101"/>
      <c r="I99" s="123"/>
      <c r="J99" s="101"/>
      <c r="K99" s="124" t="s">
        <v>256</v>
      </c>
      <c r="L99" s="125" t="n">
        <f aca="false">$D$95-2*0.05</f>
        <v>1.3</v>
      </c>
      <c r="M99" s="125" t="n">
        <v>0.2</v>
      </c>
      <c r="N99" s="126" t="n">
        <f aca="false">$C$95</f>
        <v>2</v>
      </c>
      <c r="O99" s="126" t="n">
        <f aca="false">CEILING(L99/M99,1)+1</f>
        <v>8</v>
      </c>
      <c r="P99" s="126" t="n">
        <v>12</v>
      </c>
      <c r="Q99" s="127" t="n">
        <f aca="false">$E$95-2*0.05+2*($F$95-2*0.05)</f>
        <v>1.5</v>
      </c>
      <c r="R99" s="105" t="str">
        <f aca="false">IF(P99=6,N99*O99*Q99*0.222*1,IF(P99&gt;6,"",IF(P99&lt;6,"")))</f>
        <v/>
      </c>
      <c r="S99" s="106" t="str">
        <f aca="false">IF(P99=8,N99*O99*Q99*0.395*1,IF(P99&gt;8,"",IF(P99&lt;8,"")))</f>
        <v/>
      </c>
      <c r="T99" s="106" t="str">
        <f aca="false">IF(P99=10,N99*O99*Q99*0.617*1,IF(P99&gt;10,"",IF(P99&lt;10,"")))</f>
        <v/>
      </c>
      <c r="U99" s="106" t="n">
        <f aca="false">IF(P99=12,N99*O99*Q99*0.888*1,IF(P99&gt;12,"",IF(P99&lt;12,"")))</f>
        <v>21.312</v>
      </c>
      <c r="V99" s="107" t="str">
        <f aca="false">IF(P99=16,N99*O99*Q99*1.578*1,IF(P99&gt;16,"",IF(P99&lt;16,"")))</f>
        <v/>
      </c>
      <c r="W99" s="106" t="str">
        <f aca="false">IF(P99=20,N99*O99*Q99*2.466*1,IF(P99&gt;20,"",IF(P99&lt;20,"")))</f>
        <v/>
      </c>
      <c r="X99" s="106" t="str">
        <f aca="false">IF(P99=25,N99*O99*Q99*3.853*1,IF(P99&gt;25,"",IF(P99&lt;25,"")))</f>
        <v/>
      </c>
      <c r="Y99" s="108" t="str">
        <f aca="false">IF(P99=32,N99*O99*Q99*6.313*1,IF(P99&gt;32,"",IF(P99&lt;32,"")))</f>
        <v/>
      </c>
      <c r="Z99" s="109"/>
      <c r="AA99" s="110" t="str">
        <f aca="false">IF(AC99&gt;0,N99,"")</f>
        <v/>
      </c>
      <c r="AB99" s="111" t="str">
        <f aca="false">IF(AC99&gt;0,O99,"")</f>
        <v/>
      </c>
      <c r="AC99" s="112"/>
      <c r="AD99" s="112"/>
      <c r="AE99" s="113" t="str">
        <f aca="false">IF(AC99&gt;0,P99,"")</f>
        <v/>
      </c>
      <c r="AF99" s="114" t="str">
        <f aca="false">IF(AE99=6,AA99*AB99*AC99*AD99*(AE99/1000)*0.222*1,IF(AE99&gt;6,"",IF(AE99&lt;6,"")))</f>
        <v/>
      </c>
      <c r="AG99" s="107" t="str">
        <f aca="false">IF(AE99=8,AA99*AB99*AC99*AD99*(AE99/1000)*0.395*1,IF(AE99&gt;8,"",IF(AE99&lt;8,"")))</f>
        <v/>
      </c>
      <c r="AH99" s="107" t="str">
        <f aca="false">IF(AE99=10,AA99*AB99*AC99*AD99*(AE99/1000)*0.617*1,IF(AE99&gt;10,"",IF(AE99&lt;10,"")))</f>
        <v/>
      </c>
      <c r="AI99" s="107" t="str">
        <f aca="false">IF(AE99=12,AA99*AB99*AC99*AD99*(AE99/1000)*0.888*1,IF(AE99&gt;12,"",IF(AE99&lt;12,"")))</f>
        <v/>
      </c>
      <c r="AJ99" s="107" t="str">
        <f aca="false">IF(AE99=16,AA99*AB99*AC99*AD99*(AE99/1000)*1.578*1,IF(AE99&gt;16,"",IF(AE99&lt;16,"")))</f>
        <v/>
      </c>
      <c r="AK99" s="107" t="str">
        <f aca="false">IF(AE99=20,AA99*AB99*AC99*AD99*(AE99/1000)*2.466*1,IF(AE99&gt;20,"",IF(AE99&lt;20,"")))</f>
        <v/>
      </c>
      <c r="AL99" s="107" t="str">
        <f aca="false">IF(AE99=25,AA99*AB99*AC99*AD99*(AE99/1000)*3.853*1,IF(AE99&gt;25,"",IF(AE99&lt;25,"")))</f>
        <v/>
      </c>
      <c r="AM99" s="115" t="str">
        <f aca="false">IF(AE99=32,AA99*AB99*AC99*AD99*(AE99/1000)*6.313*1,IF(AE99&gt;32,"",IF(AE99&lt;32,"")))</f>
        <v/>
      </c>
      <c r="AN99" s="128"/>
      <c r="AO99" s="117" t="s">
        <v>178</v>
      </c>
      <c r="AP99" s="118" t="n">
        <f aca="false">SUM(R99:Y99)+SUM(AN99)</f>
        <v>21.312</v>
      </c>
      <c r="AQ99" s="118" t="n">
        <f aca="false">SUM(AF99:AM99)</f>
        <v>0</v>
      </c>
      <c r="AR99" s="118"/>
      <c r="AS99" s="119" t="s">
        <v>211</v>
      </c>
      <c r="AT99" s="119" t="s">
        <v>162</v>
      </c>
    </row>
    <row r="100" customFormat="false" ht="13.5" hidden="false" customHeight="false" outlineLevel="0" collapsed="false">
      <c r="A100" s="129"/>
      <c r="B100" s="172"/>
      <c r="C100" s="110"/>
      <c r="D100" s="122"/>
      <c r="E100" s="122"/>
      <c r="F100" s="173"/>
      <c r="G100" s="123"/>
      <c r="H100" s="101"/>
      <c r="I100" s="123"/>
      <c r="J100" s="101"/>
      <c r="K100" s="124" t="s">
        <v>257</v>
      </c>
      <c r="L100" s="125"/>
      <c r="M100" s="125"/>
      <c r="N100" s="126" t="n">
        <f aca="false">$C$95</f>
        <v>2</v>
      </c>
      <c r="O100" s="126" t="n">
        <v>5</v>
      </c>
      <c r="P100" s="126" t="n">
        <v>12</v>
      </c>
      <c r="Q100" s="127" t="n">
        <f aca="false">2*($D$95+$E$95)-8*0.05</f>
        <v>4</v>
      </c>
      <c r="R100" s="105" t="str">
        <f aca="false">IF(P100=6,N100*O100*Q100*0.222*1,IF(P100&gt;6,"",IF(P100&lt;6,"")))</f>
        <v/>
      </c>
      <c r="S100" s="106" t="str">
        <f aca="false">IF(P100=8,N100*O100*Q100*0.395*1,IF(P100&gt;8,"",IF(P100&lt;8,"")))</f>
        <v/>
      </c>
      <c r="T100" s="106" t="str">
        <f aca="false">IF(P100=10,N100*O100*Q100*0.617*1,IF(P100&gt;10,"",IF(P100&lt;10,"")))</f>
        <v/>
      </c>
      <c r="U100" s="106" t="n">
        <f aca="false">IF(P100=12,N100*O100*Q100*0.888*1,IF(P100&gt;12,"",IF(P100&lt;12,"")))</f>
        <v>35.52</v>
      </c>
      <c r="V100" s="107" t="str">
        <f aca="false">IF(P100=16,N100*O100*Q100*1.578*1,IF(P100&gt;16,"",IF(P100&lt;16,"")))</f>
        <v/>
      </c>
      <c r="W100" s="106" t="str">
        <f aca="false">IF(P100=20,N100*O100*Q100*2.466*1,IF(P100&gt;20,"",IF(P100&lt;20,"")))</f>
        <v/>
      </c>
      <c r="X100" s="106" t="str">
        <f aca="false">IF(P100=25,N100*O100*Q100*3.853*1,IF(P100&gt;25,"",IF(P100&lt;25,"")))</f>
        <v/>
      </c>
      <c r="Y100" s="108" t="str">
        <f aca="false">IF(P100=32,N100*O100*Q100*6.313*1,IF(P100&gt;32,"",IF(P100&lt;32,"")))</f>
        <v/>
      </c>
      <c r="Z100" s="109"/>
      <c r="AA100" s="110" t="n">
        <f aca="false">IF(AC100&gt;0,N100,"")</f>
        <v>2</v>
      </c>
      <c r="AB100" s="111" t="n">
        <f aca="false">IF(AC100&gt;0,O100,"")</f>
        <v>5</v>
      </c>
      <c r="AC100" s="112" t="n">
        <v>1</v>
      </c>
      <c r="AD100" s="112" t="n">
        <v>50</v>
      </c>
      <c r="AE100" s="113" t="n">
        <f aca="false">IF(AC100&gt;0,P100,"")</f>
        <v>12</v>
      </c>
      <c r="AF100" s="114" t="str">
        <f aca="false">IF(AE100=6,AA100*AB100*AC100*AD100*(AE100/1000)*0.222*1,IF(AE100&gt;6,"",IF(AE100&lt;6,"")))</f>
        <v/>
      </c>
      <c r="AG100" s="107" t="str">
        <f aca="false">IF(AE100=8,AA100*AB100*AC100*AD100*(AE100/1000)*0.395*1,IF(AE100&gt;8,"",IF(AE100&lt;8,"")))</f>
        <v/>
      </c>
      <c r="AH100" s="107" t="str">
        <f aca="false">IF(AE100=10,AA100*AB100*AC100*AD100*(AE100/1000)*0.617*1,IF(AE100&gt;10,"",IF(AE100&lt;10,"")))</f>
        <v/>
      </c>
      <c r="AI100" s="107" t="n">
        <f aca="false">IF(AE100=12,AA100*AB100*AC100*AD100*(AE100/1000)*0.888*1,IF(AE100&gt;12,"",IF(AE100&lt;12,"")))</f>
        <v>5.328</v>
      </c>
      <c r="AJ100" s="107" t="str">
        <f aca="false">IF(AE100=16,AA100*AB100*AC100*AD100*(AE100/1000)*1.578*1,IF(AE100&gt;16,"",IF(AE100&lt;16,"")))</f>
        <v/>
      </c>
      <c r="AK100" s="107" t="str">
        <f aca="false">IF(AE100=20,AA100*AB100*AC100*AD100*(AE100/1000)*2.466*1,IF(AE100&gt;20,"",IF(AE100&lt;20,"")))</f>
        <v/>
      </c>
      <c r="AL100" s="107" t="str">
        <f aca="false">IF(AE100=25,AA100*AB100*AC100*AD100*(AE100/1000)*3.853*1,IF(AE100&gt;25,"",IF(AE100&lt;25,"")))</f>
        <v/>
      </c>
      <c r="AM100" s="115" t="str">
        <f aca="false">IF(AE100=32,AA100*AB100*AC100*AD100*(AE100/1000)*6.313*1,IF(AE100&gt;32,"",IF(AE100&lt;32,"")))</f>
        <v/>
      </c>
      <c r="AN100" s="128"/>
      <c r="AO100" s="117" t="s">
        <v>178</v>
      </c>
      <c r="AP100" s="118" t="n">
        <f aca="false">SUM(R100:Y100)+SUM(AN100)</f>
        <v>35.52</v>
      </c>
      <c r="AQ100" s="118" t="n">
        <f aca="false">SUM(AF100:AM100)</f>
        <v>5.328</v>
      </c>
      <c r="AR100" s="118"/>
      <c r="AS100" s="119" t="s">
        <v>216</v>
      </c>
      <c r="AT100" s="119" t="s">
        <v>173</v>
      </c>
    </row>
    <row r="101" customFormat="false" ht="13.5" hidden="false" customHeight="false" outlineLevel="0" collapsed="false">
      <c r="A101" s="129"/>
      <c r="B101" s="130"/>
      <c r="C101" s="110"/>
      <c r="D101" s="122"/>
      <c r="E101" s="122"/>
      <c r="F101" s="122"/>
      <c r="G101" s="123"/>
      <c r="H101" s="101"/>
      <c r="I101" s="123"/>
      <c r="J101" s="101"/>
      <c r="K101" s="124"/>
      <c r="L101" s="125"/>
      <c r="M101" s="125"/>
      <c r="N101" s="126"/>
      <c r="O101" s="126"/>
      <c r="P101" s="126"/>
      <c r="Q101" s="127"/>
      <c r="R101" s="105"/>
      <c r="S101" s="106"/>
      <c r="T101" s="106"/>
      <c r="U101" s="106"/>
      <c r="V101" s="107"/>
      <c r="W101" s="106"/>
      <c r="X101" s="106"/>
      <c r="Y101" s="108"/>
      <c r="Z101" s="109"/>
      <c r="AA101" s="110"/>
      <c r="AB101" s="111"/>
      <c r="AC101" s="112"/>
      <c r="AD101" s="112"/>
      <c r="AE101" s="113"/>
      <c r="AF101" s="114"/>
      <c r="AG101" s="107"/>
      <c r="AH101" s="107"/>
      <c r="AI101" s="107"/>
      <c r="AJ101" s="107"/>
      <c r="AK101" s="107"/>
      <c r="AL101" s="107"/>
      <c r="AM101" s="115"/>
      <c r="AO101" s="117"/>
      <c r="AP101" s="118"/>
      <c r="AQ101" s="118"/>
      <c r="AR101" s="118"/>
      <c r="AS101" s="119"/>
      <c r="AT101" s="119"/>
    </row>
    <row r="102" customFormat="false" ht="19.4" hidden="false" customHeight="false" outlineLevel="0" collapsed="false">
      <c r="A102" s="96"/>
      <c r="B102" s="97" t="s">
        <v>264</v>
      </c>
      <c r="C102" s="98"/>
      <c r="D102" s="99"/>
      <c r="E102" s="99"/>
      <c r="F102" s="99"/>
      <c r="G102" s="100"/>
      <c r="H102" s="101"/>
      <c r="I102" s="100"/>
      <c r="J102" s="101"/>
      <c r="K102" s="102"/>
      <c r="L102" s="103"/>
      <c r="M102" s="103"/>
      <c r="N102" s="104"/>
      <c r="O102" s="104"/>
      <c r="P102" s="104"/>
      <c r="Q102" s="100"/>
      <c r="R102" s="105"/>
      <c r="S102" s="106"/>
      <c r="T102" s="106"/>
      <c r="U102" s="106"/>
      <c r="V102" s="107"/>
      <c r="W102" s="106"/>
      <c r="X102" s="106"/>
      <c r="Y102" s="108"/>
      <c r="Z102" s="109"/>
      <c r="AA102" s="110"/>
      <c r="AB102" s="111"/>
      <c r="AC102" s="112"/>
      <c r="AD102" s="112"/>
      <c r="AE102" s="113"/>
      <c r="AF102" s="114"/>
      <c r="AG102" s="107"/>
      <c r="AH102" s="107"/>
      <c r="AI102" s="107"/>
      <c r="AJ102" s="107"/>
      <c r="AK102" s="107"/>
      <c r="AL102" s="107"/>
      <c r="AM102" s="115"/>
      <c r="AO102" s="117"/>
      <c r="AP102" s="118"/>
      <c r="AQ102" s="118"/>
      <c r="AR102" s="118"/>
      <c r="AS102" s="119"/>
      <c r="AT102" s="119"/>
    </row>
    <row r="103" customFormat="false" ht="13.5" hidden="false" customHeight="false" outlineLevel="0" collapsed="false">
      <c r="A103" s="120"/>
      <c r="B103" s="121" t="s">
        <v>184</v>
      </c>
      <c r="C103" s="110" t="n">
        <v>1</v>
      </c>
      <c r="D103" s="122" t="n">
        <v>1.1</v>
      </c>
      <c r="E103" s="122" t="n">
        <v>1.1</v>
      </c>
      <c r="F103" s="122" t="n">
        <v>0.5</v>
      </c>
      <c r="G103" s="123" t="n">
        <f aca="false">C103*D103*E103*F103</f>
        <v>0.605</v>
      </c>
      <c r="H103" s="101"/>
      <c r="I103" s="123" t="n">
        <f aca="false">2*(D103+E103)*F103*C103</f>
        <v>2.2</v>
      </c>
      <c r="J103" s="101"/>
      <c r="K103" s="124"/>
      <c r="L103" s="125"/>
      <c r="M103" s="125"/>
      <c r="N103" s="126"/>
      <c r="O103" s="126"/>
      <c r="P103" s="126"/>
      <c r="Q103" s="127"/>
      <c r="R103" s="105" t="str">
        <f aca="false">IF(P103=6,N103*O103*Q103*0.222*1,IF(P103&gt;6,"",IF(P103&lt;6,"")))</f>
        <v/>
      </c>
      <c r="S103" s="106" t="str">
        <f aca="false">IF(P103=8,N103*O103*Q103*0.395*1,IF(P103&gt;8,"",IF(P103&lt;8,"")))</f>
        <v/>
      </c>
      <c r="T103" s="106" t="str">
        <f aca="false">IF(P103=10,N103*O103*Q103*0.617*1,IF(P103&gt;10,"",IF(P103&lt;10,"")))</f>
        <v/>
      </c>
      <c r="U103" s="106" t="str">
        <f aca="false">IF(P103=12,N103*O103*Q103*0.888*1,IF(P103&gt;12,"",IF(P103&lt;12,"")))</f>
        <v/>
      </c>
      <c r="V103" s="107" t="str">
        <f aca="false">IF(P103=16,N103*O103*Q103*1.578*1,IF(P103&gt;16,"",IF(P103&lt;16,"")))</f>
        <v/>
      </c>
      <c r="W103" s="106" t="str">
        <f aca="false">IF(P103=20,N103*O103*Q103*2.466*1,IF(P103&gt;20,"",IF(P103&lt;20,"")))</f>
        <v/>
      </c>
      <c r="X103" s="106" t="str">
        <f aca="false">IF(P103=25,N103*O103*Q103*3.853*1,IF(P103&gt;25,"",IF(P103&lt;25,"")))</f>
        <v/>
      </c>
      <c r="Y103" s="108" t="str">
        <f aca="false">IF(P103=32,N103*O103*Q103*6.313*1,IF(P103&gt;32,"",IF(P103&lt;32,"")))</f>
        <v/>
      </c>
      <c r="Z103" s="109"/>
      <c r="AA103" s="110" t="str">
        <f aca="false">IF(AC103&gt;0,N103,"")</f>
        <v/>
      </c>
      <c r="AB103" s="111" t="str">
        <f aca="false">IF(AC103&gt;0,O103,"")</f>
        <v/>
      </c>
      <c r="AC103" s="112"/>
      <c r="AD103" s="112"/>
      <c r="AE103" s="113" t="str">
        <f aca="false">IF(AC103&gt;0,P103,"")</f>
        <v/>
      </c>
      <c r="AF103" s="114" t="str">
        <f aca="false">IF(AE103=6,AA103*AB103*AC103*AD103*(AE103/1000)*0.222*1,IF(AE103&gt;6,"",IF(AE103&lt;6,"")))</f>
        <v/>
      </c>
      <c r="AG103" s="107" t="str">
        <f aca="false">IF(AE103=8,AA103*AB103*AC103*AD103*(AE103/1000)*0.395*1,IF(AE103&gt;8,"",IF(AE103&lt;8,"")))</f>
        <v/>
      </c>
      <c r="AH103" s="107" t="str">
        <f aca="false">IF(AE103=10,AA103*AB103*AC103*AD103*(AE103/1000)*0.617*1,IF(AE103&gt;10,"",IF(AE103&lt;10,"")))</f>
        <v/>
      </c>
      <c r="AI103" s="107" t="str">
        <f aca="false">IF(AE103=12,AA103*AB103*AC103*AD103*(AE103/1000)*0.888*1,IF(AE103&gt;12,"",IF(AE103&lt;12,"")))</f>
        <v/>
      </c>
      <c r="AJ103" s="107" t="str">
        <f aca="false">IF(AE103=16,AA103*AB103*AC103*AD103*(AE103/1000)*1.578*1,IF(AE103&gt;16,"",IF(AE103&lt;16,"")))</f>
        <v/>
      </c>
      <c r="AK103" s="107" t="str">
        <f aca="false">IF(AE103=20,AA103*AB103*AC103*AD103*(AE103/1000)*2.466*1,IF(AE103&gt;20,"",IF(AE103&lt;20,"")))</f>
        <v/>
      </c>
      <c r="AL103" s="107" t="str">
        <f aca="false">IF(AE103=25,AA103*AB103*AC103*AD103*(AE103/1000)*3.853*1,IF(AE103&gt;25,"",IF(AE103&lt;25,"")))</f>
        <v/>
      </c>
      <c r="AM103" s="115" t="str">
        <f aca="false">IF(AE103=32,AA103*AB103*AC103*AD103*(AE103/1000)*6.313*1,IF(AE103&gt;32,"",IF(AE103&lt;32,"")))</f>
        <v/>
      </c>
      <c r="AN103" s="128"/>
      <c r="AO103" s="117" t="s">
        <v>185</v>
      </c>
      <c r="AP103" s="118" t="n">
        <f aca="false">SUM(R103:Y103)+SUM(AN103)</f>
        <v>0</v>
      </c>
      <c r="AQ103" s="118" t="n">
        <f aca="false">SUM(AF103:AM103)</f>
        <v>0</v>
      </c>
      <c r="AR103" s="118" t="n">
        <v>0.605</v>
      </c>
      <c r="AS103" s="119" t="s">
        <v>265</v>
      </c>
      <c r="AT103" s="119" t="s">
        <v>209</v>
      </c>
    </row>
    <row r="104" customFormat="false" ht="13.5" hidden="false" customHeight="false" outlineLevel="0" collapsed="false">
      <c r="A104" s="129"/>
      <c r="B104" s="172"/>
      <c r="C104" s="110"/>
      <c r="D104" s="122"/>
      <c r="E104" s="122"/>
      <c r="F104" s="173"/>
      <c r="G104" s="123"/>
      <c r="H104" s="101"/>
      <c r="I104" s="123"/>
      <c r="J104" s="101"/>
      <c r="K104" s="124" t="s">
        <v>239</v>
      </c>
      <c r="L104" s="125" t="n">
        <f aca="false">$E$103-2*0.05</f>
        <v>1</v>
      </c>
      <c r="M104" s="125" t="n">
        <v>0.15</v>
      </c>
      <c r="N104" s="126" t="n">
        <f aca="false">$C$103</f>
        <v>1</v>
      </c>
      <c r="O104" s="126" t="n">
        <f aca="false">CEILING(L104/M104,1)+1</f>
        <v>8</v>
      </c>
      <c r="P104" s="126" t="n">
        <v>12</v>
      </c>
      <c r="Q104" s="127" t="n">
        <f aca="false">$D$103-2*0.05+2*($F$103-2*0.05)</f>
        <v>1.8</v>
      </c>
      <c r="R104" s="105" t="str">
        <f aca="false">IF(P104=6,N104*O104*Q104*0.222*1,IF(P104&gt;6,"",IF(P104&lt;6,"")))</f>
        <v/>
      </c>
      <c r="S104" s="106" t="str">
        <f aca="false">IF(P104=8,N104*O104*Q104*0.395*1,IF(P104&gt;8,"",IF(P104&lt;8,"")))</f>
        <v/>
      </c>
      <c r="T104" s="106" t="str">
        <f aca="false">IF(P104=10,N104*O104*Q104*0.617*1,IF(P104&gt;10,"",IF(P104&lt;10,"")))</f>
        <v/>
      </c>
      <c r="U104" s="106" t="n">
        <f aca="false">IF(P104=12,N104*O104*Q104*0.888*1,IF(P104&gt;12,"",IF(P104&lt;12,"")))</f>
        <v>12.7872</v>
      </c>
      <c r="V104" s="107" t="str">
        <f aca="false">IF(P104=16,N104*O104*Q104*1.578*1,IF(P104&gt;16,"",IF(P104&lt;16,"")))</f>
        <v/>
      </c>
      <c r="W104" s="106" t="str">
        <f aca="false">IF(P104=20,N104*O104*Q104*2.466*1,IF(P104&gt;20,"",IF(P104&lt;20,"")))</f>
        <v/>
      </c>
      <c r="X104" s="106" t="str">
        <f aca="false">IF(P104=25,N104*O104*Q104*3.853*1,IF(P104&gt;25,"",IF(P104&lt;25,"")))</f>
        <v/>
      </c>
      <c r="Y104" s="108" t="str">
        <f aca="false">IF(P104=32,N104*O104*Q104*6.313*1,IF(P104&gt;32,"",IF(P104&lt;32,"")))</f>
        <v/>
      </c>
      <c r="Z104" s="109"/>
      <c r="AA104" s="110" t="str">
        <f aca="false">IF(AC104&gt;0,N104,"")</f>
        <v/>
      </c>
      <c r="AB104" s="111" t="str">
        <f aca="false">IF(AC104&gt;0,O104,"")</f>
        <v/>
      </c>
      <c r="AC104" s="112"/>
      <c r="AD104" s="112"/>
      <c r="AE104" s="113" t="str">
        <f aca="false">IF(AC104&gt;0,P104,"")</f>
        <v/>
      </c>
      <c r="AF104" s="114" t="str">
        <f aca="false">IF(AE104=6,AA104*AB104*AC104*AD104*(AE104/1000)*0.222*1,IF(AE104&gt;6,"",IF(AE104&lt;6,"")))</f>
        <v/>
      </c>
      <c r="AG104" s="107" t="str">
        <f aca="false">IF(AE104=8,AA104*AB104*AC104*AD104*(AE104/1000)*0.395*1,IF(AE104&gt;8,"",IF(AE104&lt;8,"")))</f>
        <v/>
      </c>
      <c r="AH104" s="107" t="str">
        <f aca="false">IF(AE104=10,AA104*AB104*AC104*AD104*(AE104/1000)*0.617*1,IF(AE104&gt;10,"",IF(AE104&lt;10,"")))</f>
        <v/>
      </c>
      <c r="AI104" s="107" t="str">
        <f aca="false">IF(AE104=12,AA104*AB104*AC104*AD104*(AE104/1000)*0.888*1,IF(AE104&gt;12,"",IF(AE104&lt;12,"")))</f>
        <v/>
      </c>
      <c r="AJ104" s="107" t="str">
        <f aca="false">IF(AE104=16,AA104*AB104*AC104*AD104*(AE104/1000)*1.578*1,IF(AE104&gt;16,"",IF(AE104&lt;16,"")))</f>
        <v/>
      </c>
      <c r="AK104" s="107" t="str">
        <f aca="false">IF(AE104=20,AA104*AB104*AC104*AD104*(AE104/1000)*2.466*1,IF(AE104&gt;20,"",IF(AE104&lt;20,"")))</f>
        <v/>
      </c>
      <c r="AL104" s="107" t="str">
        <f aca="false">IF(AE104=25,AA104*AB104*AC104*AD104*(AE104/1000)*3.853*1,IF(AE104&gt;25,"",IF(AE104&lt;25,"")))</f>
        <v/>
      </c>
      <c r="AM104" s="115" t="str">
        <f aca="false">IF(AE104=32,AA104*AB104*AC104*AD104*(AE104/1000)*6.313*1,IF(AE104&gt;32,"",IF(AE104&lt;32,"")))</f>
        <v/>
      </c>
      <c r="AN104" s="128"/>
      <c r="AO104" s="117" t="s">
        <v>185</v>
      </c>
      <c r="AP104" s="118" t="n">
        <f aca="false">SUM(R104:Y104)+SUM(AN104)</f>
        <v>12.7872</v>
      </c>
      <c r="AQ104" s="118" t="n">
        <f aca="false">SUM(AF104:AM104)</f>
        <v>0</v>
      </c>
      <c r="AR104" s="118"/>
      <c r="AS104" s="119" t="s">
        <v>211</v>
      </c>
      <c r="AT104" s="119" t="s">
        <v>162</v>
      </c>
    </row>
    <row r="105" customFormat="false" ht="13.5" hidden="false" customHeight="false" outlineLevel="0" collapsed="false">
      <c r="A105" s="129"/>
      <c r="B105" s="172"/>
      <c r="C105" s="110"/>
      <c r="D105" s="122"/>
      <c r="E105" s="122"/>
      <c r="F105" s="173"/>
      <c r="G105" s="123"/>
      <c r="H105" s="101"/>
      <c r="I105" s="123"/>
      <c r="J105" s="101"/>
      <c r="K105" s="124" t="s">
        <v>240</v>
      </c>
      <c r="L105" s="125" t="n">
        <f aca="false">$D$103-2*0.05</f>
        <v>1</v>
      </c>
      <c r="M105" s="125" t="n">
        <v>0.15</v>
      </c>
      <c r="N105" s="126" t="n">
        <f aca="false">$C$103</f>
        <v>1</v>
      </c>
      <c r="O105" s="126" t="n">
        <f aca="false">CEILING(L105/M105,1)+1</f>
        <v>8</v>
      </c>
      <c r="P105" s="126" t="n">
        <v>12</v>
      </c>
      <c r="Q105" s="127" t="n">
        <f aca="false">$E$103-2*0.05+2*($F$103-2*0.05)</f>
        <v>1.8</v>
      </c>
      <c r="R105" s="105" t="str">
        <f aca="false">IF(P105=6,N105*O105*Q105*0.222*1,IF(P105&gt;6,"",IF(P105&lt;6,"")))</f>
        <v/>
      </c>
      <c r="S105" s="106" t="str">
        <f aca="false">IF(P105=8,N105*O105*Q105*0.395*1,IF(P105&gt;8,"",IF(P105&lt;8,"")))</f>
        <v/>
      </c>
      <c r="T105" s="106" t="str">
        <f aca="false">IF(P105=10,N105*O105*Q105*0.617*1,IF(P105&gt;10,"",IF(P105&lt;10,"")))</f>
        <v/>
      </c>
      <c r="U105" s="106" t="n">
        <f aca="false">IF(P105=12,N105*O105*Q105*0.888*1,IF(P105&gt;12,"",IF(P105&lt;12,"")))</f>
        <v>12.7872</v>
      </c>
      <c r="V105" s="107" t="str">
        <f aca="false">IF(P105=16,N105*O105*Q105*1.578*1,IF(P105&gt;16,"",IF(P105&lt;16,"")))</f>
        <v/>
      </c>
      <c r="W105" s="106" t="str">
        <f aca="false">IF(P105=20,N105*O105*Q105*2.466*1,IF(P105&gt;20,"",IF(P105&lt;20,"")))</f>
        <v/>
      </c>
      <c r="X105" s="106" t="str">
        <f aca="false">IF(P105=25,N105*O105*Q105*3.853*1,IF(P105&gt;25,"",IF(P105&lt;25,"")))</f>
        <v/>
      </c>
      <c r="Y105" s="108" t="str">
        <f aca="false">IF(P105=32,N105*O105*Q105*6.313*1,IF(P105&gt;32,"",IF(P105&lt;32,"")))</f>
        <v/>
      </c>
      <c r="Z105" s="109"/>
      <c r="AA105" s="110" t="str">
        <f aca="false">IF(AC105&gt;0,N105,"")</f>
        <v/>
      </c>
      <c r="AB105" s="111" t="str">
        <f aca="false">IF(AC105&gt;0,O105,"")</f>
        <v/>
      </c>
      <c r="AC105" s="112"/>
      <c r="AD105" s="112"/>
      <c r="AE105" s="113" t="str">
        <f aca="false">IF(AC105&gt;0,P105,"")</f>
        <v/>
      </c>
      <c r="AF105" s="114" t="str">
        <f aca="false">IF(AE105=6,AA105*AB105*AC105*AD105*(AE105/1000)*0.222*1,IF(AE105&gt;6,"",IF(AE105&lt;6,"")))</f>
        <v/>
      </c>
      <c r="AG105" s="107" t="str">
        <f aca="false">IF(AE105=8,AA105*AB105*AC105*AD105*(AE105/1000)*0.395*1,IF(AE105&gt;8,"",IF(AE105&lt;8,"")))</f>
        <v/>
      </c>
      <c r="AH105" s="107" t="str">
        <f aca="false">IF(AE105=10,AA105*AB105*AC105*AD105*(AE105/1000)*0.617*1,IF(AE105&gt;10,"",IF(AE105&lt;10,"")))</f>
        <v/>
      </c>
      <c r="AI105" s="107" t="str">
        <f aca="false">IF(AE105=12,AA105*AB105*AC105*AD105*(AE105/1000)*0.888*1,IF(AE105&gt;12,"",IF(AE105&lt;12,"")))</f>
        <v/>
      </c>
      <c r="AJ105" s="107" t="str">
        <f aca="false">IF(AE105=16,AA105*AB105*AC105*AD105*(AE105/1000)*1.578*1,IF(AE105&gt;16,"",IF(AE105&lt;16,"")))</f>
        <v/>
      </c>
      <c r="AK105" s="107" t="str">
        <f aca="false">IF(AE105=20,AA105*AB105*AC105*AD105*(AE105/1000)*2.466*1,IF(AE105&gt;20,"",IF(AE105&lt;20,"")))</f>
        <v/>
      </c>
      <c r="AL105" s="107" t="str">
        <f aca="false">IF(AE105=25,AA105*AB105*AC105*AD105*(AE105/1000)*3.853*1,IF(AE105&gt;25,"",IF(AE105&lt;25,"")))</f>
        <v/>
      </c>
      <c r="AM105" s="115" t="str">
        <f aca="false">IF(AE105=32,AA105*AB105*AC105*AD105*(AE105/1000)*6.313*1,IF(AE105&gt;32,"",IF(AE105&lt;32,"")))</f>
        <v/>
      </c>
      <c r="AN105" s="128"/>
      <c r="AO105" s="117" t="s">
        <v>185</v>
      </c>
      <c r="AP105" s="118" t="n">
        <f aca="false">SUM(R105:Y105)+SUM(AN105)</f>
        <v>12.7872</v>
      </c>
      <c r="AQ105" s="118" t="n">
        <f aca="false">SUM(AF105:AM105)</f>
        <v>0</v>
      </c>
      <c r="AR105" s="118"/>
      <c r="AS105" s="119" t="s">
        <v>211</v>
      </c>
      <c r="AT105" s="119" t="s">
        <v>162</v>
      </c>
    </row>
    <row r="106" customFormat="false" ht="13.5" hidden="false" customHeight="false" outlineLevel="0" collapsed="false">
      <c r="A106" s="129"/>
      <c r="B106" s="172"/>
      <c r="C106" s="110"/>
      <c r="D106" s="122"/>
      <c r="E106" s="122"/>
      <c r="F106" s="173"/>
      <c r="G106" s="123"/>
      <c r="H106" s="101"/>
      <c r="I106" s="123"/>
      <c r="J106" s="101"/>
      <c r="K106" s="124" t="s">
        <v>241</v>
      </c>
      <c r="L106" s="125" t="n">
        <f aca="false">$E$103-2*0.05</f>
        <v>1</v>
      </c>
      <c r="M106" s="125" t="n">
        <v>0.15</v>
      </c>
      <c r="N106" s="126" t="n">
        <f aca="false">$C$103</f>
        <v>1</v>
      </c>
      <c r="O106" s="126" t="n">
        <f aca="false">CEILING(L106/M106,1)+1</f>
        <v>8</v>
      </c>
      <c r="P106" s="126" t="n">
        <v>12</v>
      </c>
      <c r="Q106" s="127" t="n">
        <f aca="false">$D$103-2*0.05+2*($F$103-2*0.05)</f>
        <v>1.8</v>
      </c>
      <c r="R106" s="105" t="str">
        <f aca="false">IF(P106=6,N106*O106*Q106*0.222*1,IF(P106&gt;6,"",IF(P106&lt;6,"")))</f>
        <v/>
      </c>
      <c r="S106" s="106" t="str">
        <f aca="false">IF(P106=8,N106*O106*Q106*0.395*1,IF(P106&gt;8,"",IF(P106&lt;8,"")))</f>
        <v/>
      </c>
      <c r="T106" s="106" t="str">
        <f aca="false">IF(P106=10,N106*O106*Q106*0.617*1,IF(P106&gt;10,"",IF(P106&lt;10,"")))</f>
        <v/>
      </c>
      <c r="U106" s="106" t="n">
        <f aca="false">IF(P106=12,N106*O106*Q106*0.888*1,IF(P106&gt;12,"",IF(P106&lt;12,"")))</f>
        <v>12.7872</v>
      </c>
      <c r="V106" s="107" t="str">
        <f aca="false">IF(P106=16,N106*O106*Q106*1.578*1,IF(P106&gt;16,"",IF(P106&lt;16,"")))</f>
        <v/>
      </c>
      <c r="W106" s="106" t="str">
        <f aca="false">IF(P106=20,N106*O106*Q106*2.466*1,IF(P106&gt;20,"",IF(P106&lt;20,"")))</f>
        <v/>
      </c>
      <c r="X106" s="106" t="str">
        <f aca="false">IF(P106=25,N106*O106*Q106*3.853*1,IF(P106&gt;25,"",IF(P106&lt;25,"")))</f>
        <v/>
      </c>
      <c r="Y106" s="108" t="str">
        <f aca="false">IF(P106=32,N106*O106*Q106*6.313*1,IF(P106&gt;32,"",IF(P106&lt;32,"")))</f>
        <v/>
      </c>
      <c r="Z106" s="109"/>
      <c r="AA106" s="110" t="str">
        <f aca="false">IF(AC106&gt;0,N106,"")</f>
        <v/>
      </c>
      <c r="AB106" s="111" t="str">
        <f aca="false">IF(AC106&gt;0,O106,"")</f>
        <v/>
      </c>
      <c r="AC106" s="112"/>
      <c r="AD106" s="112"/>
      <c r="AE106" s="113" t="str">
        <f aca="false">IF(AC106&gt;0,P106,"")</f>
        <v/>
      </c>
      <c r="AF106" s="114" t="str">
        <f aca="false">IF(AE106=6,AA106*AB106*AC106*AD106*(AE106/1000)*0.222*1,IF(AE106&gt;6,"",IF(AE106&lt;6,"")))</f>
        <v/>
      </c>
      <c r="AG106" s="107" t="str">
        <f aca="false">IF(AE106=8,AA106*AB106*AC106*AD106*(AE106/1000)*0.395*1,IF(AE106&gt;8,"",IF(AE106&lt;8,"")))</f>
        <v/>
      </c>
      <c r="AH106" s="107" t="str">
        <f aca="false">IF(AE106=10,AA106*AB106*AC106*AD106*(AE106/1000)*0.617*1,IF(AE106&gt;10,"",IF(AE106&lt;10,"")))</f>
        <v/>
      </c>
      <c r="AI106" s="107" t="str">
        <f aca="false">IF(AE106=12,AA106*AB106*AC106*AD106*(AE106/1000)*0.888*1,IF(AE106&gt;12,"",IF(AE106&lt;12,"")))</f>
        <v/>
      </c>
      <c r="AJ106" s="107" t="str">
        <f aca="false">IF(AE106=16,AA106*AB106*AC106*AD106*(AE106/1000)*1.578*1,IF(AE106&gt;16,"",IF(AE106&lt;16,"")))</f>
        <v/>
      </c>
      <c r="AK106" s="107" t="str">
        <f aca="false">IF(AE106=20,AA106*AB106*AC106*AD106*(AE106/1000)*2.466*1,IF(AE106&gt;20,"",IF(AE106&lt;20,"")))</f>
        <v/>
      </c>
      <c r="AL106" s="107" t="str">
        <f aca="false">IF(AE106=25,AA106*AB106*AC106*AD106*(AE106/1000)*3.853*1,IF(AE106&gt;25,"",IF(AE106&lt;25,"")))</f>
        <v/>
      </c>
      <c r="AM106" s="115" t="str">
        <f aca="false">IF(AE106=32,AA106*AB106*AC106*AD106*(AE106/1000)*6.313*1,IF(AE106&gt;32,"",IF(AE106&lt;32,"")))</f>
        <v/>
      </c>
      <c r="AN106" s="128"/>
      <c r="AO106" s="117" t="s">
        <v>185</v>
      </c>
      <c r="AP106" s="118" t="n">
        <f aca="false">SUM(R106:Y106)+SUM(AN106)</f>
        <v>12.7872</v>
      </c>
      <c r="AQ106" s="118" t="n">
        <f aca="false">SUM(AF106:AM106)</f>
        <v>0</v>
      </c>
      <c r="AR106" s="118"/>
      <c r="AS106" s="119" t="s">
        <v>211</v>
      </c>
      <c r="AT106" s="119" t="s">
        <v>162</v>
      </c>
    </row>
    <row r="107" customFormat="false" ht="13.5" hidden="false" customHeight="false" outlineLevel="0" collapsed="false">
      <c r="A107" s="129"/>
      <c r="B107" s="172"/>
      <c r="C107" s="110"/>
      <c r="D107" s="122"/>
      <c r="E107" s="122"/>
      <c r="F107" s="173"/>
      <c r="G107" s="123"/>
      <c r="H107" s="101"/>
      <c r="I107" s="123"/>
      <c r="J107" s="101"/>
      <c r="K107" s="124" t="s">
        <v>242</v>
      </c>
      <c r="L107" s="125" t="n">
        <f aca="false">$D$103-2*0.05</f>
        <v>1</v>
      </c>
      <c r="M107" s="125" t="n">
        <v>0.15</v>
      </c>
      <c r="N107" s="126" t="n">
        <f aca="false">$C$103</f>
        <v>1</v>
      </c>
      <c r="O107" s="126" t="n">
        <f aca="false">CEILING(L107/M107,1)+1</f>
        <v>8</v>
      </c>
      <c r="P107" s="126" t="n">
        <v>12</v>
      </c>
      <c r="Q107" s="127" t="n">
        <f aca="false">$E$103-2*0.05+2*($F$103-2*0.05)</f>
        <v>1.8</v>
      </c>
      <c r="R107" s="105" t="str">
        <f aca="false">IF(P107=6,N107*O107*Q107*0.222*1,IF(P107&gt;6,"",IF(P107&lt;6,"")))</f>
        <v/>
      </c>
      <c r="S107" s="106" t="str">
        <f aca="false">IF(P107=8,N107*O107*Q107*0.395*1,IF(P107&gt;8,"",IF(P107&lt;8,"")))</f>
        <v/>
      </c>
      <c r="T107" s="106" t="str">
        <f aca="false">IF(P107=10,N107*O107*Q107*0.617*1,IF(P107&gt;10,"",IF(P107&lt;10,"")))</f>
        <v/>
      </c>
      <c r="U107" s="106" t="n">
        <f aca="false">IF(P107=12,N107*O107*Q107*0.888*1,IF(P107&gt;12,"",IF(P107&lt;12,"")))</f>
        <v>12.7872</v>
      </c>
      <c r="V107" s="107" t="str">
        <f aca="false">IF(P107=16,N107*O107*Q107*1.578*1,IF(P107&gt;16,"",IF(P107&lt;16,"")))</f>
        <v/>
      </c>
      <c r="W107" s="106" t="str">
        <f aca="false">IF(P107=20,N107*O107*Q107*2.466*1,IF(P107&gt;20,"",IF(P107&lt;20,"")))</f>
        <v/>
      </c>
      <c r="X107" s="106" t="str">
        <f aca="false">IF(P107=25,N107*O107*Q107*3.853*1,IF(P107&gt;25,"",IF(P107&lt;25,"")))</f>
        <v/>
      </c>
      <c r="Y107" s="108" t="str">
        <f aca="false">IF(P107=32,N107*O107*Q107*6.313*1,IF(P107&gt;32,"",IF(P107&lt;32,"")))</f>
        <v/>
      </c>
      <c r="Z107" s="109"/>
      <c r="AA107" s="110" t="str">
        <f aca="false">IF(AC107&gt;0,N107,"")</f>
        <v/>
      </c>
      <c r="AB107" s="111" t="str">
        <f aca="false">IF(AC107&gt;0,O107,"")</f>
        <v/>
      </c>
      <c r="AC107" s="112"/>
      <c r="AD107" s="112"/>
      <c r="AE107" s="113" t="str">
        <f aca="false">IF(AC107&gt;0,P107,"")</f>
        <v/>
      </c>
      <c r="AF107" s="114" t="str">
        <f aca="false">IF(AE107=6,AA107*AB107*AC107*AD107*(AE107/1000)*0.222*1,IF(AE107&gt;6,"",IF(AE107&lt;6,"")))</f>
        <v/>
      </c>
      <c r="AG107" s="107" t="str">
        <f aca="false">IF(AE107=8,AA107*AB107*AC107*AD107*(AE107/1000)*0.395*1,IF(AE107&gt;8,"",IF(AE107&lt;8,"")))</f>
        <v/>
      </c>
      <c r="AH107" s="107" t="str">
        <f aca="false">IF(AE107=10,AA107*AB107*AC107*AD107*(AE107/1000)*0.617*1,IF(AE107&gt;10,"",IF(AE107&lt;10,"")))</f>
        <v/>
      </c>
      <c r="AI107" s="107" t="str">
        <f aca="false">IF(AE107=12,AA107*AB107*AC107*AD107*(AE107/1000)*0.888*1,IF(AE107&gt;12,"",IF(AE107&lt;12,"")))</f>
        <v/>
      </c>
      <c r="AJ107" s="107" t="str">
        <f aca="false">IF(AE107=16,AA107*AB107*AC107*AD107*(AE107/1000)*1.578*1,IF(AE107&gt;16,"",IF(AE107&lt;16,"")))</f>
        <v/>
      </c>
      <c r="AK107" s="107" t="str">
        <f aca="false">IF(AE107=20,AA107*AB107*AC107*AD107*(AE107/1000)*2.466*1,IF(AE107&gt;20,"",IF(AE107&lt;20,"")))</f>
        <v/>
      </c>
      <c r="AL107" s="107" t="str">
        <f aca="false">IF(AE107=25,AA107*AB107*AC107*AD107*(AE107/1000)*3.853*1,IF(AE107&gt;25,"",IF(AE107&lt;25,"")))</f>
        <v/>
      </c>
      <c r="AM107" s="115" t="str">
        <f aca="false">IF(AE107=32,AA107*AB107*AC107*AD107*(AE107/1000)*6.313*1,IF(AE107&gt;32,"",IF(AE107&lt;32,"")))</f>
        <v/>
      </c>
      <c r="AN107" s="128"/>
      <c r="AO107" s="117" t="s">
        <v>185</v>
      </c>
      <c r="AP107" s="118" t="n">
        <f aca="false">SUM(R107:Y107)+SUM(AN107)</f>
        <v>12.7872</v>
      </c>
      <c r="AQ107" s="118" t="n">
        <f aca="false">SUM(AF107:AM107)</f>
        <v>0</v>
      </c>
      <c r="AR107" s="118"/>
      <c r="AS107" s="119" t="s">
        <v>211</v>
      </c>
      <c r="AT107" s="119" t="s">
        <v>162</v>
      </c>
    </row>
    <row r="108" customFormat="false" ht="13.5" hidden="false" customHeight="false" outlineLevel="0" collapsed="false">
      <c r="A108" s="129"/>
      <c r="B108" s="172"/>
      <c r="C108" s="110"/>
      <c r="D108" s="122"/>
      <c r="E108" s="122"/>
      <c r="F108" s="173"/>
      <c r="G108" s="123"/>
      <c r="H108" s="101"/>
      <c r="I108" s="123"/>
      <c r="J108" s="101"/>
      <c r="K108" s="124" t="s">
        <v>266</v>
      </c>
      <c r="L108" s="125"/>
      <c r="M108" s="125"/>
      <c r="N108" s="126" t="n">
        <v>1</v>
      </c>
      <c r="O108" s="126" t="n">
        <v>4</v>
      </c>
      <c r="P108" s="126" t="n">
        <v>16</v>
      </c>
      <c r="Q108" s="127" t="n">
        <f aca="false">MAX(50*16/1000,$F$103-2*0.05+0.15)+50*16/1000</f>
        <v>1.6</v>
      </c>
      <c r="R108" s="105" t="str">
        <f aca="false">IF(P108=6,N108*O108*Q108*0.222*1,IF(P108&gt;6,"",IF(P108&lt;6,"")))</f>
        <v/>
      </c>
      <c r="S108" s="106" t="str">
        <f aca="false">IF(P108=8,N108*O108*Q108*0.395*1,IF(P108&gt;8,"",IF(P108&lt;8,"")))</f>
        <v/>
      </c>
      <c r="T108" s="106" t="str">
        <f aca="false">IF(P108=10,N108*O108*Q108*0.617*1,IF(P108&gt;10,"",IF(P108&lt;10,"")))</f>
        <v/>
      </c>
      <c r="U108" s="106" t="str">
        <f aca="false">IF(P108=12,N108*O108*Q108*0.888*1,IF(P108&gt;12,"",IF(P108&lt;12,"")))</f>
        <v/>
      </c>
      <c r="V108" s="107" t="n">
        <f aca="false">IF(P108=16,N108*O108*Q108*1.578*1,IF(P108&gt;16,"",IF(P108&lt;16,"")))</f>
        <v>10.0992</v>
      </c>
      <c r="W108" s="106" t="str">
        <f aca="false">IF(P108=20,N108*O108*Q108*2.466*1,IF(P108&gt;20,"",IF(P108&lt;20,"")))</f>
        <v/>
      </c>
      <c r="X108" s="106" t="str">
        <f aca="false">IF(P108=25,N108*O108*Q108*3.853*1,IF(P108&gt;25,"",IF(P108&lt;25,"")))</f>
        <v/>
      </c>
      <c r="Y108" s="108" t="str">
        <f aca="false">IF(P108=32,N108*O108*Q108*6.313*1,IF(P108&gt;32,"",IF(P108&lt;32,"")))</f>
        <v/>
      </c>
      <c r="Z108" s="109"/>
      <c r="AA108" s="110" t="str">
        <f aca="false">IF(AC108&gt;0,N108,"")</f>
        <v/>
      </c>
      <c r="AB108" s="111" t="str">
        <f aca="false">IF(AC108&gt;0,O108,"")</f>
        <v/>
      </c>
      <c r="AC108" s="112"/>
      <c r="AD108" s="112"/>
      <c r="AE108" s="113" t="str">
        <f aca="false">IF(AC108&gt;0,P108,"")</f>
        <v/>
      </c>
      <c r="AF108" s="114" t="str">
        <f aca="false">IF(AE108=6,AA108*AB108*AC108*AD108*(AE108/1000)*0.222*1,IF(AE108&gt;6,"",IF(AE108&lt;6,"")))</f>
        <v/>
      </c>
      <c r="AG108" s="107" t="str">
        <f aca="false">IF(AE108=8,AA108*AB108*AC108*AD108*(AE108/1000)*0.395*1,IF(AE108&gt;8,"",IF(AE108&lt;8,"")))</f>
        <v/>
      </c>
      <c r="AH108" s="107" t="str">
        <f aca="false">IF(AE108=10,AA108*AB108*AC108*AD108*(AE108/1000)*0.617*1,IF(AE108&gt;10,"",IF(AE108&lt;10,"")))</f>
        <v/>
      </c>
      <c r="AI108" s="107" t="str">
        <f aca="false">IF(AE108=12,AA108*AB108*AC108*AD108*(AE108/1000)*0.888*1,IF(AE108&gt;12,"",IF(AE108&lt;12,"")))</f>
        <v/>
      </c>
      <c r="AJ108" s="107" t="str">
        <f aca="false">IF(AE108=16,AA108*AB108*AC108*AD108*(AE108/1000)*1.578*1,IF(AE108&gt;16,"",IF(AE108&lt;16,"")))</f>
        <v/>
      </c>
      <c r="AK108" s="107" t="str">
        <f aca="false">IF(AE108=20,AA108*AB108*AC108*AD108*(AE108/1000)*2.466*1,IF(AE108&gt;20,"",IF(AE108&lt;20,"")))</f>
        <v/>
      </c>
      <c r="AL108" s="107" t="str">
        <f aca="false">IF(AE108=25,AA108*AB108*AC108*AD108*(AE108/1000)*3.853*1,IF(AE108&gt;25,"",IF(AE108&lt;25,"")))</f>
        <v/>
      </c>
      <c r="AM108" s="115" t="str">
        <f aca="false">IF(AE108=32,AA108*AB108*AC108*AD108*(AE108/1000)*6.313*1,IF(AE108&gt;32,"",IF(AE108&lt;32,"")))</f>
        <v/>
      </c>
      <c r="AN108" s="128"/>
      <c r="AO108" s="117" t="s">
        <v>185</v>
      </c>
      <c r="AP108" s="118" t="n">
        <f aca="false">SUM(R108:Y108)+SUM(AN108)</f>
        <v>10.0992</v>
      </c>
      <c r="AQ108" s="118" t="n">
        <f aca="false">SUM(AF108:AM108)</f>
        <v>0</v>
      </c>
      <c r="AR108" s="118"/>
      <c r="AS108" s="119" t="s">
        <v>218</v>
      </c>
      <c r="AT108" s="119" t="s">
        <v>173</v>
      </c>
    </row>
    <row r="109" customFormat="false" ht="13.5" hidden="false" customHeight="false" outlineLevel="0" collapsed="false">
      <c r="A109" s="129"/>
      <c r="B109" s="130"/>
      <c r="C109" s="110"/>
      <c r="D109" s="122"/>
      <c r="E109" s="122"/>
      <c r="F109" s="122"/>
      <c r="G109" s="123"/>
      <c r="H109" s="101"/>
      <c r="I109" s="123"/>
      <c r="J109" s="101"/>
      <c r="K109" s="124"/>
      <c r="L109" s="125"/>
      <c r="M109" s="125"/>
      <c r="N109" s="126"/>
      <c r="O109" s="126"/>
      <c r="P109" s="126"/>
      <c r="Q109" s="127"/>
      <c r="R109" s="105"/>
      <c r="S109" s="106"/>
      <c r="T109" s="106"/>
      <c r="U109" s="106"/>
      <c r="V109" s="107"/>
      <c r="W109" s="106"/>
      <c r="X109" s="106"/>
      <c r="Y109" s="108"/>
      <c r="Z109" s="109"/>
      <c r="AA109" s="110"/>
      <c r="AB109" s="111"/>
      <c r="AC109" s="112"/>
      <c r="AD109" s="112"/>
      <c r="AE109" s="113"/>
      <c r="AF109" s="114"/>
      <c r="AG109" s="107"/>
      <c r="AH109" s="107"/>
      <c r="AI109" s="107"/>
      <c r="AJ109" s="107"/>
      <c r="AK109" s="107"/>
      <c r="AL109" s="107"/>
      <c r="AM109" s="115"/>
      <c r="AO109" s="117"/>
      <c r="AP109" s="118"/>
      <c r="AQ109" s="118"/>
      <c r="AR109" s="118"/>
      <c r="AS109" s="119"/>
      <c r="AT109" s="119"/>
    </row>
    <row r="110" customFormat="false" ht="19.4" hidden="false" customHeight="false" outlineLevel="0" collapsed="false">
      <c r="A110" s="96"/>
      <c r="B110" s="97" t="s">
        <v>267</v>
      </c>
      <c r="C110" s="98"/>
      <c r="D110" s="99"/>
      <c r="E110" s="99"/>
      <c r="F110" s="99"/>
      <c r="G110" s="100"/>
      <c r="H110" s="101"/>
      <c r="I110" s="100"/>
      <c r="J110" s="101"/>
      <c r="K110" s="102"/>
      <c r="L110" s="103"/>
      <c r="M110" s="103"/>
      <c r="N110" s="104"/>
      <c r="O110" s="104"/>
      <c r="P110" s="104"/>
      <c r="Q110" s="100"/>
      <c r="R110" s="105"/>
      <c r="S110" s="106"/>
      <c r="T110" s="106"/>
      <c r="U110" s="106"/>
      <c r="V110" s="107"/>
      <c r="W110" s="106"/>
      <c r="X110" s="106"/>
      <c r="Y110" s="108"/>
      <c r="Z110" s="109"/>
      <c r="AA110" s="110"/>
      <c r="AB110" s="111"/>
      <c r="AC110" s="112"/>
      <c r="AD110" s="112"/>
      <c r="AE110" s="113"/>
      <c r="AF110" s="114"/>
      <c r="AG110" s="107"/>
      <c r="AH110" s="107"/>
      <c r="AI110" s="107"/>
      <c r="AJ110" s="107"/>
      <c r="AK110" s="107"/>
      <c r="AL110" s="107"/>
      <c r="AM110" s="115"/>
      <c r="AO110" s="117"/>
      <c r="AP110" s="118"/>
      <c r="AQ110" s="118"/>
      <c r="AR110" s="118"/>
      <c r="AS110" s="119"/>
      <c r="AT110" s="119"/>
    </row>
    <row r="111" customFormat="false" ht="13.5" hidden="false" customHeight="false" outlineLevel="0" collapsed="false">
      <c r="A111" s="120"/>
      <c r="B111" s="121" t="s">
        <v>187</v>
      </c>
      <c r="C111" s="110" t="n">
        <v>1</v>
      </c>
      <c r="D111" s="122" t="n">
        <v>3.15</v>
      </c>
      <c r="E111" s="122" t="n">
        <v>2.74</v>
      </c>
      <c r="F111" s="122" t="n">
        <v>0.5</v>
      </c>
      <c r="G111" s="123" t="n">
        <f aca="false">C111*D111*E111*F111</f>
        <v>4.3155</v>
      </c>
      <c r="H111" s="101"/>
      <c r="I111" s="123" t="n">
        <f aca="false">2*(D111+E111)*F111*C111</f>
        <v>5.89</v>
      </c>
      <c r="J111" s="101"/>
      <c r="K111" s="124"/>
      <c r="L111" s="125"/>
      <c r="M111" s="125"/>
      <c r="N111" s="126"/>
      <c r="O111" s="126"/>
      <c r="P111" s="126"/>
      <c r="Q111" s="127"/>
      <c r="R111" s="105" t="str">
        <f aca="false">IF(P111=6,N111*O111*Q111*0.222*1,IF(P111&gt;6,"",IF(P111&lt;6,"")))</f>
        <v/>
      </c>
      <c r="S111" s="106" t="str">
        <f aca="false">IF(P111=8,N111*O111*Q111*0.395*1,IF(P111&gt;8,"",IF(P111&lt;8,"")))</f>
        <v/>
      </c>
      <c r="T111" s="106" t="str">
        <f aca="false">IF(P111=10,N111*O111*Q111*0.617*1,IF(P111&gt;10,"",IF(P111&lt;10,"")))</f>
        <v/>
      </c>
      <c r="U111" s="106" t="str">
        <f aca="false">IF(P111=12,N111*O111*Q111*0.888*1,IF(P111&gt;12,"",IF(P111&lt;12,"")))</f>
        <v/>
      </c>
      <c r="V111" s="107" t="str">
        <f aca="false">IF(P111=16,N111*O111*Q111*1.578*1,IF(P111&gt;16,"",IF(P111&lt;16,"")))</f>
        <v/>
      </c>
      <c r="W111" s="106" t="str">
        <f aca="false">IF(P111=20,N111*O111*Q111*2.466*1,IF(P111&gt;20,"",IF(P111&lt;20,"")))</f>
        <v/>
      </c>
      <c r="X111" s="106" t="str">
        <f aca="false">IF(P111=25,N111*O111*Q111*3.853*1,IF(P111&gt;25,"",IF(P111&lt;25,"")))</f>
        <v/>
      </c>
      <c r="Y111" s="108" t="str">
        <f aca="false">IF(P111=32,N111*O111*Q111*6.313*1,IF(P111&gt;32,"",IF(P111&lt;32,"")))</f>
        <v/>
      </c>
      <c r="Z111" s="109"/>
      <c r="AA111" s="110" t="str">
        <f aca="false">IF(AC111&gt;0,N111,"")</f>
        <v/>
      </c>
      <c r="AB111" s="111" t="str">
        <f aca="false">IF(AC111&gt;0,O111,"")</f>
        <v/>
      </c>
      <c r="AC111" s="112"/>
      <c r="AD111" s="112"/>
      <c r="AE111" s="113" t="str">
        <f aca="false">IF(AC111&gt;0,P111,"")</f>
        <v/>
      </c>
      <c r="AF111" s="114" t="str">
        <f aca="false">IF(AE111=6,AA111*AB111*AC111*AD111*(AE111/1000)*0.222*1,IF(AE111&gt;6,"",IF(AE111&lt;6,"")))</f>
        <v/>
      </c>
      <c r="AG111" s="107" t="str">
        <f aca="false">IF(AE111=8,AA111*AB111*AC111*AD111*(AE111/1000)*0.395*1,IF(AE111&gt;8,"",IF(AE111&lt;8,"")))</f>
        <v/>
      </c>
      <c r="AH111" s="107" t="str">
        <f aca="false">IF(AE111=10,AA111*AB111*AC111*AD111*(AE111/1000)*0.617*1,IF(AE111&gt;10,"",IF(AE111&lt;10,"")))</f>
        <v/>
      </c>
      <c r="AI111" s="107" t="str">
        <f aca="false">IF(AE111=12,AA111*AB111*AC111*AD111*(AE111/1000)*0.888*1,IF(AE111&gt;12,"",IF(AE111&lt;12,"")))</f>
        <v/>
      </c>
      <c r="AJ111" s="107" t="str">
        <f aca="false">IF(AE111=16,AA111*AB111*AC111*AD111*(AE111/1000)*1.578*1,IF(AE111&gt;16,"",IF(AE111&lt;16,"")))</f>
        <v/>
      </c>
      <c r="AK111" s="107" t="str">
        <f aca="false">IF(AE111=20,AA111*AB111*AC111*AD111*(AE111/1000)*2.466*1,IF(AE111&gt;20,"",IF(AE111&lt;20,"")))</f>
        <v/>
      </c>
      <c r="AL111" s="107" t="str">
        <f aca="false">IF(AE111=25,AA111*AB111*AC111*AD111*(AE111/1000)*3.853*1,IF(AE111&gt;25,"",IF(AE111&lt;25,"")))</f>
        <v/>
      </c>
      <c r="AM111" s="115" t="str">
        <f aca="false">IF(AE111=32,AA111*AB111*AC111*AD111*(AE111/1000)*6.313*1,IF(AE111&gt;32,"",IF(AE111&lt;32,"")))</f>
        <v/>
      </c>
      <c r="AN111" s="128"/>
      <c r="AO111" s="117" t="s">
        <v>188</v>
      </c>
      <c r="AP111" s="118" t="n">
        <f aca="false">SUM(R111:Y111)+SUM(AN111)</f>
        <v>0</v>
      </c>
      <c r="AQ111" s="118" t="n">
        <f aca="false">SUM(AF111:AM111)</f>
        <v>0</v>
      </c>
      <c r="AR111" s="118" t="n">
        <v>4.3155</v>
      </c>
      <c r="AS111" s="119" t="s">
        <v>268</v>
      </c>
      <c r="AT111" s="119" t="s">
        <v>209</v>
      </c>
    </row>
    <row r="112" customFormat="false" ht="13.5" hidden="false" customHeight="false" outlineLevel="0" collapsed="false">
      <c r="A112" s="129"/>
      <c r="B112" s="172"/>
      <c r="C112" s="110"/>
      <c r="D112" s="122"/>
      <c r="E112" s="122"/>
      <c r="F112" s="173"/>
      <c r="G112" s="123"/>
      <c r="H112" s="101"/>
      <c r="I112" s="123"/>
      <c r="J112" s="101"/>
      <c r="K112" s="124" t="s">
        <v>239</v>
      </c>
      <c r="L112" s="125" t="n">
        <f aca="false">$E$111-2*0.05</f>
        <v>2.64</v>
      </c>
      <c r="M112" s="125" t="n">
        <v>0.15</v>
      </c>
      <c r="N112" s="126" t="n">
        <f aca="false">$C$111</f>
        <v>1</v>
      </c>
      <c r="O112" s="126" t="n">
        <f aca="false">CEILING(L112/M112,1)+1</f>
        <v>19</v>
      </c>
      <c r="P112" s="126" t="n">
        <v>12</v>
      </c>
      <c r="Q112" s="127" t="n">
        <f aca="false">$D$111-2*0.05+2*($F$111-2*0.05)</f>
        <v>3.85</v>
      </c>
      <c r="R112" s="105" t="str">
        <f aca="false">IF(P112=6,N112*O112*Q112*0.222*1,IF(P112&gt;6,"",IF(P112&lt;6,"")))</f>
        <v/>
      </c>
      <c r="S112" s="106" t="str">
        <f aca="false">IF(P112=8,N112*O112*Q112*0.395*1,IF(P112&gt;8,"",IF(P112&lt;8,"")))</f>
        <v/>
      </c>
      <c r="T112" s="106" t="str">
        <f aca="false">IF(P112=10,N112*O112*Q112*0.617*1,IF(P112&gt;10,"",IF(P112&lt;10,"")))</f>
        <v/>
      </c>
      <c r="U112" s="106" t="n">
        <f aca="false">IF(P112=12,N112*O112*Q112*0.888*1,IF(P112&gt;12,"",IF(P112&lt;12,"")))</f>
        <v>64.9572</v>
      </c>
      <c r="V112" s="107" t="str">
        <f aca="false">IF(P112=16,N112*O112*Q112*1.578*1,IF(P112&gt;16,"",IF(P112&lt;16,"")))</f>
        <v/>
      </c>
      <c r="W112" s="106" t="str">
        <f aca="false">IF(P112=20,N112*O112*Q112*2.466*1,IF(P112&gt;20,"",IF(P112&lt;20,"")))</f>
        <v/>
      </c>
      <c r="X112" s="106" t="str">
        <f aca="false">IF(P112=25,N112*O112*Q112*3.853*1,IF(P112&gt;25,"",IF(P112&lt;25,"")))</f>
        <v/>
      </c>
      <c r="Y112" s="108" t="str">
        <f aca="false">IF(P112=32,N112*O112*Q112*6.313*1,IF(P112&gt;32,"",IF(P112&lt;32,"")))</f>
        <v/>
      </c>
      <c r="Z112" s="109"/>
      <c r="AA112" s="110" t="str">
        <f aca="false">IF(AC112&gt;0,N112,"")</f>
        <v/>
      </c>
      <c r="AB112" s="111" t="str">
        <f aca="false">IF(AC112&gt;0,O112,"")</f>
        <v/>
      </c>
      <c r="AC112" s="112"/>
      <c r="AD112" s="112"/>
      <c r="AE112" s="113" t="str">
        <f aca="false">IF(AC112&gt;0,P112,"")</f>
        <v/>
      </c>
      <c r="AF112" s="114" t="str">
        <f aca="false">IF(AE112=6,AA112*AB112*AC112*AD112*(AE112/1000)*0.222*1,IF(AE112&gt;6,"",IF(AE112&lt;6,"")))</f>
        <v/>
      </c>
      <c r="AG112" s="107" t="str">
        <f aca="false">IF(AE112=8,AA112*AB112*AC112*AD112*(AE112/1000)*0.395*1,IF(AE112&gt;8,"",IF(AE112&lt;8,"")))</f>
        <v/>
      </c>
      <c r="AH112" s="107" t="str">
        <f aca="false">IF(AE112=10,AA112*AB112*AC112*AD112*(AE112/1000)*0.617*1,IF(AE112&gt;10,"",IF(AE112&lt;10,"")))</f>
        <v/>
      </c>
      <c r="AI112" s="107" t="str">
        <f aca="false">IF(AE112=12,AA112*AB112*AC112*AD112*(AE112/1000)*0.888*1,IF(AE112&gt;12,"",IF(AE112&lt;12,"")))</f>
        <v/>
      </c>
      <c r="AJ112" s="107" t="str">
        <f aca="false">IF(AE112=16,AA112*AB112*AC112*AD112*(AE112/1000)*1.578*1,IF(AE112&gt;16,"",IF(AE112&lt;16,"")))</f>
        <v/>
      </c>
      <c r="AK112" s="107" t="str">
        <f aca="false">IF(AE112=20,AA112*AB112*AC112*AD112*(AE112/1000)*2.466*1,IF(AE112&gt;20,"",IF(AE112&lt;20,"")))</f>
        <v/>
      </c>
      <c r="AL112" s="107" t="str">
        <f aca="false">IF(AE112=25,AA112*AB112*AC112*AD112*(AE112/1000)*3.853*1,IF(AE112&gt;25,"",IF(AE112&lt;25,"")))</f>
        <v/>
      </c>
      <c r="AM112" s="115" t="str">
        <f aca="false">IF(AE112=32,AA112*AB112*AC112*AD112*(AE112/1000)*6.313*1,IF(AE112&gt;32,"",IF(AE112&lt;32,"")))</f>
        <v/>
      </c>
      <c r="AN112" s="128"/>
      <c r="AO112" s="117" t="s">
        <v>188</v>
      </c>
      <c r="AP112" s="118" t="n">
        <f aca="false">SUM(R112:Y112)+SUM(AN112)</f>
        <v>64.9572</v>
      </c>
      <c r="AQ112" s="118" t="n">
        <f aca="false">SUM(AF112:AM112)</f>
        <v>0</v>
      </c>
      <c r="AR112" s="118"/>
      <c r="AS112" s="119" t="s">
        <v>211</v>
      </c>
      <c r="AT112" s="119" t="s">
        <v>162</v>
      </c>
    </row>
    <row r="113" customFormat="false" ht="13.5" hidden="false" customHeight="false" outlineLevel="0" collapsed="false">
      <c r="A113" s="129"/>
      <c r="B113" s="172"/>
      <c r="C113" s="110"/>
      <c r="D113" s="122"/>
      <c r="E113" s="122"/>
      <c r="F113" s="173"/>
      <c r="G113" s="123"/>
      <c r="H113" s="101"/>
      <c r="I113" s="123"/>
      <c r="J113" s="101"/>
      <c r="K113" s="124" t="s">
        <v>240</v>
      </c>
      <c r="L113" s="125" t="n">
        <f aca="false">$D$111-2*0.05</f>
        <v>3.05</v>
      </c>
      <c r="M113" s="125" t="n">
        <v>0.15</v>
      </c>
      <c r="N113" s="126" t="n">
        <f aca="false">$C$111</f>
        <v>1</v>
      </c>
      <c r="O113" s="126" t="n">
        <f aca="false">CEILING(L113/M113,1)+1</f>
        <v>22</v>
      </c>
      <c r="P113" s="126" t="n">
        <v>12</v>
      </c>
      <c r="Q113" s="127" t="n">
        <f aca="false">$E$111-2*0.05+2*($F$111-2*0.05)</f>
        <v>3.44</v>
      </c>
      <c r="R113" s="105" t="str">
        <f aca="false">IF(P113=6,N113*O113*Q113*0.222*1,IF(P113&gt;6,"",IF(P113&lt;6,"")))</f>
        <v/>
      </c>
      <c r="S113" s="106" t="str">
        <f aca="false">IF(P113=8,N113*O113*Q113*0.395*1,IF(P113&gt;8,"",IF(P113&lt;8,"")))</f>
        <v/>
      </c>
      <c r="T113" s="106" t="str">
        <f aca="false">IF(P113=10,N113*O113*Q113*0.617*1,IF(P113&gt;10,"",IF(P113&lt;10,"")))</f>
        <v/>
      </c>
      <c r="U113" s="106" t="n">
        <f aca="false">IF(P113=12,N113*O113*Q113*0.888*1,IF(P113&gt;12,"",IF(P113&lt;12,"")))</f>
        <v>67.20384</v>
      </c>
      <c r="V113" s="107" t="str">
        <f aca="false">IF(P113=16,N113*O113*Q113*1.578*1,IF(P113&gt;16,"",IF(P113&lt;16,"")))</f>
        <v/>
      </c>
      <c r="W113" s="106" t="str">
        <f aca="false">IF(P113=20,N113*O113*Q113*2.466*1,IF(P113&gt;20,"",IF(P113&lt;20,"")))</f>
        <v/>
      </c>
      <c r="X113" s="106" t="str">
        <f aca="false">IF(P113=25,N113*O113*Q113*3.853*1,IF(P113&gt;25,"",IF(P113&lt;25,"")))</f>
        <v/>
      </c>
      <c r="Y113" s="108" t="str">
        <f aca="false">IF(P113=32,N113*O113*Q113*6.313*1,IF(P113&gt;32,"",IF(P113&lt;32,"")))</f>
        <v/>
      </c>
      <c r="Z113" s="109"/>
      <c r="AA113" s="110" t="str">
        <f aca="false">IF(AC113&gt;0,N113,"")</f>
        <v/>
      </c>
      <c r="AB113" s="111" t="str">
        <f aca="false">IF(AC113&gt;0,O113,"")</f>
        <v/>
      </c>
      <c r="AC113" s="112"/>
      <c r="AD113" s="112"/>
      <c r="AE113" s="113" t="str">
        <f aca="false">IF(AC113&gt;0,P113,"")</f>
        <v/>
      </c>
      <c r="AF113" s="114" t="str">
        <f aca="false">IF(AE113=6,AA113*AB113*AC113*AD113*(AE113/1000)*0.222*1,IF(AE113&gt;6,"",IF(AE113&lt;6,"")))</f>
        <v/>
      </c>
      <c r="AG113" s="107" t="str">
        <f aca="false">IF(AE113=8,AA113*AB113*AC113*AD113*(AE113/1000)*0.395*1,IF(AE113&gt;8,"",IF(AE113&lt;8,"")))</f>
        <v/>
      </c>
      <c r="AH113" s="107" t="str">
        <f aca="false">IF(AE113=10,AA113*AB113*AC113*AD113*(AE113/1000)*0.617*1,IF(AE113&gt;10,"",IF(AE113&lt;10,"")))</f>
        <v/>
      </c>
      <c r="AI113" s="107" t="str">
        <f aca="false">IF(AE113=12,AA113*AB113*AC113*AD113*(AE113/1000)*0.888*1,IF(AE113&gt;12,"",IF(AE113&lt;12,"")))</f>
        <v/>
      </c>
      <c r="AJ113" s="107" t="str">
        <f aca="false">IF(AE113=16,AA113*AB113*AC113*AD113*(AE113/1000)*1.578*1,IF(AE113&gt;16,"",IF(AE113&lt;16,"")))</f>
        <v/>
      </c>
      <c r="AK113" s="107" t="str">
        <f aca="false">IF(AE113=20,AA113*AB113*AC113*AD113*(AE113/1000)*2.466*1,IF(AE113&gt;20,"",IF(AE113&lt;20,"")))</f>
        <v/>
      </c>
      <c r="AL113" s="107" t="str">
        <f aca="false">IF(AE113=25,AA113*AB113*AC113*AD113*(AE113/1000)*3.853*1,IF(AE113&gt;25,"",IF(AE113&lt;25,"")))</f>
        <v/>
      </c>
      <c r="AM113" s="115" t="str">
        <f aca="false">IF(AE113=32,AA113*AB113*AC113*AD113*(AE113/1000)*6.313*1,IF(AE113&gt;32,"",IF(AE113&lt;32,"")))</f>
        <v/>
      </c>
      <c r="AN113" s="128"/>
      <c r="AO113" s="117" t="s">
        <v>188</v>
      </c>
      <c r="AP113" s="118" t="n">
        <f aca="false">SUM(R113:Y113)+SUM(AN113)</f>
        <v>67.20384</v>
      </c>
      <c r="AQ113" s="118" t="n">
        <f aca="false">SUM(AF113:AM113)</f>
        <v>0</v>
      </c>
      <c r="AR113" s="118"/>
      <c r="AS113" s="119" t="s">
        <v>211</v>
      </c>
      <c r="AT113" s="119" t="s">
        <v>162</v>
      </c>
    </row>
    <row r="114" customFormat="false" ht="13.5" hidden="false" customHeight="false" outlineLevel="0" collapsed="false">
      <c r="A114" s="129"/>
      <c r="B114" s="172"/>
      <c r="C114" s="110"/>
      <c r="D114" s="122"/>
      <c r="E114" s="122"/>
      <c r="F114" s="173"/>
      <c r="G114" s="123"/>
      <c r="H114" s="101"/>
      <c r="I114" s="123"/>
      <c r="J114" s="101"/>
      <c r="K114" s="124" t="s">
        <v>241</v>
      </c>
      <c r="L114" s="125" t="n">
        <f aca="false">$E$111-2*0.05</f>
        <v>2.64</v>
      </c>
      <c r="M114" s="125" t="n">
        <v>0.15</v>
      </c>
      <c r="N114" s="126" t="n">
        <f aca="false">$C$111</f>
        <v>1</v>
      </c>
      <c r="O114" s="126" t="n">
        <f aca="false">CEILING(L114/M114,1)+1</f>
        <v>19</v>
      </c>
      <c r="P114" s="126" t="n">
        <v>12</v>
      </c>
      <c r="Q114" s="127" t="n">
        <f aca="false">$D$111-2*0.05+2*($F$111-2*0.05)</f>
        <v>3.85</v>
      </c>
      <c r="R114" s="105" t="str">
        <f aca="false">IF(P114=6,N114*O114*Q114*0.222*1,IF(P114&gt;6,"",IF(P114&lt;6,"")))</f>
        <v/>
      </c>
      <c r="S114" s="106" t="str">
        <f aca="false">IF(P114=8,N114*O114*Q114*0.395*1,IF(P114&gt;8,"",IF(P114&lt;8,"")))</f>
        <v/>
      </c>
      <c r="T114" s="106" t="str">
        <f aca="false">IF(P114=10,N114*O114*Q114*0.617*1,IF(P114&gt;10,"",IF(P114&lt;10,"")))</f>
        <v/>
      </c>
      <c r="U114" s="106" t="n">
        <f aca="false">IF(P114=12,N114*O114*Q114*0.888*1,IF(P114&gt;12,"",IF(P114&lt;12,"")))</f>
        <v>64.9572</v>
      </c>
      <c r="V114" s="107" t="str">
        <f aca="false">IF(P114=16,N114*O114*Q114*1.578*1,IF(P114&gt;16,"",IF(P114&lt;16,"")))</f>
        <v/>
      </c>
      <c r="W114" s="106" t="str">
        <f aca="false">IF(P114=20,N114*O114*Q114*2.466*1,IF(P114&gt;20,"",IF(P114&lt;20,"")))</f>
        <v/>
      </c>
      <c r="X114" s="106" t="str">
        <f aca="false">IF(P114=25,N114*O114*Q114*3.853*1,IF(P114&gt;25,"",IF(P114&lt;25,"")))</f>
        <v/>
      </c>
      <c r="Y114" s="108" t="str">
        <f aca="false">IF(P114=32,N114*O114*Q114*6.313*1,IF(P114&gt;32,"",IF(P114&lt;32,"")))</f>
        <v/>
      </c>
      <c r="Z114" s="109"/>
      <c r="AA114" s="110" t="str">
        <f aca="false">IF(AC114&gt;0,N114,"")</f>
        <v/>
      </c>
      <c r="AB114" s="111" t="str">
        <f aca="false">IF(AC114&gt;0,O114,"")</f>
        <v/>
      </c>
      <c r="AC114" s="112"/>
      <c r="AD114" s="112"/>
      <c r="AE114" s="113" t="str">
        <f aca="false">IF(AC114&gt;0,P114,"")</f>
        <v/>
      </c>
      <c r="AF114" s="114" t="str">
        <f aca="false">IF(AE114=6,AA114*AB114*AC114*AD114*(AE114/1000)*0.222*1,IF(AE114&gt;6,"",IF(AE114&lt;6,"")))</f>
        <v/>
      </c>
      <c r="AG114" s="107" t="str">
        <f aca="false">IF(AE114=8,AA114*AB114*AC114*AD114*(AE114/1000)*0.395*1,IF(AE114&gt;8,"",IF(AE114&lt;8,"")))</f>
        <v/>
      </c>
      <c r="AH114" s="107" t="str">
        <f aca="false">IF(AE114=10,AA114*AB114*AC114*AD114*(AE114/1000)*0.617*1,IF(AE114&gt;10,"",IF(AE114&lt;10,"")))</f>
        <v/>
      </c>
      <c r="AI114" s="107" t="str">
        <f aca="false">IF(AE114=12,AA114*AB114*AC114*AD114*(AE114/1000)*0.888*1,IF(AE114&gt;12,"",IF(AE114&lt;12,"")))</f>
        <v/>
      </c>
      <c r="AJ114" s="107" t="str">
        <f aca="false">IF(AE114=16,AA114*AB114*AC114*AD114*(AE114/1000)*1.578*1,IF(AE114&gt;16,"",IF(AE114&lt;16,"")))</f>
        <v/>
      </c>
      <c r="AK114" s="107" t="str">
        <f aca="false">IF(AE114=20,AA114*AB114*AC114*AD114*(AE114/1000)*2.466*1,IF(AE114&gt;20,"",IF(AE114&lt;20,"")))</f>
        <v/>
      </c>
      <c r="AL114" s="107" t="str">
        <f aca="false">IF(AE114=25,AA114*AB114*AC114*AD114*(AE114/1000)*3.853*1,IF(AE114&gt;25,"",IF(AE114&lt;25,"")))</f>
        <v/>
      </c>
      <c r="AM114" s="115" t="str">
        <f aca="false">IF(AE114=32,AA114*AB114*AC114*AD114*(AE114/1000)*6.313*1,IF(AE114&gt;32,"",IF(AE114&lt;32,"")))</f>
        <v/>
      </c>
      <c r="AN114" s="128"/>
      <c r="AO114" s="117" t="s">
        <v>188</v>
      </c>
      <c r="AP114" s="118" t="n">
        <f aca="false">SUM(R114:Y114)+SUM(AN114)</f>
        <v>64.9572</v>
      </c>
      <c r="AQ114" s="118" t="n">
        <f aca="false">SUM(AF114:AM114)</f>
        <v>0</v>
      </c>
      <c r="AR114" s="118"/>
      <c r="AS114" s="119" t="s">
        <v>211</v>
      </c>
      <c r="AT114" s="119" t="s">
        <v>162</v>
      </c>
    </row>
    <row r="115" customFormat="false" ht="13.5" hidden="false" customHeight="false" outlineLevel="0" collapsed="false">
      <c r="A115" s="129"/>
      <c r="B115" s="172"/>
      <c r="C115" s="110"/>
      <c r="D115" s="122"/>
      <c r="E115" s="122"/>
      <c r="F115" s="173"/>
      <c r="G115" s="123"/>
      <c r="H115" s="101"/>
      <c r="I115" s="123"/>
      <c r="J115" s="101"/>
      <c r="K115" s="124" t="s">
        <v>242</v>
      </c>
      <c r="L115" s="125" t="n">
        <f aca="false">$D$111-2*0.05</f>
        <v>3.05</v>
      </c>
      <c r="M115" s="125" t="n">
        <v>0.15</v>
      </c>
      <c r="N115" s="126" t="n">
        <f aca="false">$C$111</f>
        <v>1</v>
      </c>
      <c r="O115" s="126" t="n">
        <f aca="false">CEILING(L115/M115,1)+1</f>
        <v>22</v>
      </c>
      <c r="P115" s="126" t="n">
        <v>12</v>
      </c>
      <c r="Q115" s="127" t="n">
        <f aca="false">$E$111-2*0.05+2*($F$111-2*0.05)</f>
        <v>3.44</v>
      </c>
      <c r="R115" s="105" t="str">
        <f aca="false">IF(P115=6,N115*O115*Q115*0.222*1,IF(P115&gt;6,"",IF(P115&lt;6,"")))</f>
        <v/>
      </c>
      <c r="S115" s="106" t="str">
        <f aca="false">IF(P115=8,N115*O115*Q115*0.395*1,IF(P115&gt;8,"",IF(P115&lt;8,"")))</f>
        <v/>
      </c>
      <c r="T115" s="106" t="str">
        <f aca="false">IF(P115=10,N115*O115*Q115*0.617*1,IF(P115&gt;10,"",IF(P115&lt;10,"")))</f>
        <v/>
      </c>
      <c r="U115" s="106" t="n">
        <f aca="false">IF(P115=12,N115*O115*Q115*0.888*1,IF(P115&gt;12,"",IF(P115&lt;12,"")))</f>
        <v>67.20384</v>
      </c>
      <c r="V115" s="107" t="str">
        <f aca="false">IF(P115=16,N115*O115*Q115*1.578*1,IF(P115&gt;16,"",IF(P115&lt;16,"")))</f>
        <v/>
      </c>
      <c r="W115" s="106" t="str">
        <f aca="false">IF(P115=20,N115*O115*Q115*2.466*1,IF(P115&gt;20,"",IF(P115&lt;20,"")))</f>
        <v/>
      </c>
      <c r="X115" s="106" t="str">
        <f aca="false">IF(P115=25,N115*O115*Q115*3.853*1,IF(P115&gt;25,"",IF(P115&lt;25,"")))</f>
        <v/>
      </c>
      <c r="Y115" s="108" t="str">
        <f aca="false">IF(P115=32,N115*O115*Q115*6.313*1,IF(P115&gt;32,"",IF(P115&lt;32,"")))</f>
        <v/>
      </c>
      <c r="Z115" s="109"/>
      <c r="AA115" s="110" t="str">
        <f aca="false">IF(AC115&gt;0,N115,"")</f>
        <v/>
      </c>
      <c r="AB115" s="111" t="str">
        <f aca="false">IF(AC115&gt;0,O115,"")</f>
        <v/>
      </c>
      <c r="AC115" s="112"/>
      <c r="AD115" s="112"/>
      <c r="AE115" s="113" t="str">
        <f aca="false">IF(AC115&gt;0,P115,"")</f>
        <v/>
      </c>
      <c r="AF115" s="114" t="str">
        <f aca="false">IF(AE115=6,AA115*AB115*AC115*AD115*(AE115/1000)*0.222*1,IF(AE115&gt;6,"",IF(AE115&lt;6,"")))</f>
        <v/>
      </c>
      <c r="AG115" s="107" t="str">
        <f aca="false">IF(AE115=8,AA115*AB115*AC115*AD115*(AE115/1000)*0.395*1,IF(AE115&gt;8,"",IF(AE115&lt;8,"")))</f>
        <v/>
      </c>
      <c r="AH115" s="107" t="str">
        <f aca="false">IF(AE115=10,AA115*AB115*AC115*AD115*(AE115/1000)*0.617*1,IF(AE115&gt;10,"",IF(AE115&lt;10,"")))</f>
        <v/>
      </c>
      <c r="AI115" s="107" t="str">
        <f aca="false">IF(AE115=12,AA115*AB115*AC115*AD115*(AE115/1000)*0.888*1,IF(AE115&gt;12,"",IF(AE115&lt;12,"")))</f>
        <v/>
      </c>
      <c r="AJ115" s="107" t="str">
        <f aca="false">IF(AE115=16,AA115*AB115*AC115*AD115*(AE115/1000)*1.578*1,IF(AE115&gt;16,"",IF(AE115&lt;16,"")))</f>
        <v/>
      </c>
      <c r="AK115" s="107" t="str">
        <f aca="false">IF(AE115=20,AA115*AB115*AC115*AD115*(AE115/1000)*2.466*1,IF(AE115&gt;20,"",IF(AE115&lt;20,"")))</f>
        <v/>
      </c>
      <c r="AL115" s="107" t="str">
        <f aca="false">IF(AE115=25,AA115*AB115*AC115*AD115*(AE115/1000)*3.853*1,IF(AE115&gt;25,"",IF(AE115&lt;25,"")))</f>
        <v/>
      </c>
      <c r="AM115" s="115" t="str">
        <f aca="false">IF(AE115=32,AA115*AB115*AC115*AD115*(AE115/1000)*6.313*1,IF(AE115&gt;32,"",IF(AE115&lt;32,"")))</f>
        <v/>
      </c>
      <c r="AN115" s="128"/>
      <c r="AO115" s="117" t="s">
        <v>188</v>
      </c>
      <c r="AP115" s="118" t="n">
        <f aca="false">SUM(R115:Y115)+SUM(AN115)</f>
        <v>67.20384</v>
      </c>
      <c r="AQ115" s="118" t="n">
        <f aca="false">SUM(AF115:AM115)</f>
        <v>0</v>
      </c>
      <c r="AR115" s="118"/>
      <c r="AS115" s="119" t="s">
        <v>211</v>
      </c>
      <c r="AT115" s="119" t="s">
        <v>162</v>
      </c>
    </row>
    <row r="116" customFormat="false" ht="13.5" hidden="false" customHeight="false" outlineLevel="0" collapsed="false">
      <c r="A116" s="129"/>
      <c r="B116" s="130"/>
      <c r="C116" s="110"/>
      <c r="D116" s="122"/>
      <c r="E116" s="122"/>
      <c r="F116" s="122"/>
      <c r="G116" s="123"/>
      <c r="H116" s="101"/>
      <c r="I116" s="123"/>
      <c r="J116" s="101"/>
      <c r="K116" s="124"/>
      <c r="L116" s="125"/>
      <c r="M116" s="125"/>
      <c r="N116" s="126"/>
      <c r="O116" s="126"/>
      <c r="P116" s="126"/>
      <c r="Q116" s="127"/>
      <c r="R116" s="105"/>
      <c r="S116" s="106"/>
      <c r="T116" s="106"/>
      <c r="U116" s="106"/>
      <c r="V116" s="107"/>
      <c r="W116" s="106"/>
      <c r="X116" s="106"/>
      <c r="Y116" s="108"/>
      <c r="Z116" s="109"/>
      <c r="AA116" s="110"/>
      <c r="AB116" s="111"/>
      <c r="AC116" s="112"/>
      <c r="AD116" s="112"/>
      <c r="AE116" s="113"/>
      <c r="AF116" s="114"/>
      <c r="AG116" s="107"/>
      <c r="AH116" s="107"/>
      <c r="AI116" s="107"/>
      <c r="AJ116" s="107"/>
      <c r="AK116" s="107"/>
      <c r="AL116" s="107"/>
      <c r="AM116" s="115"/>
      <c r="AO116" s="117"/>
      <c r="AP116" s="118"/>
      <c r="AQ116" s="118"/>
      <c r="AR116" s="118"/>
      <c r="AS116" s="119"/>
      <c r="AT116" s="119"/>
    </row>
    <row r="117" customFormat="false" ht="19.4" hidden="false" customHeight="false" outlineLevel="0" collapsed="false">
      <c r="A117" s="96"/>
      <c r="B117" s="97" t="s">
        <v>269</v>
      </c>
      <c r="C117" s="98"/>
      <c r="D117" s="99"/>
      <c r="E117" s="99"/>
      <c r="F117" s="99"/>
      <c r="G117" s="100"/>
      <c r="H117" s="101"/>
      <c r="I117" s="100"/>
      <c r="J117" s="101"/>
      <c r="K117" s="102"/>
      <c r="L117" s="103"/>
      <c r="M117" s="103"/>
      <c r="N117" s="104"/>
      <c r="O117" s="104"/>
      <c r="P117" s="104"/>
      <c r="Q117" s="100"/>
      <c r="R117" s="105"/>
      <c r="S117" s="106"/>
      <c r="T117" s="106"/>
      <c r="U117" s="106"/>
      <c r="V117" s="107"/>
      <c r="W117" s="106"/>
      <c r="X117" s="106"/>
      <c r="Y117" s="108"/>
      <c r="Z117" s="109"/>
      <c r="AA117" s="110"/>
      <c r="AB117" s="111"/>
      <c r="AC117" s="112"/>
      <c r="AD117" s="112"/>
      <c r="AE117" s="113"/>
      <c r="AF117" s="114"/>
      <c r="AG117" s="107"/>
      <c r="AH117" s="107"/>
      <c r="AI117" s="107"/>
      <c r="AJ117" s="107"/>
      <c r="AK117" s="107"/>
      <c r="AL117" s="107"/>
      <c r="AM117" s="115"/>
      <c r="AO117" s="117"/>
      <c r="AP117" s="118"/>
      <c r="AQ117" s="118"/>
      <c r="AR117" s="118"/>
      <c r="AS117" s="119"/>
      <c r="AT117" s="119"/>
    </row>
    <row r="118" customFormat="false" ht="13.5" hidden="false" customHeight="false" outlineLevel="0" collapsed="false">
      <c r="A118" s="120"/>
      <c r="B118" s="121" t="s">
        <v>190</v>
      </c>
      <c r="C118" s="110" t="n">
        <v>1</v>
      </c>
      <c r="D118" s="122" t="n">
        <f aca="false">1.6965/(1.45*0.5)</f>
        <v>2.34</v>
      </c>
      <c r="E118" s="122" t="n">
        <v>1.45</v>
      </c>
      <c r="F118" s="122" t="n">
        <v>0.5</v>
      </c>
      <c r="G118" s="123" t="n">
        <f aca="false">C118*D118*E118*F118</f>
        <v>1.6965</v>
      </c>
      <c r="H118" s="101"/>
      <c r="I118" s="123" t="n">
        <f aca="false">2*(D118+E118)*F118*C118</f>
        <v>3.79</v>
      </c>
      <c r="J118" s="101"/>
      <c r="K118" s="124"/>
      <c r="L118" s="125"/>
      <c r="M118" s="125"/>
      <c r="N118" s="126"/>
      <c r="O118" s="126"/>
      <c r="P118" s="126"/>
      <c r="Q118" s="127"/>
      <c r="R118" s="105" t="str">
        <f aca="false">IF(P118=6,N118*O118*Q118*0.222*1,IF(P118&gt;6,"",IF(P118&lt;6,"")))</f>
        <v/>
      </c>
      <c r="S118" s="106" t="str">
        <f aca="false">IF(P118=8,N118*O118*Q118*0.395*1,IF(P118&gt;8,"",IF(P118&lt;8,"")))</f>
        <v/>
      </c>
      <c r="T118" s="106" t="str">
        <f aca="false">IF(P118=10,N118*O118*Q118*0.617*1,IF(P118&gt;10,"",IF(P118&lt;10,"")))</f>
        <v/>
      </c>
      <c r="U118" s="106" t="str">
        <f aca="false">IF(P118=12,N118*O118*Q118*0.888*1,IF(P118&gt;12,"",IF(P118&lt;12,"")))</f>
        <v/>
      </c>
      <c r="V118" s="107" t="str">
        <f aca="false">IF(P118=16,N118*O118*Q118*1.578*1,IF(P118&gt;16,"",IF(P118&lt;16,"")))</f>
        <v/>
      </c>
      <c r="W118" s="106" t="str">
        <f aca="false">IF(P118=20,N118*O118*Q118*2.466*1,IF(P118&gt;20,"",IF(P118&lt;20,"")))</f>
        <v/>
      </c>
      <c r="X118" s="106" t="str">
        <f aca="false">IF(P118=25,N118*O118*Q118*3.853*1,IF(P118&gt;25,"",IF(P118&lt;25,"")))</f>
        <v/>
      </c>
      <c r="Y118" s="108" t="str">
        <f aca="false">IF(P118=32,N118*O118*Q118*6.313*1,IF(P118&gt;32,"",IF(P118&lt;32,"")))</f>
        <v/>
      </c>
      <c r="Z118" s="109"/>
      <c r="AA118" s="110" t="str">
        <f aca="false">IF(AC118&gt;0,N118,"")</f>
        <v/>
      </c>
      <c r="AB118" s="111" t="str">
        <f aca="false">IF(AC118&gt;0,O118,"")</f>
        <v/>
      </c>
      <c r="AC118" s="112"/>
      <c r="AD118" s="112"/>
      <c r="AE118" s="113" t="str">
        <f aca="false">IF(AC118&gt;0,P118,"")</f>
        <v/>
      </c>
      <c r="AF118" s="114" t="str">
        <f aca="false">IF(AE118=6,AA118*AB118*AC118*AD118*(AE118/1000)*0.222*1,IF(AE118&gt;6,"",IF(AE118&lt;6,"")))</f>
        <v/>
      </c>
      <c r="AG118" s="107" t="str">
        <f aca="false">IF(AE118=8,AA118*AB118*AC118*AD118*(AE118/1000)*0.395*1,IF(AE118&gt;8,"",IF(AE118&lt;8,"")))</f>
        <v/>
      </c>
      <c r="AH118" s="107" t="str">
        <f aca="false">IF(AE118=10,AA118*AB118*AC118*AD118*(AE118/1000)*0.617*1,IF(AE118&gt;10,"",IF(AE118&lt;10,"")))</f>
        <v/>
      </c>
      <c r="AI118" s="107" t="str">
        <f aca="false">IF(AE118=12,AA118*AB118*AC118*AD118*(AE118/1000)*0.888*1,IF(AE118&gt;12,"",IF(AE118&lt;12,"")))</f>
        <v/>
      </c>
      <c r="AJ118" s="107" t="str">
        <f aca="false">IF(AE118=16,AA118*AB118*AC118*AD118*(AE118/1000)*1.578*1,IF(AE118&gt;16,"",IF(AE118&lt;16,"")))</f>
        <v/>
      </c>
      <c r="AK118" s="107" t="str">
        <f aca="false">IF(AE118=20,AA118*AB118*AC118*AD118*(AE118/1000)*2.466*1,IF(AE118&gt;20,"",IF(AE118&lt;20,"")))</f>
        <v/>
      </c>
      <c r="AL118" s="107" t="str">
        <f aca="false">IF(AE118=25,AA118*AB118*AC118*AD118*(AE118/1000)*3.853*1,IF(AE118&gt;25,"",IF(AE118&lt;25,"")))</f>
        <v/>
      </c>
      <c r="AM118" s="115" t="str">
        <f aca="false">IF(AE118=32,AA118*AB118*AC118*AD118*(AE118/1000)*6.313*1,IF(AE118&gt;32,"",IF(AE118&lt;32,"")))</f>
        <v/>
      </c>
      <c r="AN118" s="128"/>
      <c r="AO118" s="117" t="s">
        <v>191</v>
      </c>
      <c r="AP118" s="118" t="n">
        <f aca="false">SUM(R118:Y118)+SUM(AN118)</f>
        <v>0</v>
      </c>
      <c r="AQ118" s="118" t="n">
        <f aca="false">SUM(AF118:AM118)</f>
        <v>0</v>
      </c>
      <c r="AR118" s="118" t="n">
        <v>1.6965</v>
      </c>
      <c r="AS118" s="119" t="s">
        <v>270</v>
      </c>
      <c r="AT118" s="119" t="s">
        <v>209</v>
      </c>
    </row>
    <row r="119" customFormat="false" ht="13.5" hidden="false" customHeight="false" outlineLevel="0" collapsed="false">
      <c r="A119" s="129"/>
      <c r="B119" s="172"/>
      <c r="C119" s="110"/>
      <c r="D119" s="122"/>
      <c r="E119" s="122"/>
      <c r="F119" s="173"/>
      <c r="G119" s="123"/>
      <c r="H119" s="101"/>
      <c r="I119" s="123"/>
      <c r="J119" s="101"/>
      <c r="K119" s="124" t="s">
        <v>271</v>
      </c>
      <c r="L119" s="125" t="n">
        <f aca="false">$D$118-2*0.05</f>
        <v>2.24</v>
      </c>
      <c r="M119" s="125" t="n">
        <v>0.15</v>
      </c>
      <c r="N119" s="126" t="n">
        <f aca="false">$C$118</f>
        <v>1</v>
      </c>
      <c r="O119" s="126" t="n">
        <f aca="false">CEILING(L119/M119,1)+1</f>
        <v>16</v>
      </c>
      <c r="P119" s="126" t="n">
        <v>12</v>
      </c>
      <c r="Q119" s="127" t="n">
        <f aca="false">2*($E$118-2*0.05)+2*($F$118-2*0.05)+20*12/1000</f>
        <v>3.74</v>
      </c>
      <c r="R119" s="105" t="str">
        <f aca="false">IF(P119=6,N119*O119*Q119*0.222*1,IF(P119&gt;6,"",IF(P119&lt;6,"")))</f>
        <v/>
      </c>
      <c r="S119" s="106" t="str">
        <f aca="false">IF(P119=8,N119*O119*Q119*0.395*1,IF(P119&gt;8,"",IF(P119&lt;8,"")))</f>
        <v/>
      </c>
      <c r="T119" s="106" t="str">
        <f aca="false">IF(P119=10,N119*O119*Q119*0.617*1,IF(P119&gt;10,"",IF(P119&lt;10,"")))</f>
        <v/>
      </c>
      <c r="U119" s="106" t="n">
        <f aca="false">IF(P119=12,N119*O119*Q119*0.888*1,IF(P119&gt;12,"",IF(P119&lt;12,"")))</f>
        <v>53.13792</v>
      </c>
      <c r="V119" s="107" t="str">
        <f aca="false">IF(P119=16,N119*O119*Q119*1.578*1,IF(P119&gt;16,"",IF(P119&lt;16,"")))</f>
        <v/>
      </c>
      <c r="W119" s="106" t="str">
        <f aca="false">IF(P119=20,N119*O119*Q119*2.466*1,IF(P119&gt;20,"",IF(P119&lt;20,"")))</f>
        <v/>
      </c>
      <c r="X119" s="106" t="str">
        <f aca="false">IF(P119=25,N119*O119*Q119*3.853*1,IF(P119&gt;25,"",IF(P119&lt;25,"")))</f>
        <v/>
      </c>
      <c r="Y119" s="108" t="str">
        <f aca="false">IF(P119=32,N119*O119*Q119*6.313*1,IF(P119&gt;32,"",IF(P119&lt;32,"")))</f>
        <v/>
      </c>
      <c r="Z119" s="109"/>
      <c r="AA119" s="110" t="str">
        <f aca="false">IF(AC119&gt;0,N119,"")</f>
        <v/>
      </c>
      <c r="AB119" s="111" t="str">
        <f aca="false">IF(AC119&gt;0,O119,"")</f>
        <v/>
      </c>
      <c r="AC119" s="112"/>
      <c r="AD119" s="112"/>
      <c r="AE119" s="113" t="str">
        <f aca="false">IF(AC119&gt;0,P119,"")</f>
        <v/>
      </c>
      <c r="AF119" s="114" t="str">
        <f aca="false">IF(AE119=6,AA119*AB119*AC119*AD119*(AE119/1000)*0.222*1,IF(AE119&gt;6,"",IF(AE119&lt;6,"")))</f>
        <v/>
      </c>
      <c r="AG119" s="107" t="str">
        <f aca="false">IF(AE119=8,AA119*AB119*AC119*AD119*(AE119/1000)*0.395*1,IF(AE119&gt;8,"",IF(AE119&lt;8,"")))</f>
        <v/>
      </c>
      <c r="AH119" s="107" t="str">
        <f aca="false">IF(AE119=10,AA119*AB119*AC119*AD119*(AE119/1000)*0.617*1,IF(AE119&gt;10,"",IF(AE119&lt;10,"")))</f>
        <v/>
      </c>
      <c r="AI119" s="107" t="str">
        <f aca="false">IF(AE119=12,AA119*AB119*AC119*AD119*(AE119/1000)*0.888*1,IF(AE119&gt;12,"",IF(AE119&lt;12,"")))</f>
        <v/>
      </c>
      <c r="AJ119" s="107" t="str">
        <f aca="false">IF(AE119=16,AA119*AB119*AC119*AD119*(AE119/1000)*1.578*1,IF(AE119&gt;16,"",IF(AE119&lt;16,"")))</f>
        <v/>
      </c>
      <c r="AK119" s="107" t="str">
        <f aca="false">IF(AE119=20,AA119*AB119*AC119*AD119*(AE119/1000)*2.466*1,IF(AE119&gt;20,"",IF(AE119&lt;20,"")))</f>
        <v/>
      </c>
      <c r="AL119" s="107" t="str">
        <f aca="false">IF(AE119=25,AA119*AB119*AC119*AD119*(AE119/1000)*3.853*1,IF(AE119&gt;25,"",IF(AE119&lt;25,"")))</f>
        <v/>
      </c>
      <c r="AM119" s="115" t="str">
        <f aca="false">IF(AE119=32,AA119*AB119*AC119*AD119*(AE119/1000)*6.313*1,IF(AE119&gt;32,"",IF(AE119&lt;32,"")))</f>
        <v/>
      </c>
      <c r="AN119" s="128"/>
      <c r="AO119" s="117" t="s">
        <v>191</v>
      </c>
      <c r="AP119" s="118" t="n">
        <f aca="false">SUM(R119:Y119)+SUM(AN119)</f>
        <v>53.13792</v>
      </c>
      <c r="AQ119" s="118" t="n">
        <f aca="false">SUM(AF119:AM119)</f>
        <v>0</v>
      </c>
      <c r="AR119" s="118"/>
      <c r="AS119" s="119" t="s">
        <v>272</v>
      </c>
      <c r="AT119" s="119" t="s">
        <v>162</v>
      </c>
    </row>
    <row r="120" customFormat="false" ht="13.5" hidden="false" customHeight="false" outlineLevel="0" collapsed="false">
      <c r="A120" s="129"/>
      <c r="B120" s="172"/>
      <c r="C120" s="110"/>
      <c r="D120" s="122"/>
      <c r="E120" s="122"/>
      <c r="F120" s="173"/>
      <c r="G120" s="123"/>
      <c r="H120" s="101"/>
      <c r="I120" s="123"/>
      <c r="J120" s="101"/>
      <c r="K120" s="124" t="s">
        <v>273</v>
      </c>
      <c r="L120" s="125" t="n">
        <f aca="false">$E$118-2*0.05</f>
        <v>1.35</v>
      </c>
      <c r="M120" s="125" t="n">
        <v>0.15</v>
      </c>
      <c r="N120" s="126" t="n">
        <f aca="false">2*$C$118</f>
        <v>2</v>
      </c>
      <c r="O120" s="126" t="n">
        <f aca="false">CEILING(L120/M120,1)+1</f>
        <v>10</v>
      </c>
      <c r="P120" s="126" t="n">
        <v>12</v>
      </c>
      <c r="Q120" s="127" t="n">
        <f aca="false">$D$118-2*0.05</f>
        <v>2.24</v>
      </c>
      <c r="R120" s="105" t="str">
        <f aca="false">IF(P120=6,N120*O120*Q120*0.222*1,IF(P120&gt;6,"",IF(P120&lt;6,"")))</f>
        <v/>
      </c>
      <c r="S120" s="106" t="str">
        <f aca="false">IF(P120=8,N120*O120*Q120*0.395*1,IF(P120&gt;8,"",IF(P120&lt;8,"")))</f>
        <v/>
      </c>
      <c r="T120" s="106" t="str">
        <f aca="false">IF(P120=10,N120*O120*Q120*0.617*1,IF(P120&gt;10,"",IF(P120&lt;10,"")))</f>
        <v/>
      </c>
      <c r="U120" s="106" t="n">
        <f aca="false">IF(P120=12,N120*O120*Q120*0.888*1,IF(P120&gt;12,"",IF(P120&lt;12,"")))</f>
        <v>39.7824</v>
      </c>
      <c r="V120" s="107" t="str">
        <f aca="false">IF(P120=16,N120*O120*Q120*1.578*1,IF(P120&gt;16,"",IF(P120&lt;16,"")))</f>
        <v/>
      </c>
      <c r="W120" s="106" t="str">
        <f aca="false">IF(P120=20,N120*O120*Q120*2.466*1,IF(P120&gt;20,"",IF(P120&lt;20,"")))</f>
        <v/>
      </c>
      <c r="X120" s="106" t="str">
        <f aca="false">IF(P120=25,N120*O120*Q120*3.853*1,IF(P120&gt;25,"",IF(P120&lt;25,"")))</f>
        <v/>
      </c>
      <c r="Y120" s="108" t="str">
        <f aca="false">IF(P120=32,N120*O120*Q120*6.313*1,IF(P120&gt;32,"",IF(P120&lt;32,"")))</f>
        <v/>
      </c>
      <c r="Z120" s="109"/>
      <c r="AA120" s="110" t="str">
        <f aca="false">IF(AC120&gt;0,N120,"")</f>
        <v/>
      </c>
      <c r="AB120" s="111" t="str">
        <f aca="false">IF(AC120&gt;0,O120,"")</f>
        <v/>
      </c>
      <c r="AC120" s="112"/>
      <c r="AD120" s="112"/>
      <c r="AE120" s="113" t="str">
        <f aca="false">IF(AC120&gt;0,P120,"")</f>
        <v/>
      </c>
      <c r="AF120" s="114" t="str">
        <f aca="false">IF(AE120=6,AA120*AB120*AC120*AD120*(AE120/1000)*0.222*1,IF(AE120&gt;6,"",IF(AE120&lt;6,"")))</f>
        <v/>
      </c>
      <c r="AG120" s="107" t="str">
        <f aca="false">IF(AE120=8,AA120*AB120*AC120*AD120*(AE120/1000)*0.395*1,IF(AE120&gt;8,"",IF(AE120&lt;8,"")))</f>
        <v/>
      </c>
      <c r="AH120" s="107" t="str">
        <f aca="false">IF(AE120=10,AA120*AB120*AC120*AD120*(AE120/1000)*0.617*1,IF(AE120&gt;10,"",IF(AE120&lt;10,"")))</f>
        <v/>
      </c>
      <c r="AI120" s="107" t="str">
        <f aca="false">IF(AE120=12,AA120*AB120*AC120*AD120*(AE120/1000)*0.888*1,IF(AE120&gt;12,"",IF(AE120&lt;12,"")))</f>
        <v/>
      </c>
      <c r="AJ120" s="107" t="str">
        <f aca="false">IF(AE120=16,AA120*AB120*AC120*AD120*(AE120/1000)*1.578*1,IF(AE120&gt;16,"",IF(AE120&lt;16,"")))</f>
        <v/>
      </c>
      <c r="AK120" s="107" t="str">
        <f aca="false">IF(AE120=20,AA120*AB120*AC120*AD120*(AE120/1000)*2.466*1,IF(AE120&gt;20,"",IF(AE120&lt;20,"")))</f>
        <v/>
      </c>
      <c r="AL120" s="107" t="str">
        <f aca="false">IF(AE120=25,AA120*AB120*AC120*AD120*(AE120/1000)*3.853*1,IF(AE120&gt;25,"",IF(AE120&lt;25,"")))</f>
        <v/>
      </c>
      <c r="AM120" s="115" t="str">
        <f aca="false">IF(AE120=32,AA120*AB120*AC120*AD120*(AE120/1000)*6.313*1,IF(AE120&gt;32,"",IF(AE120&lt;32,"")))</f>
        <v/>
      </c>
      <c r="AN120" s="128"/>
      <c r="AO120" s="117" t="s">
        <v>191</v>
      </c>
      <c r="AP120" s="118" t="n">
        <f aca="false">SUM(R120:Y120)+SUM(AN120)</f>
        <v>39.7824</v>
      </c>
      <c r="AQ120" s="118" t="n">
        <f aca="false">SUM(AF120:AM120)</f>
        <v>0</v>
      </c>
      <c r="AR120" s="118"/>
      <c r="AS120" s="119"/>
      <c r="AT120" s="119" t="s">
        <v>162</v>
      </c>
    </row>
    <row r="121" customFormat="false" ht="13.5" hidden="false" customHeight="false" outlineLevel="0" collapsed="false">
      <c r="A121" s="129"/>
      <c r="B121" s="130"/>
      <c r="C121" s="110"/>
      <c r="D121" s="122"/>
      <c r="E121" s="122"/>
      <c r="F121" s="122"/>
      <c r="G121" s="123"/>
      <c r="H121" s="101"/>
      <c r="I121" s="123"/>
      <c r="J121" s="101"/>
      <c r="K121" s="124"/>
      <c r="L121" s="125"/>
      <c r="M121" s="125"/>
      <c r="N121" s="126"/>
      <c r="O121" s="126"/>
      <c r="P121" s="126"/>
      <c r="Q121" s="127"/>
      <c r="R121" s="105"/>
      <c r="S121" s="106"/>
      <c r="T121" s="106"/>
      <c r="U121" s="106"/>
      <c r="V121" s="107"/>
      <c r="W121" s="106"/>
      <c r="X121" s="106"/>
      <c r="Y121" s="108"/>
      <c r="Z121" s="109"/>
      <c r="AA121" s="110"/>
      <c r="AB121" s="111"/>
      <c r="AC121" s="112"/>
      <c r="AD121" s="112"/>
      <c r="AE121" s="113"/>
      <c r="AF121" s="114"/>
      <c r="AG121" s="107"/>
      <c r="AH121" s="107"/>
      <c r="AI121" s="107"/>
      <c r="AJ121" s="107"/>
      <c r="AK121" s="107"/>
      <c r="AL121" s="107"/>
      <c r="AM121" s="115"/>
      <c r="AO121" s="117"/>
      <c r="AP121" s="118"/>
      <c r="AQ121" s="118"/>
      <c r="AR121" s="118"/>
      <c r="AS121" s="119"/>
      <c r="AT121" s="119"/>
    </row>
    <row r="122" customFormat="false" ht="13.5" hidden="false" customHeight="false" outlineLevel="0" collapsed="false">
      <c r="A122" s="120"/>
      <c r="B122" s="121" t="s">
        <v>193</v>
      </c>
      <c r="C122" s="110" t="n">
        <v>1</v>
      </c>
      <c r="D122" s="122" t="n">
        <f aca="false">2.8275/(1.45*0.5)</f>
        <v>3.9</v>
      </c>
      <c r="E122" s="122" t="n">
        <v>1.45</v>
      </c>
      <c r="F122" s="122" t="n">
        <v>0.5</v>
      </c>
      <c r="G122" s="123" t="n">
        <f aca="false">C122*D122*E122*F122</f>
        <v>2.8275</v>
      </c>
      <c r="H122" s="101"/>
      <c r="I122" s="123" t="n">
        <f aca="false">2*(D122+E122)*F122*C122</f>
        <v>5.35</v>
      </c>
      <c r="J122" s="101"/>
      <c r="K122" s="124"/>
      <c r="L122" s="125"/>
      <c r="M122" s="125"/>
      <c r="N122" s="126"/>
      <c r="O122" s="126"/>
      <c r="P122" s="126"/>
      <c r="Q122" s="127"/>
      <c r="R122" s="105" t="str">
        <f aca="false">IF(P122=6,N122*O122*Q122*0.222*1,IF(P122&gt;6,"",IF(P122&lt;6,"")))</f>
        <v/>
      </c>
      <c r="S122" s="106" t="str">
        <f aca="false">IF(P122=8,N122*O122*Q122*0.395*1,IF(P122&gt;8,"",IF(P122&lt;8,"")))</f>
        <v/>
      </c>
      <c r="T122" s="106" t="str">
        <f aca="false">IF(P122=10,N122*O122*Q122*0.617*1,IF(P122&gt;10,"",IF(P122&lt;10,"")))</f>
        <v/>
      </c>
      <c r="U122" s="106" t="str">
        <f aca="false">IF(P122=12,N122*O122*Q122*0.888*1,IF(P122&gt;12,"",IF(P122&lt;12,"")))</f>
        <v/>
      </c>
      <c r="V122" s="107" t="str">
        <f aca="false">IF(P122=16,N122*O122*Q122*1.578*1,IF(P122&gt;16,"",IF(P122&lt;16,"")))</f>
        <v/>
      </c>
      <c r="W122" s="106" t="str">
        <f aca="false">IF(P122=20,N122*O122*Q122*2.466*1,IF(P122&gt;20,"",IF(P122&lt;20,"")))</f>
        <v/>
      </c>
      <c r="X122" s="106" t="str">
        <f aca="false">IF(P122=25,N122*O122*Q122*3.853*1,IF(P122&gt;25,"",IF(P122&lt;25,"")))</f>
        <v/>
      </c>
      <c r="Y122" s="108" t="str">
        <f aca="false">IF(P122=32,N122*O122*Q122*6.313*1,IF(P122&gt;32,"",IF(P122&lt;32,"")))</f>
        <v/>
      </c>
      <c r="Z122" s="109"/>
      <c r="AA122" s="110" t="str">
        <f aca="false">IF(AC122&gt;0,N122,"")</f>
        <v/>
      </c>
      <c r="AB122" s="111" t="str">
        <f aca="false">IF(AC122&gt;0,O122,"")</f>
        <v/>
      </c>
      <c r="AC122" s="112"/>
      <c r="AD122" s="112"/>
      <c r="AE122" s="113" t="str">
        <f aca="false">IF(AC122&gt;0,P122,"")</f>
        <v/>
      </c>
      <c r="AF122" s="114" t="str">
        <f aca="false">IF(AE122=6,AA122*AB122*AC122*AD122*(AE122/1000)*0.222*1,IF(AE122&gt;6,"",IF(AE122&lt;6,"")))</f>
        <v/>
      </c>
      <c r="AG122" s="107" t="str">
        <f aca="false">IF(AE122=8,AA122*AB122*AC122*AD122*(AE122/1000)*0.395*1,IF(AE122&gt;8,"",IF(AE122&lt;8,"")))</f>
        <v/>
      </c>
      <c r="AH122" s="107" t="str">
        <f aca="false">IF(AE122=10,AA122*AB122*AC122*AD122*(AE122/1000)*0.617*1,IF(AE122&gt;10,"",IF(AE122&lt;10,"")))</f>
        <v/>
      </c>
      <c r="AI122" s="107" t="str">
        <f aca="false">IF(AE122=12,AA122*AB122*AC122*AD122*(AE122/1000)*0.888*1,IF(AE122&gt;12,"",IF(AE122&lt;12,"")))</f>
        <v/>
      </c>
      <c r="AJ122" s="107" t="str">
        <f aca="false">IF(AE122=16,AA122*AB122*AC122*AD122*(AE122/1000)*1.578*1,IF(AE122&gt;16,"",IF(AE122&lt;16,"")))</f>
        <v/>
      </c>
      <c r="AK122" s="107" t="str">
        <f aca="false">IF(AE122=20,AA122*AB122*AC122*AD122*(AE122/1000)*2.466*1,IF(AE122&gt;20,"",IF(AE122&lt;20,"")))</f>
        <v/>
      </c>
      <c r="AL122" s="107" t="str">
        <f aca="false">IF(AE122=25,AA122*AB122*AC122*AD122*(AE122/1000)*3.853*1,IF(AE122&gt;25,"",IF(AE122&lt;25,"")))</f>
        <v/>
      </c>
      <c r="AM122" s="115" t="str">
        <f aca="false">IF(AE122=32,AA122*AB122*AC122*AD122*(AE122/1000)*6.313*1,IF(AE122&gt;32,"",IF(AE122&lt;32,"")))</f>
        <v/>
      </c>
      <c r="AN122" s="128"/>
      <c r="AO122" s="117" t="s">
        <v>191</v>
      </c>
      <c r="AP122" s="118" t="n">
        <f aca="false">SUM(R122:Y122)+SUM(AN122)</f>
        <v>0</v>
      </c>
      <c r="AQ122" s="118" t="n">
        <f aca="false">SUM(AF122:AM122)</f>
        <v>0</v>
      </c>
      <c r="AR122" s="118" t="n">
        <v>2.8275</v>
      </c>
      <c r="AS122" s="119" t="s">
        <v>274</v>
      </c>
      <c r="AT122" s="119" t="s">
        <v>209</v>
      </c>
    </row>
    <row r="123" customFormat="false" ht="13.5" hidden="false" customHeight="false" outlineLevel="0" collapsed="false">
      <c r="A123" s="129"/>
      <c r="B123" s="172"/>
      <c r="C123" s="110"/>
      <c r="D123" s="122"/>
      <c r="E123" s="122"/>
      <c r="F123" s="173"/>
      <c r="G123" s="123"/>
      <c r="H123" s="101"/>
      <c r="I123" s="123"/>
      <c r="J123" s="101"/>
      <c r="K123" s="124" t="s">
        <v>271</v>
      </c>
      <c r="L123" s="125" t="n">
        <f aca="false">$D$122-2*0.05</f>
        <v>3.8</v>
      </c>
      <c r="M123" s="125" t="n">
        <v>0.15</v>
      </c>
      <c r="N123" s="126" t="n">
        <f aca="false">$C$122</f>
        <v>1</v>
      </c>
      <c r="O123" s="126" t="n">
        <f aca="false">CEILING(L123/M123,1)+1</f>
        <v>27</v>
      </c>
      <c r="P123" s="126" t="n">
        <v>12</v>
      </c>
      <c r="Q123" s="127" t="n">
        <f aca="false">2*($E$122-2*0.05)+2*($F$122-2*0.05)+20*12/1000</f>
        <v>3.74</v>
      </c>
      <c r="R123" s="105" t="str">
        <f aca="false">IF(P123=6,N123*O123*Q123*0.222*1,IF(P123&gt;6,"",IF(P123&lt;6,"")))</f>
        <v/>
      </c>
      <c r="S123" s="106" t="str">
        <f aca="false">IF(P123=8,N123*O123*Q123*0.395*1,IF(P123&gt;8,"",IF(P123&lt;8,"")))</f>
        <v/>
      </c>
      <c r="T123" s="106" t="str">
        <f aca="false">IF(P123=10,N123*O123*Q123*0.617*1,IF(P123&gt;10,"",IF(P123&lt;10,"")))</f>
        <v/>
      </c>
      <c r="U123" s="106" t="n">
        <f aca="false">IF(P123=12,N123*O123*Q123*0.888*1,IF(P123&gt;12,"",IF(P123&lt;12,"")))</f>
        <v>89.67024</v>
      </c>
      <c r="V123" s="107" t="str">
        <f aca="false">IF(P123=16,N123*O123*Q123*1.578*1,IF(P123&gt;16,"",IF(P123&lt;16,"")))</f>
        <v/>
      </c>
      <c r="W123" s="106" t="str">
        <f aca="false">IF(P123=20,N123*O123*Q123*2.466*1,IF(P123&gt;20,"",IF(P123&lt;20,"")))</f>
        <v/>
      </c>
      <c r="X123" s="106" t="str">
        <f aca="false">IF(P123=25,N123*O123*Q123*3.853*1,IF(P123&gt;25,"",IF(P123&lt;25,"")))</f>
        <v/>
      </c>
      <c r="Y123" s="108" t="str">
        <f aca="false">IF(P123=32,N123*O123*Q123*6.313*1,IF(P123&gt;32,"",IF(P123&lt;32,"")))</f>
        <v/>
      </c>
      <c r="Z123" s="109"/>
      <c r="AA123" s="110" t="str">
        <f aca="false">IF(AC123&gt;0,N123,"")</f>
        <v/>
      </c>
      <c r="AB123" s="111" t="str">
        <f aca="false">IF(AC123&gt;0,O123,"")</f>
        <v/>
      </c>
      <c r="AC123" s="112"/>
      <c r="AD123" s="112"/>
      <c r="AE123" s="113" t="str">
        <f aca="false">IF(AC123&gt;0,P123,"")</f>
        <v/>
      </c>
      <c r="AF123" s="114" t="str">
        <f aca="false">IF(AE123=6,AA123*AB123*AC123*AD123*(AE123/1000)*0.222*1,IF(AE123&gt;6,"",IF(AE123&lt;6,"")))</f>
        <v/>
      </c>
      <c r="AG123" s="107" t="str">
        <f aca="false">IF(AE123=8,AA123*AB123*AC123*AD123*(AE123/1000)*0.395*1,IF(AE123&gt;8,"",IF(AE123&lt;8,"")))</f>
        <v/>
      </c>
      <c r="AH123" s="107" t="str">
        <f aca="false">IF(AE123=10,AA123*AB123*AC123*AD123*(AE123/1000)*0.617*1,IF(AE123&gt;10,"",IF(AE123&lt;10,"")))</f>
        <v/>
      </c>
      <c r="AI123" s="107" t="str">
        <f aca="false">IF(AE123=12,AA123*AB123*AC123*AD123*(AE123/1000)*0.888*1,IF(AE123&gt;12,"",IF(AE123&lt;12,"")))</f>
        <v/>
      </c>
      <c r="AJ123" s="107" t="str">
        <f aca="false">IF(AE123=16,AA123*AB123*AC123*AD123*(AE123/1000)*1.578*1,IF(AE123&gt;16,"",IF(AE123&lt;16,"")))</f>
        <v/>
      </c>
      <c r="AK123" s="107" t="str">
        <f aca="false">IF(AE123=20,AA123*AB123*AC123*AD123*(AE123/1000)*2.466*1,IF(AE123&gt;20,"",IF(AE123&lt;20,"")))</f>
        <v/>
      </c>
      <c r="AL123" s="107" t="str">
        <f aca="false">IF(AE123=25,AA123*AB123*AC123*AD123*(AE123/1000)*3.853*1,IF(AE123&gt;25,"",IF(AE123&lt;25,"")))</f>
        <v/>
      </c>
      <c r="AM123" s="115" t="str">
        <f aca="false">IF(AE123=32,AA123*AB123*AC123*AD123*(AE123/1000)*6.313*1,IF(AE123&gt;32,"",IF(AE123&lt;32,"")))</f>
        <v/>
      </c>
      <c r="AN123" s="128"/>
      <c r="AO123" s="117" t="s">
        <v>191</v>
      </c>
      <c r="AP123" s="118" t="n">
        <f aca="false">SUM(R123:Y123)+SUM(AN123)</f>
        <v>89.67024</v>
      </c>
      <c r="AQ123" s="118" t="n">
        <f aca="false">SUM(AF123:AM123)</f>
        <v>0</v>
      </c>
      <c r="AR123" s="118"/>
      <c r="AS123" s="119" t="s">
        <v>272</v>
      </c>
      <c r="AT123" s="119" t="s">
        <v>162</v>
      </c>
    </row>
    <row r="124" customFormat="false" ht="13.5" hidden="false" customHeight="false" outlineLevel="0" collapsed="false">
      <c r="A124" s="129"/>
      <c r="B124" s="172"/>
      <c r="C124" s="110"/>
      <c r="D124" s="122"/>
      <c r="E124" s="122"/>
      <c r="F124" s="173"/>
      <c r="G124" s="123"/>
      <c r="H124" s="101"/>
      <c r="I124" s="123"/>
      <c r="J124" s="101"/>
      <c r="K124" s="124" t="s">
        <v>273</v>
      </c>
      <c r="L124" s="125" t="n">
        <f aca="false">$E$122-2*0.05</f>
        <v>1.35</v>
      </c>
      <c r="M124" s="125" t="n">
        <v>0.15</v>
      </c>
      <c r="N124" s="126" t="n">
        <f aca="false">2*$C$122</f>
        <v>2</v>
      </c>
      <c r="O124" s="126" t="n">
        <f aca="false">CEILING(L124/M124,1)+1</f>
        <v>10</v>
      </c>
      <c r="P124" s="126" t="n">
        <v>12</v>
      </c>
      <c r="Q124" s="127" t="n">
        <f aca="false">$D$122-2*0.05</f>
        <v>3.8</v>
      </c>
      <c r="R124" s="105" t="str">
        <f aca="false">IF(P124=6,N124*O124*Q124*0.222*1,IF(P124&gt;6,"",IF(P124&lt;6,"")))</f>
        <v/>
      </c>
      <c r="S124" s="106" t="str">
        <f aca="false">IF(P124=8,N124*O124*Q124*0.395*1,IF(P124&gt;8,"",IF(P124&lt;8,"")))</f>
        <v/>
      </c>
      <c r="T124" s="106" t="str">
        <f aca="false">IF(P124=10,N124*O124*Q124*0.617*1,IF(P124&gt;10,"",IF(P124&lt;10,"")))</f>
        <v/>
      </c>
      <c r="U124" s="106" t="n">
        <f aca="false">IF(P124=12,N124*O124*Q124*0.888*1,IF(P124&gt;12,"",IF(P124&lt;12,"")))</f>
        <v>67.488</v>
      </c>
      <c r="V124" s="107" t="str">
        <f aca="false">IF(P124=16,N124*O124*Q124*1.578*1,IF(P124&gt;16,"",IF(P124&lt;16,"")))</f>
        <v/>
      </c>
      <c r="W124" s="106" t="str">
        <f aca="false">IF(P124=20,N124*O124*Q124*2.466*1,IF(P124&gt;20,"",IF(P124&lt;20,"")))</f>
        <v/>
      </c>
      <c r="X124" s="106" t="str">
        <f aca="false">IF(P124=25,N124*O124*Q124*3.853*1,IF(P124&gt;25,"",IF(P124&lt;25,"")))</f>
        <v/>
      </c>
      <c r="Y124" s="108" t="str">
        <f aca="false">IF(P124=32,N124*O124*Q124*6.313*1,IF(P124&gt;32,"",IF(P124&lt;32,"")))</f>
        <v/>
      </c>
      <c r="Z124" s="109"/>
      <c r="AA124" s="110" t="str">
        <f aca="false">IF(AC124&gt;0,N124,"")</f>
        <v/>
      </c>
      <c r="AB124" s="111" t="str">
        <f aca="false">IF(AC124&gt;0,O124,"")</f>
        <v/>
      </c>
      <c r="AC124" s="112"/>
      <c r="AD124" s="112"/>
      <c r="AE124" s="113" t="str">
        <f aca="false">IF(AC124&gt;0,P124,"")</f>
        <v/>
      </c>
      <c r="AF124" s="114" t="str">
        <f aca="false">IF(AE124=6,AA124*AB124*AC124*AD124*(AE124/1000)*0.222*1,IF(AE124&gt;6,"",IF(AE124&lt;6,"")))</f>
        <v/>
      </c>
      <c r="AG124" s="107" t="str">
        <f aca="false">IF(AE124=8,AA124*AB124*AC124*AD124*(AE124/1000)*0.395*1,IF(AE124&gt;8,"",IF(AE124&lt;8,"")))</f>
        <v/>
      </c>
      <c r="AH124" s="107" t="str">
        <f aca="false">IF(AE124=10,AA124*AB124*AC124*AD124*(AE124/1000)*0.617*1,IF(AE124&gt;10,"",IF(AE124&lt;10,"")))</f>
        <v/>
      </c>
      <c r="AI124" s="107" t="str">
        <f aca="false">IF(AE124=12,AA124*AB124*AC124*AD124*(AE124/1000)*0.888*1,IF(AE124&gt;12,"",IF(AE124&lt;12,"")))</f>
        <v/>
      </c>
      <c r="AJ124" s="107" t="str">
        <f aca="false">IF(AE124=16,AA124*AB124*AC124*AD124*(AE124/1000)*1.578*1,IF(AE124&gt;16,"",IF(AE124&lt;16,"")))</f>
        <v/>
      </c>
      <c r="AK124" s="107" t="str">
        <f aca="false">IF(AE124=20,AA124*AB124*AC124*AD124*(AE124/1000)*2.466*1,IF(AE124&gt;20,"",IF(AE124&lt;20,"")))</f>
        <v/>
      </c>
      <c r="AL124" s="107" t="str">
        <f aca="false">IF(AE124=25,AA124*AB124*AC124*AD124*(AE124/1000)*3.853*1,IF(AE124&gt;25,"",IF(AE124&lt;25,"")))</f>
        <v/>
      </c>
      <c r="AM124" s="115" t="str">
        <f aca="false">IF(AE124=32,AA124*AB124*AC124*AD124*(AE124/1000)*6.313*1,IF(AE124&gt;32,"",IF(AE124&lt;32,"")))</f>
        <v/>
      </c>
      <c r="AN124" s="128"/>
      <c r="AO124" s="117" t="s">
        <v>191</v>
      </c>
      <c r="AP124" s="118" t="n">
        <f aca="false">SUM(R124:Y124)+SUM(AN124)</f>
        <v>67.488</v>
      </c>
      <c r="AQ124" s="118" t="n">
        <f aca="false">SUM(AF124:AM124)</f>
        <v>0</v>
      </c>
      <c r="AR124" s="118"/>
      <c r="AS124" s="119"/>
      <c r="AT124" s="119" t="s">
        <v>162</v>
      </c>
    </row>
    <row r="125" customFormat="false" ht="13.5" hidden="false" customHeight="false" outlineLevel="0" collapsed="false">
      <c r="A125" s="129"/>
      <c r="B125" s="130"/>
      <c r="C125" s="110"/>
      <c r="D125" s="122"/>
      <c r="E125" s="122"/>
      <c r="F125" s="122"/>
      <c r="G125" s="123"/>
      <c r="H125" s="101"/>
      <c r="I125" s="123"/>
      <c r="J125" s="101"/>
      <c r="K125" s="124"/>
      <c r="L125" s="125"/>
      <c r="M125" s="125"/>
      <c r="N125" s="126"/>
      <c r="O125" s="126"/>
      <c r="P125" s="126"/>
      <c r="Q125" s="127"/>
      <c r="R125" s="105"/>
      <c r="S125" s="106"/>
      <c r="T125" s="106"/>
      <c r="U125" s="106"/>
      <c r="V125" s="107"/>
      <c r="W125" s="106"/>
      <c r="X125" s="106"/>
      <c r="Y125" s="108"/>
      <c r="Z125" s="109"/>
      <c r="AA125" s="110"/>
      <c r="AB125" s="111"/>
      <c r="AC125" s="112"/>
      <c r="AD125" s="112"/>
      <c r="AE125" s="113"/>
      <c r="AF125" s="114"/>
      <c r="AG125" s="107"/>
      <c r="AH125" s="107"/>
      <c r="AI125" s="107"/>
      <c r="AJ125" s="107"/>
      <c r="AK125" s="107"/>
      <c r="AL125" s="107"/>
      <c r="AM125" s="115"/>
      <c r="AO125" s="117"/>
      <c r="AP125" s="118"/>
      <c r="AQ125" s="118"/>
      <c r="AR125" s="118"/>
      <c r="AS125" s="119"/>
      <c r="AT125" s="119"/>
    </row>
    <row r="126" customFormat="false" ht="13.5" hidden="false" customHeight="false" outlineLevel="0" collapsed="false">
      <c r="A126" s="120"/>
      <c r="B126" s="121" t="s">
        <v>194</v>
      </c>
      <c r="C126" s="110" t="n">
        <v>1</v>
      </c>
      <c r="D126" s="122" t="n">
        <f aca="false">2.415/(1.15*0.5)</f>
        <v>4.2</v>
      </c>
      <c r="E126" s="122" t="n">
        <v>1.15</v>
      </c>
      <c r="F126" s="122" t="n">
        <v>0.5</v>
      </c>
      <c r="G126" s="123" t="n">
        <f aca="false">C126*D126*E126*F126</f>
        <v>2.415</v>
      </c>
      <c r="H126" s="101"/>
      <c r="I126" s="123" t="n">
        <f aca="false">2*(D126+E126)*F126*C126</f>
        <v>5.35</v>
      </c>
      <c r="J126" s="101"/>
      <c r="K126" s="124"/>
      <c r="L126" s="125"/>
      <c r="M126" s="125"/>
      <c r="N126" s="126"/>
      <c r="O126" s="126"/>
      <c r="P126" s="126"/>
      <c r="Q126" s="127"/>
      <c r="R126" s="105" t="str">
        <f aca="false">IF(P126=6,N126*O126*Q126*0.222*1,IF(P126&gt;6,"",IF(P126&lt;6,"")))</f>
        <v/>
      </c>
      <c r="S126" s="106" t="str">
        <f aca="false">IF(P126=8,N126*O126*Q126*0.395*1,IF(P126&gt;8,"",IF(P126&lt;8,"")))</f>
        <v/>
      </c>
      <c r="T126" s="106" t="str">
        <f aca="false">IF(P126=10,N126*O126*Q126*0.617*1,IF(P126&gt;10,"",IF(P126&lt;10,"")))</f>
        <v/>
      </c>
      <c r="U126" s="106" t="str">
        <f aca="false">IF(P126=12,N126*O126*Q126*0.888*1,IF(P126&gt;12,"",IF(P126&lt;12,"")))</f>
        <v/>
      </c>
      <c r="V126" s="107" t="str">
        <f aca="false">IF(P126=16,N126*O126*Q126*1.578*1,IF(P126&gt;16,"",IF(P126&lt;16,"")))</f>
        <v/>
      </c>
      <c r="W126" s="106" t="str">
        <f aca="false">IF(P126=20,N126*O126*Q126*2.466*1,IF(P126&gt;20,"",IF(P126&lt;20,"")))</f>
        <v/>
      </c>
      <c r="X126" s="106" t="str">
        <f aca="false">IF(P126=25,N126*O126*Q126*3.853*1,IF(P126&gt;25,"",IF(P126&lt;25,"")))</f>
        <v/>
      </c>
      <c r="Y126" s="108" t="str">
        <f aca="false">IF(P126=32,N126*O126*Q126*6.313*1,IF(P126&gt;32,"",IF(P126&lt;32,"")))</f>
        <v/>
      </c>
      <c r="Z126" s="109"/>
      <c r="AA126" s="110" t="str">
        <f aca="false">IF(AC126&gt;0,N126,"")</f>
        <v/>
      </c>
      <c r="AB126" s="111" t="str">
        <f aca="false">IF(AC126&gt;0,O126,"")</f>
        <v/>
      </c>
      <c r="AC126" s="112"/>
      <c r="AD126" s="112"/>
      <c r="AE126" s="113" t="str">
        <f aca="false">IF(AC126&gt;0,P126,"")</f>
        <v/>
      </c>
      <c r="AF126" s="114" t="str">
        <f aca="false">IF(AE126=6,AA126*AB126*AC126*AD126*(AE126/1000)*0.222*1,IF(AE126&gt;6,"",IF(AE126&lt;6,"")))</f>
        <v/>
      </c>
      <c r="AG126" s="107" t="str">
        <f aca="false">IF(AE126=8,AA126*AB126*AC126*AD126*(AE126/1000)*0.395*1,IF(AE126&gt;8,"",IF(AE126&lt;8,"")))</f>
        <v/>
      </c>
      <c r="AH126" s="107" t="str">
        <f aca="false">IF(AE126=10,AA126*AB126*AC126*AD126*(AE126/1000)*0.617*1,IF(AE126&gt;10,"",IF(AE126&lt;10,"")))</f>
        <v/>
      </c>
      <c r="AI126" s="107" t="str">
        <f aca="false">IF(AE126=12,AA126*AB126*AC126*AD126*(AE126/1000)*0.888*1,IF(AE126&gt;12,"",IF(AE126&lt;12,"")))</f>
        <v/>
      </c>
      <c r="AJ126" s="107" t="str">
        <f aca="false">IF(AE126=16,AA126*AB126*AC126*AD126*(AE126/1000)*1.578*1,IF(AE126&gt;16,"",IF(AE126&lt;16,"")))</f>
        <v/>
      </c>
      <c r="AK126" s="107" t="str">
        <f aca="false">IF(AE126=20,AA126*AB126*AC126*AD126*(AE126/1000)*2.466*1,IF(AE126&gt;20,"",IF(AE126&lt;20,"")))</f>
        <v/>
      </c>
      <c r="AL126" s="107" t="str">
        <f aca="false">IF(AE126=25,AA126*AB126*AC126*AD126*(AE126/1000)*3.853*1,IF(AE126&gt;25,"",IF(AE126&lt;25,"")))</f>
        <v/>
      </c>
      <c r="AM126" s="115" t="str">
        <f aca="false">IF(AE126=32,AA126*AB126*AC126*AD126*(AE126/1000)*6.313*1,IF(AE126&gt;32,"",IF(AE126&lt;32,"")))</f>
        <v/>
      </c>
      <c r="AN126" s="128"/>
      <c r="AO126" s="117" t="s">
        <v>191</v>
      </c>
      <c r="AP126" s="118" t="n">
        <f aca="false">SUM(R126:Y126)+SUM(AN126)</f>
        <v>0</v>
      </c>
      <c r="AQ126" s="118" t="n">
        <f aca="false">SUM(AF126:AM126)</f>
        <v>0</v>
      </c>
      <c r="AR126" s="118" t="n">
        <v>2.415</v>
      </c>
      <c r="AS126" s="119" t="s">
        <v>275</v>
      </c>
      <c r="AT126" s="119" t="s">
        <v>209</v>
      </c>
    </row>
    <row r="127" customFormat="false" ht="13.5" hidden="false" customHeight="false" outlineLevel="0" collapsed="false">
      <c r="A127" s="129"/>
      <c r="B127" s="172"/>
      <c r="C127" s="110"/>
      <c r="D127" s="122"/>
      <c r="E127" s="122"/>
      <c r="F127" s="173"/>
      <c r="G127" s="123"/>
      <c r="H127" s="101"/>
      <c r="I127" s="123"/>
      <c r="J127" s="101"/>
      <c r="K127" s="124" t="s">
        <v>271</v>
      </c>
      <c r="L127" s="125" t="n">
        <f aca="false">$D$126-2*0.05</f>
        <v>4.1</v>
      </c>
      <c r="M127" s="125" t="n">
        <v>0.15</v>
      </c>
      <c r="N127" s="126" t="n">
        <f aca="false">$C$126</f>
        <v>1</v>
      </c>
      <c r="O127" s="126" t="n">
        <f aca="false">CEILING(L127/M127,1)+1</f>
        <v>29</v>
      </c>
      <c r="P127" s="126" t="n">
        <v>12</v>
      </c>
      <c r="Q127" s="127" t="n">
        <f aca="false">2*($E$126-2*0.05)+2*($F$126-2*0.05)+20*12/1000</f>
        <v>3.14</v>
      </c>
      <c r="R127" s="105" t="str">
        <f aca="false">IF(P127=6,N127*O127*Q127*0.222*1,IF(P127&gt;6,"",IF(P127&lt;6,"")))</f>
        <v/>
      </c>
      <c r="S127" s="106" t="str">
        <f aca="false">IF(P127=8,N127*O127*Q127*0.395*1,IF(P127&gt;8,"",IF(P127&lt;8,"")))</f>
        <v/>
      </c>
      <c r="T127" s="106" t="str">
        <f aca="false">IF(P127=10,N127*O127*Q127*0.617*1,IF(P127&gt;10,"",IF(P127&lt;10,"")))</f>
        <v/>
      </c>
      <c r="U127" s="106" t="n">
        <f aca="false">IF(P127=12,N127*O127*Q127*0.888*1,IF(P127&gt;12,"",IF(P127&lt;12,"")))</f>
        <v>80.86128</v>
      </c>
      <c r="V127" s="107" t="str">
        <f aca="false">IF(P127=16,N127*O127*Q127*1.578*1,IF(P127&gt;16,"",IF(P127&lt;16,"")))</f>
        <v/>
      </c>
      <c r="W127" s="106" t="str">
        <f aca="false">IF(P127=20,N127*O127*Q127*2.466*1,IF(P127&gt;20,"",IF(P127&lt;20,"")))</f>
        <v/>
      </c>
      <c r="X127" s="106" t="str">
        <f aca="false">IF(P127=25,N127*O127*Q127*3.853*1,IF(P127&gt;25,"",IF(P127&lt;25,"")))</f>
        <v/>
      </c>
      <c r="Y127" s="108" t="str">
        <f aca="false">IF(P127=32,N127*O127*Q127*6.313*1,IF(P127&gt;32,"",IF(P127&lt;32,"")))</f>
        <v/>
      </c>
      <c r="Z127" s="109"/>
      <c r="AA127" s="110" t="str">
        <f aca="false">IF(AC127&gt;0,N127,"")</f>
        <v/>
      </c>
      <c r="AB127" s="111" t="str">
        <f aca="false">IF(AC127&gt;0,O127,"")</f>
        <v/>
      </c>
      <c r="AC127" s="112"/>
      <c r="AD127" s="112"/>
      <c r="AE127" s="113" t="str">
        <f aca="false">IF(AC127&gt;0,P127,"")</f>
        <v/>
      </c>
      <c r="AF127" s="114" t="str">
        <f aca="false">IF(AE127=6,AA127*AB127*AC127*AD127*(AE127/1000)*0.222*1,IF(AE127&gt;6,"",IF(AE127&lt;6,"")))</f>
        <v/>
      </c>
      <c r="AG127" s="107" t="str">
        <f aca="false">IF(AE127=8,AA127*AB127*AC127*AD127*(AE127/1000)*0.395*1,IF(AE127&gt;8,"",IF(AE127&lt;8,"")))</f>
        <v/>
      </c>
      <c r="AH127" s="107" t="str">
        <f aca="false">IF(AE127=10,AA127*AB127*AC127*AD127*(AE127/1000)*0.617*1,IF(AE127&gt;10,"",IF(AE127&lt;10,"")))</f>
        <v/>
      </c>
      <c r="AI127" s="107" t="str">
        <f aca="false">IF(AE127=12,AA127*AB127*AC127*AD127*(AE127/1000)*0.888*1,IF(AE127&gt;12,"",IF(AE127&lt;12,"")))</f>
        <v/>
      </c>
      <c r="AJ127" s="107" t="str">
        <f aca="false">IF(AE127=16,AA127*AB127*AC127*AD127*(AE127/1000)*1.578*1,IF(AE127&gt;16,"",IF(AE127&lt;16,"")))</f>
        <v/>
      </c>
      <c r="AK127" s="107" t="str">
        <f aca="false">IF(AE127=20,AA127*AB127*AC127*AD127*(AE127/1000)*2.466*1,IF(AE127&gt;20,"",IF(AE127&lt;20,"")))</f>
        <v/>
      </c>
      <c r="AL127" s="107" t="str">
        <f aca="false">IF(AE127=25,AA127*AB127*AC127*AD127*(AE127/1000)*3.853*1,IF(AE127&gt;25,"",IF(AE127&lt;25,"")))</f>
        <v/>
      </c>
      <c r="AM127" s="115" t="str">
        <f aca="false">IF(AE127=32,AA127*AB127*AC127*AD127*(AE127/1000)*6.313*1,IF(AE127&gt;32,"",IF(AE127&lt;32,"")))</f>
        <v/>
      </c>
      <c r="AN127" s="128"/>
      <c r="AO127" s="117" t="s">
        <v>191</v>
      </c>
      <c r="AP127" s="118" t="n">
        <f aca="false">SUM(R127:Y127)+SUM(AN127)</f>
        <v>80.86128</v>
      </c>
      <c r="AQ127" s="118" t="n">
        <f aca="false">SUM(AF127:AM127)</f>
        <v>0</v>
      </c>
      <c r="AR127" s="118"/>
      <c r="AS127" s="119" t="s">
        <v>272</v>
      </c>
      <c r="AT127" s="119" t="s">
        <v>162</v>
      </c>
    </row>
    <row r="128" customFormat="false" ht="13.5" hidden="false" customHeight="false" outlineLevel="0" collapsed="false">
      <c r="A128" s="129"/>
      <c r="B128" s="172"/>
      <c r="C128" s="110"/>
      <c r="D128" s="122"/>
      <c r="E128" s="122"/>
      <c r="F128" s="173"/>
      <c r="G128" s="123"/>
      <c r="H128" s="101"/>
      <c r="I128" s="123"/>
      <c r="J128" s="101"/>
      <c r="K128" s="124" t="s">
        <v>273</v>
      </c>
      <c r="L128" s="125" t="n">
        <f aca="false">$E$126-2*0.05</f>
        <v>1.05</v>
      </c>
      <c r="M128" s="125" t="n">
        <v>0.15</v>
      </c>
      <c r="N128" s="126" t="n">
        <f aca="false">2*$C$126</f>
        <v>2</v>
      </c>
      <c r="O128" s="126" t="n">
        <f aca="false">CEILING(L128/M128,1)+1</f>
        <v>8</v>
      </c>
      <c r="P128" s="126" t="n">
        <v>12</v>
      </c>
      <c r="Q128" s="127" t="n">
        <f aca="false">$D$126-2*0.05</f>
        <v>4.1</v>
      </c>
      <c r="R128" s="105" t="str">
        <f aca="false">IF(P128=6,N128*O128*Q128*0.222*1,IF(P128&gt;6,"",IF(P128&lt;6,"")))</f>
        <v/>
      </c>
      <c r="S128" s="106" t="str">
        <f aca="false">IF(P128=8,N128*O128*Q128*0.395*1,IF(P128&gt;8,"",IF(P128&lt;8,"")))</f>
        <v/>
      </c>
      <c r="T128" s="106" t="str">
        <f aca="false">IF(P128=10,N128*O128*Q128*0.617*1,IF(P128&gt;10,"",IF(P128&lt;10,"")))</f>
        <v/>
      </c>
      <c r="U128" s="106" t="n">
        <f aca="false">IF(P128=12,N128*O128*Q128*0.888*1,IF(P128&gt;12,"",IF(P128&lt;12,"")))</f>
        <v>58.2528</v>
      </c>
      <c r="V128" s="107" t="str">
        <f aca="false">IF(P128=16,N128*O128*Q128*1.578*1,IF(P128&gt;16,"",IF(P128&lt;16,"")))</f>
        <v/>
      </c>
      <c r="W128" s="106" t="str">
        <f aca="false">IF(P128=20,N128*O128*Q128*2.466*1,IF(P128&gt;20,"",IF(P128&lt;20,"")))</f>
        <v/>
      </c>
      <c r="X128" s="106" t="str">
        <f aca="false">IF(P128=25,N128*O128*Q128*3.853*1,IF(P128&gt;25,"",IF(P128&lt;25,"")))</f>
        <v/>
      </c>
      <c r="Y128" s="108" t="str">
        <f aca="false">IF(P128=32,N128*O128*Q128*6.313*1,IF(P128&gt;32,"",IF(P128&lt;32,"")))</f>
        <v/>
      </c>
      <c r="Z128" s="109"/>
      <c r="AA128" s="110" t="str">
        <f aca="false">IF(AC128&gt;0,N128,"")</f>
        <v/>
      </c>
      <c r="AB128" s="111" t="str">
        <f aca="false">IF(AC128&gt;0,O128,"")</f>
        <v/>
      </c>
      <c r="AC128" s="112"/>
      <c r="AD128" s="112"/>
      <c r="AE128" s="113" t="str">
        <f aca="false">IF(AC128&gt;0,P128,"")</f>
        <v/>
      </c>
      <c r="AF128" s="114" t="str">
        <f aca="false">IF(AE128=6,AA128*AB128*AC128*AD128*(AE128/1000)*0.222*1,IF(AE128&gt;6,"",IF(AE128&lt;6,"")))</f>
        <v/>
      </c>
      <c r="AG128" s="107" t="str">
        <f aca="false">IF(AE128=8,AA128*AB128*AC128*AD128*(AE128/1000)*0.395*1,IF(AE128&gt;8,"",IF(AE128&lt;8,"")))</f>
        <v/>
      </c>
      <c r="AH128" s="107" t="str">
        <f aca="false">IF(AE128=10,AA128*AB128*AC128*AD128*(AE128/1000)*0.617*1,IF(AE128&gt;10,"",IF(AE128&lt;10,"")))</f>
        <v/>
      </c>
      <c r="AI128" s="107" t="str">
        <f aca="false">IF(AE128=12,AA128*AB128*AC128*AD128*(AE128/1000)*0.888*1,IF(AE128&gt;12,"",IF(AE128&lt;12,"")))</f>
        <v/>
      </c>
      <c r="AJ128" s="107" t="str">
        <f aca="false">IF(AE128=16,AA128*AB128*AC128*AD128*(AE128/1000)*1.578*1,IF(AE128&gt;16,"",IF(AE128&lt;16,"")))</f>
        <v/>
      </c>
      <c r="AK128" s="107" t="str">
        <f aca="false">IF(AE128=20,AA128*AB128*AC128*AD128*(AE128/1000)*2.466*1,IF(AE128&gt;20,"",IF(AE128&lt;20,"")))</f>
        <v/>
      </c>
      <c r="AL128" s="107" t="str">
        <f aca="false">IF(AE128=25,AA128*AB128*AC128*AD128*(AE128/1000)*3.853*1,IF(AE128&gt;25,"",IF(AE128&lt;25,"")))</f>
        <v/>
      </c>
      <c r="AM128" s="115" t="str">
        <f aca="false">IF(AE128=32,AA128*AB128*AC128*AD128*(AE128/1000)*6.313*1,IF(AE128&gt;32,"",IF(AE128&lt;32,"")))</f>
        <v/>
      </c>
      <c r="AN128" s="128"/>
      <c r="AO128" s="117" t="s">
        <v>191</v>
      </c>
      <c r="AP128" s="118" t="n">
        <f aca="false">SUM(R128:Y128)+SUM(AN128)</f>
        <v>58.2528</v>
      </c>
      <c r="AQ128" s="118" t="n">
        <f aca="false">SUM(AF128:AM128)</f>
        <v>0</v>
      </c>
      <c r="AR128" s="118"/>
      <c r="AS128" s="119"/>
      <c r="AT128" s="119" t="s">
        <v>162</v>
      </c>
    </row>
    <row r="129" customFormat="false" ht="13.5" hidden="false" customHeight="false" outlineLevel="0" collapsed="false">
      <c r="A129" s="129"/>
      <c r="B129" s="172"/>
      <c r="C129" s="110"/>
      <c r="D129" s="122"/>
      <c r="E129" s="122"/>
      <c r="F129" s="173"/>
      <c r="G129" s="123"/>
      <c r="H129" s="101"/>
      <c r="I129" s="123"/>
      <c r="J129" s="101"/>
      <c r="K129" s="124" t="s">
        <v>276</v>
      </c>
      <c r="L129" s="125"/>
      <c r="M129" s="125"/>
      <c r="N129" s="126" t="n">
        <f aca="false">$C$126</f>
        <v>1</v>
      </c>
      <c r="O129" s="126" t="n">
        <v>2</v>
      </c>
      <c r="P129" s="126" t="n">
        <v>12</v>
      </c>
      <c r="Q129" s="127" t="n">
        <f aca="false">$D$126-2*0.05</f>
        <v>4.1</v>
      </c>
      <c r="R129" s="105" t="str">
        <f aca="false">IF(P129=6,N129*O129*Q129*0.222*1,IF(P129&gt;6,"",IF(P129&lt;6,"")))</f>
        <v/>
      </c>
      <c r="S129" s="106" t="str">
        <f aca="false">IF(P129=8,N129*O129*Q129*0.395*1,IF(P129&gt;8,"",IF(P129&lt;8,"")))</f>
        <v/>
      </c>
      <c r="T129" s="106" t="str">
        <f aca="false">IF(P129=10,N129*O129*Q129*0.617*1,IF(P129&gt;10,"",IF(P129&lt;10,"")))</f>
        <v/>
      </c>
      <c r="U129" s="106" t="n">
        <f aca="false">IF(P129=12,N129*O129*Q129*0.888*1,IF(P129&gt;12,"",IF(P129&lt;12,"")))</f>
        <v>7.2816</v>
      </c>
      <c r="V129" s="107" t="str">
        <f aca="false">IF(P129=16,N129*O129*Q129*1.578*1,IF(P129&gt;16,"",IF(P129&lt;16,"")))</f>
        <v/>
      </c>
      <c r="W129" s="106" t="str">
        <f aca="false">IF(P129=20,N129*O129*Q129*2.466*1,IF(P129&gt;20,"",IF(P129&lt;20,"")))</f>
        <v/>
      </c>
      <c r="X129" s="106" t="str">
        <f aca="false">IF(P129=25,N129*O129*Q129*3.853*1,IF(P129&gt;25,"",IF(P129&lt;25,"")))</f>
        <v/>
      </c>
      <c r="Y129" s="108" t="str">
        <f aca="false">IF(P129=32,N129*O129*Q129*6.313*1,IF(P129&gt;32,"",IF(P129&lt;32,"")))</f>
        <v/>
      </c>
      <c r="Z129" s="109"/>
      <c r="AA129" s="110" t="str">
        <f aca="false">IF(AC129&gt;0,N129,"")</f>
        <v/>
      </c>
      <c r="AB129" s="111" t="str">
        <f aca="false">IF(AC129&gt;0,O129,"")</f>
        <v/>
      </c>
      <c r="AC129" s="112"/>
      <c r="AD129" s="112"/>
      <c r="AE129" s="113" t="str">
        <f aca="false">IF(AC129&gt;0,P129,"")</f>
        <v/>
      </c>
      <c r="AF129" s="114" t="str">
        <f aca="false">IF(AE129=6,AA129*AB129*AC129*AD129*(AE129/1000)*0.222*1,IF(AE129&gt;6,"",IF(AE129&lt;6,"")))</f>
        <v/>
      </c>
      <c r="AG129" s="107" t="str">
        <f aca="false">IF(AE129=8,AA129*AB129*AC129*AD129*(AE129/1000)*0.395*1,IF(AE129&gt;8,"",IF(AE129&lt;8,"")))</f>
        <v/>
      </c>
      <c r="AH129" s="107" t="str">
        <f aca="false">IF(AE129=10,AA129*AB129*AC129*AD129*(AE129/1000)*0.617*1,IF(AE129&gt;10,"",IF(AE129&lt;10,"")))</f>
        <v/>
      </c>
      <c r="AI129" s="107" t="str">
        <f aca="false">IF(AE129=12,AA129*AB129*AC129*AD129*(AE129/1000)*0.888*1,IF(AE129&gt;12,"",IF(AE129&lt;12,"")))</f>
        <v/>
      </c>
      <c r="AJ129" s="107" t="str">
        <f aca="false">IF(AE129=16,AA129*AB129*AC129*AD129*(AE129/1000)*1.578*1,IF(AE129&gt;16,"",IF(AE129&lt;16,"")))</f>
        <v/>
      </c>
      <c r="AK129" s="107" t="str">
        <f aca="false">IF(AE129=20,AA129*AB129*AC129*AD129*(AE129/1000)*2.466*1,IF(AE129&gt;20,"",IF(AE129&lt;20,"")))</f>
        <v/>
      </c>
      <c r="AL129" s="107" t="str">
        <f aca="false">IF(AE129=25,AA129*AB129*AC129*AD129*(AE129/1000)*3.853*1,IF(AE129&gt;25,"",IF(AE129&lt;25,"")))</f>
        <v/>
      </c>
      <c r="AM129" s="115" t="str">
        <f aca="false">IF(AE129=32,AA129*AB129*AC129*AD129*(AE129/1000)*6.313*1,IF(AE129&gt;32,"",IF(AE129&lt;32,"")))</f>
        <v/>
      </c>
      <c r="AN129" s="128"/>
      <c r="AO129" s="117" t="s">
        <v>191</v>
      </c>
      <c r="AP129" s="118" t="n">
        <f aca="false">SUM(R129:Y129)+SUM(AN129)</f>
        <v>7.2816</v>
      </c>
      <c r="AQ129" s="118" t="n">
        <f aca="false">SUM(AF129:AM129)</f>
        <v>0</v>
      </c>
      <c r="AR129" s="118"/>
      <c r="AS129" s="119" t="s">
        <v>277</v>
      </c>
      <c r="AT129" s="119" t="s">
        <v>162</v>
      </c>
    </row>
    <row r="130" customFormat="false" ht="13.5" hidden="false" customHeight="false" outlineLevel="0" collapsed="false">
      <c r="A130" s="129"/>
      <c r="B130" s="130"/>
      <c r="C130" s="110"/>
      <c r="D130" s="122"/>
      <c r="E130" s="122"/>
      <c r="F130" s="122"/>
      <c r="G130" s="123"/>
      <c r="H130" s="101"/>
      <c r="I130" s="123"/>
      <c r="J130" s="101"/>
      <c r="K130" s="124"/>
      <c r="L130" s="125"/>
      <c r="M130" s="125"/>
      <c r="N130" s="126"/>
      <c r="O130" s="126"/>
      <c r="P130" s="126"/>
      <c r="Q130" s="127"/>
      <c r="R130" s="105"/>
      <c r="S130" s="106"/>
      <c r="T130" s="106"/>
      <c r="U130" s="106"/>
      <c r="V130" s="107"/>
      <c r="W130" s="106"/>
      <c r="X130" s="106"/>
      <c r="Y130" s="108"/>
      <c r="Z130" s="109"/>
      <c r="AA130" s="110"/>
      <c r="AB130" s="111"/>
      <c r="AC130" s="112"/>
      <c r="AD130" s="112"/>
      <c r="AE130" s="113"/>
      <c r="AF130" s="114"/>
      <c r="AG130" s="107"/>
      <c r="AH130" s="107"/>
      <c r="AI130" s="107"/>
      <c r="AJ130" s="107"/>
      <c r="AK130" s="107"/>
      <c r="AL130" s="107"/>
      <c r="AM130" s="115"/>
      <c r="AO130" s="117"/>
      <c r="AP130" s="118"/>
      <c r="AQ130" s="118"/>
      <c r="AR130" s="118"/>
      <c r="AS130" s="119"/>
      <c r="AT130" s="119"/>
    </row>
    <row r="131" customFormat="false" ht="13.5" hidden="false" customHeight="false" outlineLevel="0" collapsed="false">
      <c r="A131" s="120"/>
      <c r="B131" s="121" t="s">
        <v>195</v>
      </c>
      <c r="C131" s="110" t="n">
        <v>1</v>
      </c>
      <c r="D131" s="122" t="n">
        <f aca="false">1.4365/(0.85*0.4)</f>
        <v>4.225</v>
      </c>
      <c r="E131" s="122" t="n">
        <v>0.85</v>
      </c>
      <c r="F131" s="122" t="n">
        <v>0.4</v>
      </c>
      <c r="G131" s="123" t="n">
        <f aca="false">C131*D131*E131*F131</f>
        <v>1.4365</v>
      </c>
      <c r="H131" s="101"/>
      <c r="I131" s="123" t="n">
        <f aca="false">2*(D131+E131)*F131*C131</f>
        <v>4.06</v>
      </c>
      <c r="J131" s="101"/>
      <c r="K131" s="124"/>
      <c r="L131" s="125"/>
      <c r="M131" s="125"/>
      <c r="N131" s="126"/>
      <c r="O131" s="126"/>
      <c r="P131" s="126"/>
      <c r="Q131" s="127"/>
      <c r="R131" s="105" t="str">
        <f aca="false">IF(P131=6,N131*O131*Q131*0.222*1,IF(P131&gt;6,"",IF(P131&lt;6,"")))</f>
        <v/>
      </c>
      <c r="S131" s="106" t="str">
        <f aca="false">IF(P131=8,N131*O131*Q131*0.395*1,IF(P131&gt;8,"",IF(P131&lt;8,"")))</f>
        <v/>
      </c>
      <c r="T131" s="106" t="str">
        <f aca="false">IF(P131=10,N131*O131*Q131*0.617*1,IF(P131&gt;10,"",IF(P131&lt;10,"")))</f>
        <v/>
      </c>
      <c r="U131" s="106" t="str">
        <f aca="false">IF(P131=12,N131*O131*Q131*0.888*1,IF(P131&gt;12,"",IF(P131&lt;12,"")))</f>
        <v/>
      </c>
      <c r="V131" s="107" t="str">
        <f aca="false">IF(P131=16,N131*O131*Q131*1.578*1,IF(P131&gt;16,"",IF(P131&lt;16,"")))</f>
        <v/>
      </c>
      <c r="W131" s="106" t="str">
        <f aca="false">IF(P131=20,N131*O131*Q131*2.466*1,IF(P131&gt;20,"",IF(P131&lt;20,"")))</f>
        <v/>
      </c>
      <c r="X131" s="106" t="str">
        <f aca="false">IF(P131=25,N131*O131*Q131*3.853*1,IF(P131&gt;25,"",IF(P131&lt;25,"")))</f>
        <v/>
      </c>
      <c r="Y131" s="108" t="str">
        <f aca="false">IF(P131=32,N131*O131*Q131*6.313*1,IF(P131&gt;32,"",IF(P131&lt;32,"")))</f>
        <v/>
      </c>
      <c r="Z131" s="109"/>
      <c r="AA131" s="110" t="str">
        <f aca="false">IF(AC131&gt;0,N131,"")</f>
        <v/>
      </c>
      <c r="AB131" s="111" t="str">
        <f aca="false">IF(AC131&gt;0,O131,"")</f>
        <v/>
      </c>
      <c r="AC131" s="112"/>
      <c r="AD131" s="112"/>
      <c r="AE131" s="113" t="str">
        <f aca="false">IF(AC131&gt;0,P131,"")</f>
        <v/>
      </c>
      <c r="AF131" s="114" t="str">
        <f aca="false">IF(AE131=6,AA131*AB131*AC131*AD131*(AE131/1000)*0.222*1,IF(AE131&gt;6,"",IF(AE131&lt;6,"")))</f>
        <v/>
      </c>
      <c r="AG131" s="107" t="str">
        <f aca="false">IF(AE131=8,AA131*AB131*AC131*AD131*(AE131/1000)*0.395*1,IF(AE131&gt;8,"",IF(AE131&lt;8,"")))</f>
        <v/>
      </c>
      <c r="AH131" s="107" t="str">
        <f aca="false">IF(AE131=10,AA131*AB131*AC131*AD131*(AE131/1000)*0.617*1,IF(AE131&gt;10,"",IF(AE131&lt;10,"")))</f>
        <v/>
      </c>
      <c r="AI131" s="107" t="str">
        <f aca="false">IF(AE131=12,AA131*AB131*AC131*AD131*(AE131/1000)*0.888*1,IF(AE131&gt;12,"",IF(AE131&lt;12,"")))</f>
        <v/>
      </c>
      <c r="AJ131" s="107" t="str">
        <f aca="false">IF(AE131=16,AA131*AB131*AC131*AD131*(AE131/1000)*1.578*1,IF(AE131&gt;16,"",IF(AE131&lt;16,"")))</f>
        <v/>
      </c>
      <c r="AK131" s="107" t="str">
        <f aca="false">IF(AE131=20,AA131*AB131*AC131*AD131*(AE131/1000)*2.466*1,IF(AE131&gt;20,"",IF(AE131&lt;20,"")))</f>
        <v/>
      </c>
      <c r="AL131" s="107" t="str">
        <f aca="false">IF(AE131=25,AA131*AB131*AC131*AD131*(AE131/1000)*3.853*1,IF(AE131&gt;25,"",IF(AE131&lt;25,"")))</f>
        <v/>
      </c>
      <c r="AM131" s="115" t="str">
        <f aca="false">IF(AE131=32,AA131*AB131*AC131*AD131*(AE131/1000)*6.313*1,IF(AE131&gt;32,"",IF(AE131&lt;32,"")))</f>
        <v/>
      </c>
      <c r="AN131" s="128"/>
      <c r="AO131" s="117" t="s">
        <v>191</v>
      </c>
      <c r="AP131" s="118" t="n">
        <f aca="false">SUM(R131:Y131)+SUM(AN131)</f>
        <v>0</v>
      </c>
      <c r="AQ131" s="118" t="n">
        <f aca="false">SUM(AF131:AM131)</f>
        <v>0</v>
      </c>
      <c r="AR131" s="118" t="n">
        <v>1.4365</v>
      </c>
      <c r="AS131" s="119" t="s">
        <v>278</v>
      </c>
      <c r="AT131" s="119" t="s">
        <v>209</v>
      </c>
    </row>
    <row r="132" customFormat="false" ht="13.5" hidden="false" customHeight="false" outlineLevel="0" collapsed="false">
      <c r="A132" s="129"/>
      <c r="B132" s="172"/>
      <c r="C132" s="110"/>
      <c r="D132" s="122"/>
      <c r="E132" s="122"/>
      <c r="F132" s="173"/>
      <c r="G132" s="123"/>
      <c r="H132" s="101"/>
      <c r="I132" s="123"/>
      <c r="J132" s="101"/>
      <c r="K132" s="124" t="s">
        <v>271</v>
      </c>
      <c r="L132" s="125" t="n">
        <f aca="false">$D$131-2*0.05</f>
        <v>4.125</v>
      </c>
      <c r="M132" s="125" t="n">
        <v>0.15</v>
      </c>
      <c r="N132" s="126" t="n">
        <f aca="false">$C$131</f>
        <v>1</v>
      </c>
      <c r="O132" s="126" t="n">
        <f aca="false">CEILING(L132/M132,1)+1</f>
        <v>29</v>
      </c>
      <c r="P132" s="126" t="n">
        <v>12</v>
      </c>
      <c r="Q132" s="127" t="n">
        <f aca="false">2*($E$131-2*0.05)+2*($F$131-2*0.05)+20*12/1000</f>
        <v>2.34</v>
      </c>
      <c r="R132" s="105" t="str">
        <f aca="false">IF(P132=6,N132*O132*Q132*0.222*1,IF(P132&gt;6,"",IF(P132&lt;6,"")))</f>
        <v/>
      </c>
      <c r="S132" s="106" t="str">
        <f aca="false">IF(P132=8,N132*O132*Q132*0.395*1,IF(P132&gt;8,"",IF(P132&lt;8,"")))</f>
        <v/>
      </c>
      <c r="T132" s="106" t="str">
        <f aca="false">IF(P132=10,N132*O132*Q132*0.617*1,IF(P132&gt;10,"",IF(P132&lt;10,"")))</f>
        <v/>
      </c>
      <c r="U132" s="106" t="n">
        <f aca="false">IF(P132=12,N132*O132*Q132*0.888*1,IF(P132&gt;12,"",IF(P132&lt;12,"")))</f>
        <v>60.25968</v>
      </c>
      <c r="V132" s="107" t="str">
        <f aca="false">IF(P132=16,N132*O132*Q132*1.578*1,IF(P132&gt;16,"",IF(P132&lt;16,"")))</f>
        <v/>
      </c>
      <c r="W132" s="106" t="str">
        <f aca="false">IF(P132=20,N132*O132*Q132*2.466*1,IF(P132&gt;20,"",IF(P132&lt;20,"")))</f>
        <v/>
      </c>
      <c r="X132" s="106" t="str">
        <f aca="false">IF(P132=25,N132*O132*Q132*3.853*1,IF(P132&gt;25,"",IF(P132&lt;25,"")))</f>
        <v/>
      </c>
      <c r="Y132" s="108" t="str">
        <f aca="false">IF(P132=32,N132*O132*Q132*6.313*1,IF(P132&gt;32,"",IF(P132&lt;32,"")))</f>
        <v/>
      </c>
      <c r="Z132" s="109"/>
      <c r="AA132" s="110" t="str">
        <f aca="false">IF(AC132&gt;0,N132,"")</f>
        <v/>
      </c>
      <c r="AB132" s="111" t="str">
        <f aca="false">IF(AC132&gt;0,O132,"")</f>
        <v/>
      </c>
      <c r="AC132" s="112"/>
      <c r="AD132" s="112"/>
      <c r="AE132" s="113" t="str">
        <f aca="false">IF(AC132&gt;0,P132,"")</f>
        <v/>
      </c>
      <c r="AF132" s="114" t="str">
        <f aca="false">IF(AE132=6,AA132*AB132*AC132*AD132*(AE132/1000)*0.222*1,IF(AE132&gt;6,"",IF(AE132&lt;6,"")))</f>
        <v/>
      </c>
      <c r="AG132" s="107" t="str">
        <f aca="false">IF(AE132=8,AA132*AB132*AC132*AD132*(AE132/1000)*0.395*1,IF(AE132&gt;8,"",IF(AE132&lt;8,"")))</f>
        <v/>
      </c>
      <c r="AH132" s="107" t="str">
        <f aca="false">IF(AE132=10,AA132*AB132*AC132*AD132*(AE132/1000)*0.617*1,IF(AE132&gt;10,"",IF(AE132&lt;10,"")))</f>
        <v/>
      </c>
      <c r="AI132" s="107" t="str">
        <f aca="false">IF(AE132=12,AA132*AB132*AC132*AD132*(AE132/1000)*0.888*1,IF(AE132&gt;12,"",IF(AE132&lt;12,"")))</f>
        <v/>
      </c>
      <c r="AJ132" s="107" t="str">
        <f aca="false">IF(AE132=16,AA132*AB132*AC132*AD132*(AE132/1000)*1.578*1,IF(AE132&gt;16,"",IF(AE132&lt;16,"")))</f>
        <v/>
      </c>
      <c r="AK132" s="107" t="str">
        <f aca="false">IF(AE132=20,AA132*AB132*AC132*AD132*(AE132/1000)*2.466*1,IF(AE132&gt;20,"",IF(AE132&lt;20,"")))</f>
        <v/>
      </c>
      <c r="AL132" s="107" t="str">
        <f aca="false">IF(AE132=25,AA132*AB132*AC132*AD132*(AE132/1000)*3.853*1,IF(AE132&gt;25,"",IF(AE132&lt;25,"")))</f>
        <v/>
      </c>
      <c r="AM132" s="115" t="str">
        <f aca="false">IF(AE132=32,AA132*AB132*AC132*AD132*(AE132/1000)*6.313*1,IF(AE132&gt;32,"",IF(AE132&lt;32,"")))</f>
        <v/>
      </c>
      <c r="AN132" s="128"/>
      <c r="AO132" s="117" t="s">
        <v>191</v>
      </c>
      <c r="AP132" s="118" t="n">
        <f aca="false">SUM(R132:Y132)+SUM(AN132)</f>
        <v>60.25968</v>
      </c>
      <c r="AQ132" s="118" t="n">
        <f aca="false">SUM(AF132:AM132)</f>
        <v>0</v>
      </c>
      <c r="AR132" s="118"/>
      <c r="AS132" s="119" t="s">
        <v>272</v>
      </c>
      <c r="AT132" s="119" t="s">
        <v>162</v>
      </c>
    </row>
    <row r="133" customFormat="false" ht="13.5" hidden="false" customHeight="false" outlineLevel="0" collapsed="false">
      <c r="A133" s="129"/>
      <c r="B133" s="172"/>
      <c r="C133" s="110"/>
      <c r="D133" s="122"/>
      <c r="E133" s="122"/>
      <c r="F133" s="173"/>
      <c r="G133" s="123"/>
      <c r="H133" s="101"/>
      <c r="I133" s="123"/>
      <c r="J133" s="101"/>
      <c r="K133" s="124" t="s">
        <v>273</v>
      </c>
      <c r="L133" s="125" t="n">
        <f aca="false">$E$131-2*0.05</f>
        <v>0.75</v>
      </c>
      <c r="M133" s="125" t="n">
        <v>0.15</v>
      </c>
      <c r="N133" s="126" t="n">
        <f aca="false">2*$C$131</f>
        <v>2</v>
      </c>
      <c r="O133" s="126" t="n">
        <f aca="false">CEILING(L133/M133,1)+1</f>
        <v>6</v>
      </c>
      <c r="P133" s="126" t="n">
        <v>12</v>
      </c>
      <c r="Q133" s="127" t="n">
        <f aca="false">$D$131-2*0.05</f>
        <v>4.125</v>
      </c>
      <c r="R133" s="105" t="str">
        <f aca="false">IF(P133=6,N133*O133*Q133*0.222*1,IF(P133&gt;6,"",IF(P133&lt;6,"")))</f>
        <v/>
      </c>
      <c r="S133" s="106" t="str">
        <f aca="false">IF(P133=8,N133*O133*Q133*0.395*1,IF(P133&gt;8,"",IF(P133&lt;8,"")))</f>
        <v/>
      </c>
      <c r="T133" s="106" t="str">
        <f aca="false">IF(P133=10,N133*O133*Q133*0.617*1,IF(P133&gt;10,"",IF(P133&lt;10,"")))</f>
        <v/>
      </c>
      <c r="U133" s="106" t="n">
        <f aca="false">IF(P133=12,N133*O133*Q133*0.888*1,IF(P133&gt;12,"",IF(P133&lt;12,"")))</f>
        <v>43.956</v>
      </c>
      <c r="V133" s="107" t="str">
        <f aca="false">IF(P133=16,N133*O133*Q133*1.578*1,IF(P133&gt;16,"",IF(P133&lt;16,"")))</f>
        <v/>
      </c>
      <c r="W133" s="106" t="str">
        <f aca="false">IF(P133=20,N133*O133*Q133*2.466*1,IF(P133&gt;20,"",IF(P133&lt;20,"")))</f>
        <v/>
      </c>
      <c r="X133" s="106" t="str">
        <f aca="false">IF(P133=25,N133*O133*Q133*3.853*1,IF(P133&gt;25,"",IF(P133&lt;25,"")))</f>
        <v/>
      </c>
      <c r="Y133" s="108" t="str">
        <f aca="false">IF(P133=32,N133*O133*Q133*6.313*1,IF(P133&gt;32,"",IF(P133&lt;32,"")))</f>
        <v/>
      </c>
      <c r="Z133" s="109"/>
      <c r="AA133" s="110" t="str">
        <f aca="false">IF(AC133&gt;0,N133,"")</f>
        <v/>
      </c>
      <c r="AB133" s="111" t="str">
        <f aca="false">IF(AC133&gt;0,O133,"")</f>
        <v/>
      </c>
      <c r="AC133" s="112"/>
      <c r="AD133" s="112"/>
      <c r="AE133" s="113" t="str">
        <f aca="false">IF(AC133&gt;0,P133,"")</f>
        <v/>
      </c>
      <c r="AF133" s="114" t="str">
        <f aca="false">IF(AE133=6,AA133*AB133*AC133*AD133*(AE133/1000)*0.222*1,IF(AE133&gt;6,"",IF(AE133&lt;6,"")))</f>
        <v/>
      </c>
      <c r="AG133" s="107" t="str">
        <f aca="false">IF(AE133=8,AA133*AB133*AC133*AD133*(AE133/1000)*0.395*1,IF(AE133&gt;8,"",IF(AE133&lt;8,"")))</f>
        <v/>
      </c>
      <c r="AH133" s="107" t="str">
        <f aca="false">IF(AE133=10,AA133*AB133*AC133*AD133*(AE133/1000)*0.617*1,IF(AE133&gt;10,"",IF(AE133&lt;10,"")))</f>
        <v/>
      </c>
      <c r="AI133" s="107" t="str">
        <f aca="false">IF(AE133=12,AA133*AB133*AC133*AD133*(AE133/1000)*0.888*1,IF(AE133&gt;12,"",IF(AE133&lt;12,"")))</f>
        <v/>
      </c>
      <c r="AJ133" s="107" t="str">
        <f aca="false">IF(AE133=16,AA133*AB133*AC133*AD133*(AE133/1000)*1.578*1,IF(AE133&gt;16,"",IF(AE133&lt;16,"")))</f>
        <v/>
      </c>
      <c r="AK133" s="107" t="str">
        <f aca="false">IF(AE133=20,AA133*AB133*AC133*AD133*(AE133/1000)*2.466*1,IF(AE133&gt;20,"",IF(AE133&lt;20,"")))</f>
        <v/>
      </c>
      <c r="AL133" s="107" t="str">
        <f aca="false">IF(AE133=25,AA133*AB133*AC133*AD133*(AE133/1000)*3.853*1,IF(AE133&gt;25,"",IF(AE133&lt;25,"")))</f>
        <v/>
      </c>
      <c r="AM133" s="115" t="str">
        <f aca="false">IF(AE133=32,AA133*AB133*AC133*AD133*(AE133/1000)*6.313*1,IF(AE133&gt;32,"",IF(AE133&lt;32,"")))</f>
        <v/>
      </c>
      <c r="AN133" s="128"/>
      <c r="AO133" s="117" t="s">
        <v>191</v>
      </c>
      <c r="AP133" s="118" t="n">
        <f aca="false">SUM(R133:Y133)+SUM(AN133)</f>
        <v>43.956</v>
      </c>
      <c r="AQ133" s="118" t="n">
        <f aca="false">SUM(AF133:AM133)</f>
        <v>0</v>
      </c>
      <c r="AR133" s="118"/>
      <c r="AS133" s="119"/>
      <c r="AT133" s="119" t="s">
        <v>162</v>
      </c>
    </row>
    <row r="134" customFormat="false" ht="13.5" hidden="false" customHeight="false" outlineLevel="0" collapsed="false">
      <c r="A134" s="129"/>
      <c r="B134" s="130"/>
      <c r="C134" s="110"/>
      <c r="D134" s="122"/>
      <c r="E134" s="122"/>
      <c r="F134" s="122"/>
      <c r="G134" s="123"/>
      <c r="H134" s="101"/>
      <c r="I134" s="123"/>
      <c r="J134" s="101"/>
      <c r="K134" s="124"/>
      <c r="L134" s="125"/>
      <c r="M134" s="125"/>
      <c r="N134" s="126"/>
      <c r="O134" s="126"/>
      <c r="P134" s="126"/>
      <c r="Q134" s="127"/>
      <c r="R134" s="105"/>
      <c r="S134" s="106"/>
      <c r="T134" s="106"/>
      <c r="U134" s="106"/>
      <c r="V134" s="107"/>
      <c r="W134" s="106"/>
      <c r="X134" s="106"/>
      <c r="Y134" s="108"/>
      <c r="Z134" s="109"/>
      <c r="AA134" s="110"/>
      <c r="AB134" s="111"/>
      <c r="AC134" s="112"/>
      <c r="AD134" s="112"/>
      <c r="AE134" s="113"/>
      <c r="AF134" s="114"/>
      <c r="AG134" s="107"/>
      <c r="AH134" s="107"/>
      <c r="AI134" s="107"/>
      <c r="AJ134" s="107"/>
      <c r="AK134" s="107"/>
      <c r="AL134" s="107"/>
      <c r="AM134" s="115"/>
      <c r="AO134" s="117"/>
      <c r="AP134" s="118"/>
      <c r="AQ134" s="118"/>
      <c r="AR134" s="118"/>
      <c r="AS134" s="119"/>
      <c r="AT134" s="119"/>
    </row>
    <row r="135" customFormat="false" ht="13.5" hidden="false" customHeight="false" outlineLevel="0" collapsed="false">
      <c r="A135" s="129"/>
      <c r="B135" s="130"/>
      <c r="C135" s="110"/>
      <c r="D135" s="122"/>
      <c r="E135" s="122"/>
      <c r="F135" s="122"/>
      <c r="G135" s="123"/>
      <c r="H135" s="101"/>
      <c r="I135" s="123"/>
      <c r="J135" s="101"/>
      <c r="K135" s="124"/>
      <c r="L135" s="125"/>
      <c r="M135" s="125"/>
      <c r="N135" s="126"/>
      <c r="O135" s="126"/>
      <c r="P135" s="126"/>
      <c r="Q135" s="127"/>
      <c r="R135" s="105"/>
      <c r="S135" s="106"/>
      <c r="T135" s="106"/>
      <c r="U135" s="106"/>
      <c r="V135" s="107"/>
      <c r="W135" s="106"/>
      <c r="X135" s="106"/>
      <c r="Y135" s="108"/>
      <c r="Z135" s="109"/>
      <c r="AA135" s="110"/>
      <c r="AB135" s="111"/>
      <c r="AC135" s="112"/>
      <c r="AD135" s="112"/>
      <c r="AE135" s="113"/>
      <c r="AF135" s="114"/>
      <c r="AG135" s="107"/>
      <c r="AH135" s="107"/>
      <c r="AI135" s="107"/>
      <c r="AJ135" s="107"/>
      <c r="AK135" s="107"/>
      <c r="AL135" s="107"/>
      <c r="AM135" s="115"/>
      <c r="AO135" s="117"/>
      <c r="AP135" s="118"/>
      <c r="AQ135" s="118"/>
      <c r="AR135" s="118"/>
      <c r="AS135" s="119"/>
      <c r="AT135" s="119"/>
    </row>
    <row r="136" customFormat="false" ht="13.5" hidden="false" customHeight="false" outlineLevel="0" collapsed="false">
      <c r="A136" s="131"/>
      <c r="B136" s="132"/>
      <c r="C136" s="133" t="s">
        <v>196</v>
      </c>
      <c r="D136" s="133"/>
      <c r="E136" s="133"/>
      <c r="F136" s="133"/>
      <c r="G136" s="134" t="n">
        <f aca="false">SUM(G6:G134)</f>
        <v>47.671</v>
      </c>
      <c r="H136" s="135"/>
      <c r="I136" s="136"/>
      <c r="J136" s="137"/>
      <c r="K136" s="137"/>
      <c r="L136" s="137"/>
      <c r="M136" s="137"/>
      <c r="N136" s="138"/>
      <c r="O136" s="139" t="s">
        <v>197</v>
      </c>
      <c r="P136" s="139"/>
      <c r="Q136" s="139"/>
      <c r="R136" s="140" t="n">
        <f aca="false">SUM(R6:R134)</f>
        <v>0</v>
      </c>
      <c r="S136" s="140" t="n">
        <f aca="false">SUM(S6:S134)</f>
        <v>0</v>
      </c>
      <c r="T136" s="140" t="n">
        <f aca="false">SUM(T6:T134)</f>
        <v>0</v>
      </c>
      <c r="U136" s="140" t="n">
        <f aca="false">SUM(U6:U134)</f>
        <v>3319.0776</v>
      </c>
      <c r="V136" s="140" t="n">
        <f aca="false">SUM(V6:V134)</f>
        <v>1244.4108</v>
      </c>
      <c r="W136" s="140" t="n">
        <f aca="false">SUM(W6:W134)</f>
        <v>374.832</v>
      </c>
      <c r="X136" s="140" t="n">
        <f aca="false">SUM(X6:X134)</f>
        <v>0</v>
      </c>
      <c r="Y136" s="140" t="n">
        <f aca="false">SUM(Y6:Y134)</f>
        <v>0</v>
      </c>
      <c r="Z136" s="141"/>
      <c r="AA136" s="142"/>
      <c r="AB136" s="143" t="s">
        <v>197</v>
      </c>
      <c r="AC136" s="143"/>
      <c r="AD136" s="143"/>
      <c r="AE136" s="143"/>
      <c r="AF136" s="140" t="n">
        <f aca="false">SUM(AF6:AF134)</f>
        <v>0</v>
      </c>
      <c r="AG136" s="140" t="n">
        <f aca="false">SUM(AG6:AG134)</f>
        <v>0</v>
      </c>
      <c r="AH136" s="140" t="n">
        <f aca="false">SUM(AH6:AH134)</f>
        <v>0</v>
      </c>
      <c r="AI136" s="140" t="n">
        <f aca="false">SUM(AI6:AI134)</f>
        <v>65.0016</v>
      </c>
      <c r="AJ136" s="140" t="n">
        <f aca="false">SUM(AJ6:AJ134)</f>
        <v>5.0496</v>
      </c>
      <c r="AK136" s="140" t="n">
        <f aca="false">SUM(AK6:AK134)</f>
        <v>0</v>
      </c>
      <c r="AL136" s="140" t="n">
        <f aca="false">SUM(AL6:AL134)</f>
        <v>0</v>
      </c>
      <c r="AM136" s="140" t="n">
        <f aca="false">SUM(AM6:AM134)</f>
        <v>0</v>
      </c>
      <c r="AN136" s="144" t="n">
        <f aca="false">SUM(AN6:AN134)</f>
        <v>0</v>
      </c>
      <c r="AO136" s="117"/>
      <c r="AP136" s="118"/>
      <c r="AQ136" s="118"/>
      <c r="AR136" s="118"/>
      <c r="AS136" s="119"/>
      <c r="AT136" s="119"/>
    </row>
    <row r="137" customFormat="false" ht="13.5" hidden="false" customHeight="false" outlineLevel="0" collapsed="false">
      <c r="A137" s="131" t="s">
        <v>198</v>
      </c>
      <c r="B137" s="95"/>
      <c r="C137" s="145" t="s">
        <v>199</v>
      </c>
      <c r="D137" s="145"/>
      <c r="E137" s="145"/>
      <c r="F137" s="145"/>
      <c r="G137" s="146" t="n">
        <f aca="false">SUM(I6:I134)</f>
        <v>117.75</v>
      </c>
      <c r="H137" s="147"/>
      <c r="I137" s="136"/>
      <c r="J137" s="148"/>
      <c r="K137" s="137"/>
      <c r="L137" s="137"/>
      <c r="M137" s="137"/>
      <c r="N137" s="138"/>
      <c r="O137" s="149" t="s">
        <v>200</v>
      </c>
      <c r="P137" s="149"/>
      <c r="Q137" s="149"/>
      <c r="R137" s="150" t="n">
        <f aca="false">SUM(R136:Y136)+AN136</f>
        <v>4938.3204</v>
      </c>
      <c r="S137" s="150"/>
      <c r="T137" s="150"/>
      <c r="U137" s="150"/>
      <c r="V137" s="150"/>
      <c r="W137" s="150"/>
      <c r="X137" s="150"/>
      <c r="Y137" s="150"/>
      <c r="Z137" s="151"/>
      <c r="AA137" s="152"/>
      <c r="AB137" s="153" t="s">
        <v>200</v>
      </c>
      <c r="AC137" s="153"/>
      <c r="AD137" s="153"/>
      <c r="AE137" s="153"/>
      <c r="AF137" s="150" t="n">
        <f aca="false">SUM(AF136:AM136)</f>
        <v>70.0512</v>
      </c>
      <c r="AG137" s="150"/>
      <c r="AH137" s="150"/>
      <c r="AI137" s="150"/>
      <c r="AJ137" s="150"/>
      <c r="AK137" s="150"/>
      <c r="AL137" s="150"/>
      <c r="AM137" s="150"/>
      <c r="AN137" s="154"/>
      <c r="AO137" s="117"/>
      <c r="AP137" s="118"/>
      <c r="AQ137" s="118"/>
      <c r="AR137" s="118"/>
      <c r="AS137" s="119"/>
      <c r="AT137" s="119"/>
    </row>
    <row r="138" customFormat="false" ht="13.5" hidden="false" customHeight="false" outlineLevel="0" collapsed="false">
      <c r="A138" s="155"/>
      <c r="B138" s="156"/>
      <c r="C138" s="157" t="s">
        <v>201</v>
      </c>
      <c r="D138" s="157"/>
      <c r="E138" s="157"/>
      <c r="F138" s="157"/>
      <c r="G138" s="158" t="n">
        <f aca="false">IF(G136&gt;0,G137/G136,0)</f>
        <v>2.47005516980974</v>
      </c>
      <c r="H138" s="159"/>
      <c r="I138" s="160"/>
      <c r="J138" s="160"/>
      <c r="K138" s="160"/>
      <c r="L138" s="160"/>
      <c r="M138" s="160"/>
      <c r="N138" s="161"/>
      <c r="O138" s="162" t="s">
        <v>202</v>
      </c>
      <c r="P138" s="162"/>
      <c r="Q138" s="162"/>
      <c r="R138" s="163" t="n">
        <f aca="false">IF(G136&gt;0,R137/G136,0)</f>
        <v>103.59170984456</v>
      </c>
      <c r="S138" s="164"/>
      <c r="T138" s="165"/>
      <c r="U138" s="165"/>
      <c r="V138" s="165"/>
      <c r="W138" s="165"/>
      <c r="X138" s="165"/>
      <c r="Y138" s="166"/>
      <c r="Z138" s="141"/>
      <c r="AA138" s="167"/>
      <c r="AB138" s="168" t="s">
        <v>203</v>
      </c>
      <c r="AC138" s="168"/>
      <c r="AD138" s="168"/>
      <c r="AE138" s="168"/>
      <c r="AF138" s="163" t="n">
        <f aca="false">IF(G136&gt;0,AF137/G136,0)</f>
        <v>1.46947200604141</v>
      </c>
      <c r="AG138" s="164"/>
      <c r="AH138" s="165"/>
      <c r="AI138" s="165"/>
      <c r="AJ138" s="169" t="s">
        <v>204</v>
      </c>
      <c r="AK138" s="169"/>
      <c r="AL138" s="169"/>
      <c r="AM138" s="170" t="n">
        <f aca="false">IF(R137&gt;0,AF137/R137,0)</f>
        <v>0.0141852278357638</v>
      </c>
      <c r="AN138" s="44"/>
      <c r="AO138" s="117"/>
      <c r="AP138" s="118"/>
      <c r="AQ138" s="118"/>
      <c r="AR138" s="118"/>
      <c r="AS138" s="119"/>
      <c r="AT138" s="119"/>
    </row>
    <row r="166" s="116" customFormat="true" ht="13.5" hidden="false" customHeight="false" outlineLevel="0" collapsed="false"/>
    <row r="178" s="55" customFormat="true" ht="13.5" hidden="false" customHeight="false" outlineLevel="0" collapsed="false"/>
    <row r="179" s="55" customFormat="true" ht="13.5" hidden="false" customHeight="false" outlineLevel="0" collapsed="false"/>
    <row r="180" s="55" customFormat="true" ht="13.5" hidden="false" customHeight="false" outlineLevel="0" collapsed="false"/>
    <row r="183" s="55" customFormat="true" ht="13.5" hidden="false" customHeight="false" outlineLevel="0" collapsed="false"/>
    <row r="184" s="95" customFormat="true" ht="13.5" hidden="false" customHeight="false" outlineLevel="0" collapsed="false"/>
    <row r="185" s="116" customFormat="true" ht="13.5" hidden="false" customHeight="false" outlineLevel="0" collapsed="false"/>
    <row r="210" s="55" customFormat="true" ht="13.5" hidden="false" customHeight="false" outlineLevel="0" collapsed="false"/>
    <row r="211" s="55" customFormat="true" ht="13.5" hidden="false" customHeight="false" outlineLevel="0" collapsed="false"/>
    <row r="212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136:F136"/>
    <mergeCell ref="O136:Q136"/>
    <mergeCell ref="AB136:AE136"/>
    <mergeCell ref="C137:F137"/>
    <mergeCell ref="O137:Q137"/>
    <mergeCell ref="R137:Y137"/>
    <mergeCell ref="AB137:AE137"/>
    <mergeCell ref="AF137:AM137"/>
    <mergeCell ref="C138:F138"/>
    <mergeCell ref="O138:Q138"/>
    <mergeCell ref="AB138:AE138"/>
    <mergeCell ref="AJ138:AL1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false"/>
  </sheetPr>
  <dimension ref="A1:AT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7.66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9.4" hidden="false" customHeight="false" outlineLevel="0" collapsed="false">
      <c r="A6" s="96"/>
      <c r="B6" s="97" t="s">
        <v>279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280</v>
      </c>
      <c r="C7" s="110" t="n">
        <v>1</v>
      </c>
      <c r="D7" s="122" t="n">
        <v>1.315</v>
      </c>
      <c r="E7" s="122" t="n">
        <v>0.25</v>
      </c>
      <c r="F7" s="122" t="n">
        <f aca="false">2.7563/1.315</f>
        <v>2.09604562737643</v>
      </c>
      <c r="G7" s="123" t="n">
        <f aca="false">C7*D7*E7*F7</f>
        <v>0.689075</v>
      </c>
      <c r="H7" s="101"/>
      <c r="I7" s="123" t="n">
        <f aca="false">2*C7*D7*F7</f>
        <v>5.5126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191</v>
      </c>
      <c r="AP7" s="118" t="n">
        <f aca="false">SUM(R7:Y7)+SUM(AN7)</f>
        <v>0</v>
      </c>
      <c r="AQ7" s="118" t="n">
        <f aca="false">SUM(AF7:AM7)</f>
        <v>0</v>
      </c>
      <c r="AR7" s="118" t="n">
        <v>0.6891</v>
      </c>
      <c r="AS7" s="119" t="s">
        <v>281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282</v>
      </c>
      <c r="L8" s="125" t="n">
        <f aca="false">$D$7</f>
        <v>1.315</v>
      </c>
      <c r="M8" s="125" t="n">
        <v>0.125</v>
      </c>
      <c r="N8" s="126" t="n">
        <f aca="false">2*$C$7</f>
        <v>2</v>
      </c>
      <c r="O8" s="126" t="n">
        <f aca="false">CEILING(L8/M8,1)+1</f>
        <v>12</v>
      </c>
      <c r="P8" s="126" t="n">
        <v>12</v>
      </c>
      <c r="Q8" s="127" t="n">
        <f aca="false">$F$7+(0.5-0.05+0.3)+0.1</f>
        <v>2.94604562737643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n">
        <f aca="false">IF(P8=12,N8*O8*Q8*0.888*1,IF(P8&gt;12,"",IF(P8&lt;12,"")))</f>
        <v>62.7861244106464</v>
      </c>
      <c r="V8" s="107" t="str">
        <f aca="false">IF(P8=16,N8*O8*Q8*1.578*1,IF(P8&gt;16,"",IF(P8&lt;16,"")))</f>
        <v/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191</v>
      </c>
      <c r="AP8" s="118" t="n">
        <f aca="false">SUM(R8:Y8)+SUM(AN8)</f>
        <v>62.7861244106464</v>
      </c>
      <c r="AQ8" s="118" t="n">
        <f aca="false">SUM(AF8:AM8)</f>
        <v>0</v>
      </c>
      <c r="AR8" s="118"/>
      <c r="AS8" s="119" t="s">
        <v>283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284</v>
      </c>
      <c r="L9" s="125" t="n">
        <f aca="false">$F$7</f>
        <v>2.09604562737643</v>
      </c>
      <c r="M9" s="125" t="n">
        <v>0.125</v>
      </c>
      <c r="N9" s="126" t="n">
        <f aca="false">2*$C$7</f>
        <v>2</v>
      </c>
      <c r="O9" s="126" t="n">
        <f aca="false">CEILING(L9/M9,1)+1</f>
        <v>18</v>
      </c>
      <c r="P9" s="126" t="n">
        <v>12</v>
      </c>
      <c r="Q9" s="127" t="n">
        <f aca="false">$D$7-2*0.035+2*0.15</f>
        <v>1.545</v>
      </c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str">
        <f aca="false">IF(P9=10,N9*O9*Q9*0.617*1,IF(P9&gt;10,"",IF(P9&lt;10,"")))</f>
        <v/>
      </c>
      <c r="U9" s="106" t="n">
        <f aca="false">IF(P9=12,N9*O9*Q9*0.888*1,IF(P9&gt;12,"",IF(P9&lt;12,"")))</f>
        <v>49.39056</v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191</v>
      </c>
      <c r="AP9" s="118" t="n">
        <f aca="false">SUM(R9:Y9)+SUM(AN9)</f>
        <v>49.39056</v>
      </c>
      <c r="AQ9" s="118" t="n">
        <f aca="false">SUM(AF9:AM9)</f>
        <v>0</v>
      </c>
      <c r="AR9" s="118"/>
      <c r="AS9" s="119" t="s">
        <v>285</v>
      </c>
      <c r="AT9" s="119" t="s">
        <v>162</v>
      </c>
    </row>
    <row r="10" customFormat="false" ht="13.5" hidden="false" customHeight="false" outlineLevel="0" collapsed="false">
      <c r="A10" s="129"/>
      <c r="B10" s="130"/>
      <c r="C10" s="110"/>
      <c r="D10" s="122"/>
      <c r="E10" s="122"/>
      <c r="F10" s="122"/>
      <c r="G10" s="123"/>
      <c r="H10" s="101"/>
      <c r="I10" s="123"/>
      <c r="J10" s="101"/>
      <c r="K10" s="124"/>
      <c r="L10" s="125"/>
      <c r="M10" s="125"/>
      <c r="N10" s="126"/>
      <c r="O10" s="126"/>
      <c r="P10" s="126"/>
      <c r="Q10" s="127"/>
      <c r="R10" s="105"/>
      <c r="S10" s="106"/>
      <c r="T10" s="106"/>
      <c r="U10" s="106"/>
      <c r="V10" s="107"/>
      <c r="W10" s="106"/>
      <c r="X10" s="106"/>
      <c r="Y10" s="108"/>
      <c r="Z10" s="109"/>
      <c r="AA10" s="110"/>
      <c r="AB10" s="111"/>
      <c r="AC10" s="112"/>
      <c r="AD10" s="112"/>
      <c r="AE10" s="113"/>
      <c r="AF10" s="114"/>
      <c r="AG10" s="107"/>
      <c r="AH10" s="107"/>
      <c r="AI10" s="107"/>
      <c r="AJ10" s="107"/>
      <c r="AK10" s="107"/>
      <c r="AL10" s="107"/>
      <c r="AM10" s="115"/>
      <c r="AO10" s="117"/>
      <c r="AP10" s="118"/>
      <c r="AQ10" s="118"/>
      <c r="AR10" s="118"/>
      <c r="AS10" s="119"/>
      <c r="AT10" s="119"/>
    </row>
    <row r="11" customFormat="false" ht="13.5" hidden="false" customHeight="false" outlineLevel="0" collapsed="false">
      <c r="A11" s="120"/>
      <c r="B11" s="121" t="s">
        <v>286</v>
      </c>
      <c r="C11" s="110" t="n">
        <v>1</v>
      </c>
      <c r="D11" s="122" t="n">
        <v>4.45</v>
      </c>
      <c r="E11" s="122" t="n">
        <v>0.25</v>
      </c>
      <c r="F11" s="122" t="n">
        <f aca="false">8.896/4.45</f>
        <v>1.99910112359551</v>
      </c>
      <c r="G11" s="123" t="n">
        <f aca="false">C11*D11*E11*F11</f>
        <v>2.224</v>
      </c>
      <c r="H11" s="101"/>
      <c r="I11" s="123" t="n">
        <f aca="false">2*C11*D11*F11</f>
        <v>17.792</v>
      </c>
      <c r="J11" s="101"/>
      <c r="K11" s="124"/>
      <c r="L11" s="125"/>
      <c r="M11" s="125"/>
      <c r="N11" s="126"/>
      <c r="O11" s="126"/>
      <c r="P11" s="126"/>
      <c r="Q11" s="127"/>
      <c r="R11" s="105" t="str">
        <f aca="false">IF(P11=6,N11*O11*Q11*0.222*1,IF(P11&gt;6,"",IF(P11&lt;6,"")))</f>
        <v/>
      </c>
      <c r="S11" s="106" t="str">
        <f aca="false">IF(P11=8,N11*O11*Q11*0.395*1,IF(P11&gt;8,"",IF(P11&lt;8,"")))</f>
        <v/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str">
        <f aca="false">IF(P11=16,N11*O11*Q11*1.578*1,IF(P11&gt;16,"",IF(P11&lt;16,"")))</f>
        <v/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191</v>
      </c>
      <c r="AP11" s="118" t="n">
        <f aca="false">SUM(R11:Y11)+SUM(AN11)</f>
        <v>0</v>
      </c>
      <c r="AQ11" s="118" t="n">
        <f aca="false">SUM(AF11:AM11)</f>
        <v>0</v>
      </c>
      <c r="AR11" s="118" t="n">
        <v>2.224</v>
      </c>
      <c r="AS11" s="119" t="s">
        <v>287</v>
      </c>
      <c r="AT11" s="119" t="s">
        <v>209</v>
      </c>
    </row>
    <row r="12" customFormat="false" ht="13.5" hidden="false" customHeight="false" outlineLevel="0" collapsed="false">
      <c r="A12" s="129"/>
      <c r="B12" s="172"/>
      <c r="C12" s="110"/>
      <c r="D12" s="122"/>
      <c r="E12" s="122"/>
      <c r="F12" s="173"/>
      <c r="G12" s="123"/>
      <c r="H12" s="101"/>
      <c r="I12" s="123"/>
      <c r="J12" s="101"/>
      <c r="K12" s="124" t="s">
        <v>282</v>
      </c>
      <c r="L12" s="125" t="n">
        <f aca="false">$D$11</f>
        <v>4.45</v>
      </c>
      <c r="M12" s="125" t="n">
        <v>0.125</v>
      </c>
      <c r="N12" s="126" t="n">
        <f aca="false">2*$C$11</f>
        <v>2</v>
      </c>
      <c r="O12" s="126" t="n">
        <f aca="false">CEILING(L12/M12,1)+1</f>
        <v>37</v>
      </c>
      <c r="P12" s="126" t="n">
        <v>12</v>
      </c>
      <c r="Q12" s="127" t="n">
        <f aca="false">$F$11+(0.5-0.05+0.3)+0.1</f>
        <v>2.84910112359551</v>
      </c>
      <c r="R12" s="105" t="str">
        <f aca="false">IF(P12=6,N12*O12*Q12*0.222*1,IF(P12&gt;6,"",IF(P12&lt;6,"")))</f>
        <v/>
      </c>
      <c r="S12" s="106" t="str">
        <f aca="false">IF(P12=8,N12*O12*Q12*0.395*1,IF(P12&gt;8,"",IF(P12&lt;8,"")))</f>
        <v/>
      </c>
      <c r="T12" s="106" t="str">
        <f aca="false">IF(P12=10,N12*O12*Q12*0.617*1,IF(P12&gt;10,"",IF(P12&lt;10,"")))</f>
        <v/>
      </c>
      <c r="U12" s="106" t="n">
        <f aca="false">IF(P12=12,N12*O12*Q12*0.888*1,IF(P12&gt;12,"",IF(P12&lt;12,"")))</f>
        <v>187.220133033708</v>
      </c>
      <c r="V12" s="107" t="str">
        <f aca="false">IF(P12=16,N12*O12*Q12*1.578*1,IF(P12&gt;16,"",IF(P12&lt;16,"")))</f>
        <v/>
      </c>
      <c r="W12" s="106" t="str">
        <f aca="false">IF(P12=20,N12*O12*Q12*2.466*1,IF(P12&gt;20,"",IF(P12&lt;20,"")))</f>
        <v/>
      </c>
      <c r="X12" s="106" t="str">
        <f aca="false">IF(P12=25,N12*O12*Q12*3.853*1,IF(P12&gt;25,"",IF(P12&lt;25,"")))</f>
        <v/>
      </c>
      <c r="Y12" s="108" t="str">
        <f aca="false">IF(P12=32,N12*O12*Q12*6.313*1,IF(P12&gt;32,"",IF(P12&lt;32,"")))</f>
        <v/>
      </c>
      <c r="Z12" s="109"/>
      <c r="AA12" s="110" t="str">
        <f aca="false">IF(AC12&gt;0,N12,"")</f>
        <v/>
      </c>
      <c r="AB12" s="111" t="str">
        <f aca="false">IF(AC12&gt;0,O12,"")</f>
        <v/>
      </c>
      <c r="AC12" s="112"/>
      <c r="AD12" s="112"/>
      <c r="AE12" s="113" t="str">
        <f aca="false">IF(AC12&gt;0,P12,"")</f>
        <v/>
      </c>
      <c r="AF12" s="114" t="str">
        <f aca="false">IF(AE12=6,AA12*AB12*AC12*AD12*(AE12/1000)*0.222*1,IF(AE12&gt;6,"",IF(AE12&lt;6,"")))</f>
        <v/>
      </c>
      <c r="AG12" s="107" t="str">
        <f aca="false">IF(AE12=8,AA12*AB12*AC12*AD12*(AE12/1000)*0.395*1,IF(AE12&gt;8,"",IF(AE12&lt;8,"")))</f>
        <v/>
      </c>
      <c r="AH12" s="107" t="str">
        <f aca="false">IF(AE12=10,AA12*AB12*AC12*AD12*(AE12/1000)*0.617*1,IF(AE12&gt;10,"",IF(AE12&lt;10,"")))</f>
        <v/>
      </c>
      <c r="AI12" s="107" t="str">
        <f aca="false">IF(AE12=12,AA12*AB12*AC12*AD12*(AE12/1000)*0.888*1,IF(AE12&gt;12,"",IF(AE12&lt;12,"")))</f>
        <v/>
      </c>
      <c r="AJ12" s="107" t="str">
        <f aca="false">IF(AE12=16,AA12*AB12*AC12*AD12*(AE12/1000)*1.578*1,IF(AE12&gt;16,"",IF(AE12&lt;16,"")))</f>
        <v/>
      </c>
      <c r="AK12" s="107" t="str">
        <f aca="false">IF(AE12=20,AA12*AB12*AC12*AD12*(AE12/1000)*2.466*1,IF(AE12&gt;20,"",IF(AE12&lt;20,"")))</f>
        <v/>
      </c>
      <c r="AL12" s="107" t="str">
        <f aca="false">IF(AE12=25,AA12*AB12*AC12*AD12*(AE12/1000)*3.853*1,IF(AE12&gt;25,"",IF(AE12&lt;25,"")))</f>
        <v/>
      </c>
      <c r="AM12" s="115" t="str">
        <f aca="false">IF(AE12=32,AA12*AB12*AC12*AD12*(AE12/1000)*6.313*1,IF(AE12&gt;32,"",IF(AE12&lt;32,"")))</f>
        <v/>
      </c>
      <c r="AN12" s="128"/>
      <c r="AO12" s="117" t="s">
        <v>191</v>
      </c>
      <c r="AP12" s="118" t="n">
        <f aca="false">SUM(R12:Y12)+SUM(AN12)</f>
        <v>187.220133033708</v>
      </c>
      <c r="AQ12" s="118" t="n">
        <f aca="false">SUM(AF12:AM12)</f>
        <v>0</v>
      </c>
      <c r="AR12" s="118"/>
      <c r="AS12" s="119" t="s">
        <v>283</v>
      </c>
      <c r="AT12" s="119" t="s">
        <v>162</v>
      </c>
    </row>
    <row r="13" customFormat="false" ht="13.5" hidden="false" customHeight="false" outlineLevel="0" collapsed="false">
      <c r="A13" s="129"/>
      <c r="B13" s="172"/>
      <c r="C13" s="110"/>
      <c r="D13" s="122"/>
      <c r="E13" s="122"/>
      <c r="F13" s="173"/>
      <c r="G13" s="123"/>
      <c r="H13" s="101"/>
      <c r="I13" s="123"/>
      <c r="J13" s="101"/>
      <c r="K13" s="124" t="s">
        <v>284</v>
      </c>
      <c r="L13" s="125" t="n">
        <f aca="false">$F$11</f>
        <v>1.99910112359551</v>
      </c>
      <c r="M13" s="125" t="n">
        <v>0.125</v>
      </c>
      <c r="N13" s="126" t="n">
        <f aca="false">2*$C$11</f>
        <v>2</v>
      </c>
      <c r="O13" s="126" t="n">
        <f aca="false">CEILING(L13/M13,1)+1</f>
        <v>17</v>
      </c>
      <c r="P13" s="126" t="n">
        <v>12</v>
      </c>
      <c r="Q13" s="127" t="n">
        <f aca="false">$D$11-2*0.035+2*0.15</f>
        <v>4.68</v>
      </c>
      <c r="R13" s="105" t="str">
        <f aca="false">IF(P13=6,N13*O13*Q13*0.222*1,IF(P13&gt;6,"",IF(P13&lt;6,"")))</f>
        <v/>
      </c>
      <c r="S13" s="106" t="str">
        <f aca="false">IF(P13=8,N13*O13*Q13*0.395*1,IF(P13&gt;8,"",IF(P13&lt;8,"")))</f>
        <v/>
      </c>
      <c r="T13" s="106" t="str">
        <f aca="false">IF(P13=10,N13*O13*Q13*0.617*1,IF(P13&gt;10,"",IF(P13&lt;10,"")))</f>
        <v/>
      </c>
      <c r="U13" s="106" t="n">
        <f aca="false">IF(P13=12,N13*O13*Q13*0.888*1,IF(P13&gt;12,"",IF(P13&lt;12,"")))</f>
        <v>141.29856</v>
      </c>
      <c r="V13" s="107" t="str">
        <f aca="false">IF(P13=16,N13*O13*Q13*1.578*1,IF(P13&gt;16,"",IF(P13&lt;16,"")))</f>
        <v/>
      </c>
      <c r="W13" s="106" t="str">
        <f aca="false">IF(P13=20,N13*O13*Q13*2.466*1,IF(P13&gt;20,"",IF(P13&lt;20,"")))</f>
        <v/>
      </c>
      <c r="X13" s="106" t="str">
        <f aca="false">IF(P13=25,N13*O13*Q13*3.853*1,IF(P13&gt;25,"",IF(P13&lt;25,"")))</f>
        <v/>
      </c>
      <c r="Y13" s="108" t="str">
        <f aca="false">IF(P13=32,N13*O13*Q13*6.313*1,IF(P13&gt;32,"",IF(P13&lt;32,"")))</f>
        <v/>
      </c>
      <c r="Z13" s="109"/>
      <c r="AA13" s="110" t="str">
        <f aca="false">IF(AC13&gt;0,N13,"")</f>
        <v/>
      </c>
      <c r="AB13" s="111" t="str">
        <f aca="false">IF(AC13&gt;0,O13,"")</f>
        <v/>
      </c>
      <c r="AC13" s="112"/>
      <c r="AD13" s="112"/>
      <c r="AE13" s="113" t="str">
        <f aca="false">IF(AC13&gt;0,P13,"")</f>
        <v/>
      </c>
      <c r="AF13" s="114" t="str">
        <f aca="false">IF(AE13=6,AA13*AB13*AC13*AD13*(AE13/1000)*0.222*1,IF(AE13&gt;6,"",IF(AE13&lt;6,"")))</f>
        <v/>
      </c>
      <c r="AG13" s="107" t="str">
        <f aca="false">IF(AE13=8,AA13*AB13*AC13*AD13*(AE13/1000)*0.395*1,IF(AE13&gt;8,"",IF(AE13&lt;8,"")))</f>
        <v/>
      </c>
      <c r="AH13" s="107" t="str">
        <f aca="false">IF(AE13=10,AA13*AB13*AC13*AD13*(AE13/1000)*0.617*1,IF(AE13&gt;10,"",IF(AE13&lt;10,"")))</f>
        <v/>
      </c>
      <c r="AI13" s="107" t="str">
        <f aca="false">IF(AE13=12,AA13*AB13*AC13*AD13*(AE13/1000)*0.888*1,IF(AE13&gt;12,"",IF(AE13&lt;12,"")))</f>
        <v/>
      </c>
      <c r="AJ13" s="107" t="str">
        <f aca="false">IF(AE13=16,AA13*AB13*AC13*AD13*(AE13/1000)*1.578*1,IF(AE13&gt;16,"",IF(AE13&lt;16,"")))</f>
        <v/>
      </c>
      <c r="AK13" s="107" t="str">
        <f aca="false">IF(AE13=20,AA13*AB13*AC13*AD13*(AE13/1000)*2.466*1,IF(AE13&gt;20,"",IF(AE13&lt;20,"")))</f>
        <v/>
      </c>
      <c r="AL13" s="107" t="str">
        <f aca="false">IF(AE13=25,AA13*AB13*AC13*AD13*(AE13/1000)*3.853*1,IF(AE13&gt;25,"",IF(AE13&lt;25,"")))</f>
        <v/>
      </c>
      <c r="AM13" s="115" t="str">
        <f aca="false">IF(AE13=32,AA13*AB13*AC13*AD13*(AE13/1000)*6.313*1,IF(AE13&gt;32,"",IF(AE13&lt;32,"")))</f>
        <v/>
      </c>
      <c r="AN13" s="128"/>
      <c r="AO13" s="117" t="s">
        <v>191</v>
      </c>
      <c r="AP13" s="118" t="n">
        <f aca="false">SUM(R13:Y13)+SUM(AN13)</f>
        <v>141.29856</v>
      </c>
      <c r="AQ13" s="118" t="n">
        <f aca="false">SUM(AF13:AM13)</f>
        <v>0</v>
      </c>
      <c r="AR13" s="118"/>
      <c r="AS13" s="119" t="s">
        <v>285</v>
      </c>
      <c r="AT13" s="119" t="s">
        <v>162</v>
      </c>
    </row>
    <row r="14" customFormat="false" ht="13.5" hidden="false" customHeight="false" outlineLevel="0" collapsed="false">
      <c r="A14" s="129"/>
      <c r="B14" s="130"/>
      <c r="C14" s="110"/>
      <c r="D14" s="122"/>
      <c r="E14" s="122"/>
      <c r="F14" s="122"/>
      <c r="G14" s="123"/>
      <c r="H14" s="101"/>
      <c r="I14" s="123"/>
      <c r="J14" s="101"/>
      <c r="K14" s="124"/>
      <c r="L14" s="125"/>
      <c r="M14" s="125"/>
      <c r="N14" s="126"/>
      <c r="O14" s="126"/>
      <c r="P14" s="126"/>
      <c r="Q14" s="127"/>
      <c r="R14" s="105"/>
      <c r="S14" s="106"/>
      <c r="T14" s="106"/>
      <c r="U14" s="106"/>
      <c r="V14" s="107"/>
      <c r="W14" s="106"/>
      <c r="X14" s="106"/>
      <c r="Y14" s="108"/>
      <c r="Z14" s="109"/>
      <c r="AA14" s="110"/>
      <c r="AB14" s="111"/>
      <c r="AC14" s="112"/>
      <c r="AD14" s="112"/>
      <c r="AE14" s="113"/>
      <c r="AF14" s="114"/>
      <c r="AG14" s="107"/>
      <c r="AH14" s="107"/>
      <c r="AI14" s="107"/>
      <c r="AJ14" s="107"/>
      <c r="AK14" s="107"/>
      <c r="AL14" s="107"/>
      <c r="AM14" s="115"/>
      <c r="AO14" s="117"/>
      <c r="AP14" s="118"/>
      <c r="AQ14" s="118"/>
      <c r="AR14" s="118"/>
      <c r="AS14" s="119"/>
      <c r="AT14" s="119"/>
    </row>
    <row r="15" customFormat="false" ht="13.5" hidden="false" customHeight="false" outlineLevel="0" collapsed="false">
      <c r="A15" s="120"/>
      <c r="B15" s="121" t="s">
        <v>288</v>
      </c>
      <c r="C15" s="110" t="n">
        <v>1</v>
      </c>
      <c r="D15" s="122" t="n">
        <v>4.2</v>
      </c>
      <c r="E15" s="122" t="n">
        <v>0.25</v>
      </c>
      <c r="F15" s="122" t="n">
        <f aca="false">5.8946/4.2</f>
        <v>1.40347619047619</v>
      </c>
      <c r="G15" s="123" t="n">
        <f aca="false">C15*D15*E15*F15</f>
        <v>1.47365</v>
      </c>
      <c r="H15" s="101"/>
      <c r="I15" s="123" t="n">
        <f aca="false">2*C15*D15*F15</f>
        <v>11.7892</v>
      </c>
      <c r="J15" s="101"/>
      <c r="K15" s="124"/>
      <c r="L15" s="125"/>
      <c r="M15" s="125"/>
      <c r="N15" s="126"/>
      <c r="O15" s="126"/>
      <c r="P15" s="126"/>
      <c r="Q15" s="127"/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str">
        <f aca="false">IF(P15=10,N15*O15*Q15*0.617*1,IF(P15&gt;10,"",IF(P15&lt;10,"")))</f>
        <v/>
      </c>
      <c r="U15" s="106" t="str">
        <f aca="false">IF(P15=12,N15*O15*Q15*0.888*1,IF(P15&gt;12,"",IF(P15&lt;12,"")))</f>
        <v/>
      </c>
      <c r="V15" s="107" t="str">
        <f aca="false">IF(P15=16,N15*O15*Q15*1.578*1,IF(P15&gt;16,"",IF(P15&lt;16,"")))</f>
        <v/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191</v>
      </c>
      <c r="AP15" s="118" t="n">
        <f aca="false">SUM(R15:Y15)+SUM(AN15)</f>
        <v>0</v>
      </c>
      <c r="AQ15" s="118" t="n">
        <f aca="false">SUM(AF15:AM15)</f>
        <v>0</v>
      </c>
      <c r="AR15" s="118" t="n">
        <v>1.4736</v>
      </c>
      <c r="AS15" s="119" t="s">
        <v>289</v>
      </c>
      <c r="AT15" s="119" t="s">
        <v>209</v>
      </c>
    </row>
    <row r="16" customFormat="false" ht="13.5" hidden="false" customHeight="false" outlineLevel="0" collapsed="false">
      <c r="A16" s="129"/>
      <c r="B16" s="172"/>
      <c r="C16" s="110"/>
      <c r="D16" s="122"/>
      <c r="E16" s="122"/>
      <c r="F16" s="173"/>
      <c r="G16" s="123"/>
      <c r="H16" s="101"/>
      <c r="I16" s="123"/>
      <c r="J16" s="101"/>
      <c r="K16" s="124" t="s">
        <v>290</v>
      </c>
      <c r="L16" s="125" t="n">
        <f aca="false">$D$15</f>
        <v>4.2</v>
      </c>
      <c r="M16" s="125" t="n">
        <v>0.15</v>
      </c>
      <c r="N16" s="126" t="n">
        <f aca="false">2*$C$15</f>
        <v>2</v>
      </c>
      <c r="O16" s="126" t="n">
        <f aca="false">CEILING(L16/M16,1)+1</f>
        <v>29</v>
      </c>
      <c r="P16" s="126" t="n">
        <v>12</v>
      </c>
      <c r="Q16" s="127" t="n">
        <f aca="false">$F$15+(0.5-0.05+0.3)+0.1</f>
        <v>2.25347619047619</v>
      </c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str">
        <f aca="false">IF(P16=10,N16*O16*Q16*0.617*1,IF(P16&gt;10,"",IF(P16&lt;10,"")))</f>
        <v/>
      </c>
      <c r="U16" s="106" t="n">
        <f aca="false">IF(P16=12,N16*O16*Q16*0.888*1,IF(P16&gt;12,"",IF(P16&lt;12,"")))</f>
        <v>116.063037714286</v>
      </c>
      <c r="V16" s="107" t="str">
        <f aca="false">IF(P16=16,N16*O16*Q16*1.578*1,IF(P16&gt;16,"",IF(P16&lt;16,"")))</f>
        <v/>
      </c>
      <c r="W16" s="106" t="str">
        <f aca="false">IF(P16=20,N16*O16*Q16*2.466*1,IF(P16&gt;20,"",IF(P16&lt;20,"")))</f>
        <v/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191</v>
      </c>
      <c r="AP16" s="118" t="n">
        <f aca="false">SUM(R16:Y16)+SUM(AN16)</f>
        <v>116.063037714286</v>
      </c>
      <c r="AQ16" s="118" t="n">
        <f aca="false">SUM(AF16:AM16)</f>
        <v>0</v>
      </c>
      <c r="AR16" s="118"/>
      <c r="AS16" s="119" t="s">
        <v>283</v>
      </c>
      <c r="AT16" s="119" t="s">
        <v>162</v>
      </c>
    </row>
    <row r="17" customFormat="false" ht="13.5" hidden="false" customHeight="false" outlineLevel="0" collapsed="false">
      <c r="A17" s="129"/>
      <c r="B17" s="172"/>
      <c r="C17" s="110"/>
      <c r="D17" s="122"/>
      <c r="E17" s="122"/>
      <c r="F17" s="173"/>
      <c r="G17" s="123"/>
      <c r="H17" s="101"/>
      <c r="I17" s="123"/>
      <c r="J17" s="101"/>
      <c r="K17" s="124" t="s">
        <v>284</v>
      </c>
      <c r="L17" s="125" t="n">
        <f aca="false">$F$15</f>
        <v>1.40347619047619</v>
      </c>
      <c r="M17" s="125" t="n">
        <v>0.125</v>
      </c>
      <c r="N17" s="126" t="n">
        <f aca="false">2*$C$15</f>
        <v>2</v>
      </c>
      <c r="O17" s="126" t="n">
        <f aca="false">CEILING(L17/M17,1)+1</f>
        <v>13</v>
      </c>
      <c r="P17" s="126" t="n">
        <v>12</v>
      </c>
      <c r="Q17" s="127" t="n">
        <f aca="false">$D$15-2*0.035+2*0.15</f>
        <v>4.43</v>
      </c>
      <c r="R17" s="105" t="str">
        <f aca="false">IF(P17=6,N17*O17*Q17*0.222*1,IF(P17&gt;6,"",IF(P17&lt;6,"")))</f>
        <v/>
      </c>
      <c r="S17" s="106" t="str">
        <f aca="false">IF(P17=8,N17*O17*Q17*0.395*1,IF(P17&gt;8,"",IF(P17&lt;8,"")))</f>
        <v/>
      </c>
      <c r="T17" s="106" t="str">
        <f aca="false">IF(P17=10,N17*O17*Q17*0.617*1,IF(P17&gt;10,"",IF(P17&lt;10,"")))</f>
        <v/>
      </c>
      <c r="U17" s="106" t="n">
        <f aca="false">IF(P17=12,N17*O17*Q17*0.888*1,IF(P17&gt;12,"",IF(P17&lt;12,"")))</f>
        <v>102.27984</v>
      </c>
      <c r="V17" s="107" t="str">
        <f aca="false">IF(P17=16,N17*O17*Q17*1.578*1,IF(P17&gt;16,"",IF(P17&lt;16,"")))</f>
        <v/>
      </c>
      <c r="W17" s="106" t="str">
        <f aca="false">IF(P17=20,N17*O17*Q17*2.466*1,IF(P17&gt;20,"",IF(P17&lt;20,"")))</f>
        <v/>
      </c>
      <c r="X17" s="106" t="str">
        <f aca="false">IF(P17=25,N17*O17*Q17*3.853*1,IF(P17&gt;25,"",IF(P17&lt;25,"")))</f>
        <v/>
      </c>
      <c r="Y17" s="108" t="str">
        <f aca="false">IF(P17=32,N17*O17*Q17*6.313*1,IF(P17&gt;32,"",IF(P17&lt;32,"")))</f>
        <v/>
      </c>
      <c r="Z17" s="109"/>
      <c r="AA17" s="110" t="str">
        <f aca="false">IF(AC17&gt;0,N17,"")</f>
        <v/>
      </c>
      <c r="AB17" s="111" t="str">
        <f aca="false">IF(AC17&gt;0,O17,"")</f>
        <v/>
      </c>
      <c r="AC17" s="112"/>
      <c r="AD17" s="112"/>
      <c r="AE17" s="113" t="str">
        <f aca="false">IF(AC17&gt;0,P17,"")</f>
        <v/>
      </c>
      <c r="AF17" s="114" t="str">
        <f aca="false">IF(AE17=6,AA17*AB17*AC17*AD17*(AE17/1000)*0.222*1,IF(AE17&gt;6,"",IF(AE17&lt;6,"")))</f>
        <v/>
      </c>
      <c r="AG17" s="107" t="str">
        <f aca="false">IF(AE17=8,AA17*AB17*AC17*AD17*(AE17/1000)*0.395*1,IF(AE17&gt;8,"",IF(AE17&lt;8,"")))</f>
        <v/>
      </c>
      <c r="AH17" s="107" t="str">
        <f aca="false">IF(AE17=10,AA17*AB17*AC17*AD17*(AE17/1000)*0.617*1,IF(AE17&gt;10,"",IF(AE17&lt;10,"")))</f>
        <v/>
      </c>
      <c r="AI17" s="107" t="str">
        <f aca="false">IF(AE17=12,AA17*AB17*AC17*AD17*(AE17/1000)*0.888*1,IF(AE17&gt;12,"",IF(AE17&lt;12,"")))</f>
        <v/>
      </c>
      <c r="AJ17" s="107" t="str">
        <f aca="false">IF(AE17=16,AA17*AB17*AC17*AD17*(AE17/1000)*1.578*1,IF(AE17&gt;16,"",IF(AE17&lt;16,"")))</f>
        <v/>
      </c>
      <c r="AK17" s="107" t="str">
        <f aca="false">IF(AE17=20,AA17*AB17*AC17*AD17*(AE17/1000)*2.466*1,IF(AE17&gt;20,"",IF(AE17&lt;20,"")))</f>
        <v/>
      </c>
      <c r="AL17" s="107" t="str">
        <f aca="false">IF(AE17=25,AA17*AB17*AC17*AD17*(AE17/1000)*3.853*1,IF(AE17&gt;25,"",IF(AE17&lt;25,"")))</f>
        <v/>
      </c>
      <c r="AM17" s="115" t="str">
        <f aca="false">IF(AE17=32,AA17*AB17*AC17*AD17*(AE17/1000)*6.313*1,IF(AE17&gt;32,"",IF(AE17&lt;32,"")))</f>
        <v/>
      </c>
      <c r="AN17" s="128"/>
      <c r="AO17" s="117" t="s">
        <v>191</v>
      </c>
      <c r="AP17" s="118" t="n">
        <f aca="false">SUM(R17:Y17)+SUM(AN17)</f>
        <v>102.27984</v>
      </c>
      <c r="AQ17" s="118" t="n">
        <f aca="false">SUM(AF17:AM17)</f>
        <v>0</v>
      </c>
      <c r="AR17" s="118"/>
      <c r="AS17" s="119" t="s">
        <v>285</v>
      </c>
      <c r="AT17" s="119" t="s">
        <v>162</v>
      </c>
    </row>
    <row r="18" customFormat="false" ht="13.5" hidden="false" customHeight="false" outlineLevel="0" collapsed="false">
      <c r="A18" s="129"/>
      <c r="B18" s="130"/>
      <c r="C18" s="110"/>
      <c r="D18" s="122"/>
      <c r="E18" s="122"/>
      <c r="F18" s="122"/>
      <c r="G18" s="123"/>
      <c r="H18" s="101"/>
      <c r="I18" s="123"/>
      <c r="J18" s="101"/>
      <c r="K18" s="124"/>
      <c r="L18" s="125"/>
      <c r="M18" s="125"/>
      <c r="N18" s="126"/>
      <c r="O18" s="126"/>
      <c r="P18" s="126"/>
      <c r="Q18" s="127"/>
      <c r="R18" s="105"/>
      <c r="S18" s="106"/>
      <c r="T18" s="106"/>
      <c r="U18" s="106"/>
      <c r="V18" s="107"/>
      <c r="W18" s="106"/>
      <c r="X18" s="106"/>
      <c r="Y18" s="108"/>
      <c r="Z18" s="109"/>
      <c r="AA18" s="110"/>
      <c r="AB18" s="111"/>
      <c r="AC18" s="112"/>
      <c r="AD18" s="112"/>
      <c r="AE18" s="113"/>
      <c r="AF18" s="114"/>
      <c r="AG18" s="107"/>
      <c r="AH18" s="107"/>
      <c r="AI18" s="107"/>
      <c r="AJ18" s="107"/>
      <c r="AK18" s="107"/>
      <c r="AL18" s="107"/>
      <c r="AM18" s="115"/>
      <c r="AO18" s="117"/>
      <c r="AP18" s="118"/>
      <c r="AQ18" s="118"/>
      <c r="AR18" s="118"/>
      <c r="AS18" s="119"/>
      <c r="AT18" s="119"/>
    </row>
    <row r="19" customFormat="false" ht="13.5" hidden="false" customHeight="false" outlineLevel="0" collapsed="false">
      <c r="A19" s="120"/>
      <c r="B19" s="121" t="s">
        <v>291</v>
      </c>
      <c r="C19" s="110" t="n">
        <v>1</v>
      </c>
      <c r="D19" s="122" t="n">
        <v>4.225</v>
      </c>
      <c r="E19" s="122" t="n">
        <v>0.25</v>
      </c>
      <c r="F19" s="122" t="n">
        <f aca="false">3.4786/4.225</f>
        <v>0.823337278106509</v>
      </c>
      <c r="G19" s="123" t="n">
        <f aca="false">C19*D19*E19*F19</f>
        <v>0.86965</v>
      </c>
      <c r="H19" s="101"/>
      <c r="I19" s="123" t="n">
        <f aca="false">2*C19*D19*F19</f>
        <v>6.9572</v>
      </c>
      <c r="J19" s="101"/>
      <c r="K19" s="124"/>
      <c r="L19" s="125"/>
      <c r="M19" s="125"/>
      <c r="N19" s="126"/>
      <c r="O19" s="126"/>
      <c r="P19" s="126"/>
      <c r="Q19" s="127"/>
      <c r="R19" s="105" t="str">
        <f aca="false">IF(P19=6,N19*O19*Q19*0.222*1,IF(P19&gt;6,"",IF(P19&lt;6,"")))</f>
        <v/>
      </c>
      <c r="S19" s="106" t="str">
        <f aca="false">IF(P19=8,N19*O19*Q19*0.395*1,IF(P19&gt;8,"",IF(P19&lt;8,"")))</f>
        <v/>
      </c>
      <c r="T19" s="106" t="str">
        <f aca="false">IF(P19=10,N19*O19*Q19*0.617*1,IF(P19&gt;10,"",IF(P19&lt;10,"")))</f>
        <v/>
      </c>
      <c r="U19" s="106" t="str">
        <f aca="false">IF(P19=12,N19*O19*Q19*0.888*1,IF(P19&gt;12,"",IF(P19&lt;12,"")))</f>
        <v/>
      </c>
      <c r="V19" s="107" t="str">
        <f aca="false">IF(P19=16,N19*O19*Q19*1.578*1,IF(P19&gt;16,"",IF(P19&lt;16,"")))</f>
        <v/>
      </c>
      <c r="W19" s="106" t="str">
        <f aca="false">IF(P19=20,N19*O19*Q19*2.466*1,IF(P19&gt;20,"",IF(P19&lt;20,"")))</f>
        <v/>
      </c>
      <c r="X19" s="106" t="str">
        <f aca="false">IF(P19=25,N19*O19*Q19*3.853*1,IF(P19&gt;25,"",IF(P19&lt;25,"")))</f>
        <v/>
      </c>
      <c r="Y19" s="108" t="str">
        <f aca="false">IF(P19=32,N19*O19*Q19*6.313*1,IF(P19&gt;32,"",IF(P19&lt;32,"")))</f>
        <v/>
      </c>
      <c r="Z19" s="109"/>
      <c r="AA19" s="110" t="str">
        <f aca="false">IF(AC19&gt;0,N19,"")</f>
        <v/>
      </c>
      <c r="AB19" s="111" t="str">
        <f aca="false">IF(AC19&gt;0,O19,"")</f>
        <v/>
      </c>
      <c r="AC19" s="112"/>
      <c r="AD19" s="112"/>
      <c r="AE19" s="113" t="str">
        <f aca="false">IF(AC19&gt;0,P19,"")</f>
        <v/>
      </c>
      <c r="AF19" s="114" t="str">
        <f aca="false">IF(AE19=6,AA19*AB19*AC19*AD19*(AE19/1000)*0.222*1,IF(AE19&gt;6,"",IF(AE19&lt;6,"")))</f>
        <v/>
      </c>
      <c r="AG19" s="107" t="str">
        <f aca="false">IF(AE19=8,AA19*AB19*AC19*AD19*(AE19/1000)*0.395*1,IF(AE19&gt;8,"",IF(AE19&lt;8,"")))</f>
        <v/>
      </c>
      <c r="AH19" s="107" t="str">
        <f aca="false">IF(AE19=10,AA19*AB19*AC19*AD19*(AE19/1000)*0.617*1,IF(AE19&gt;10,"",IF(AE19&lt;10,"")))</f>
        <v/>
      </c>
      <c r="AI19" s="107" t="str">
        <f aca="false">IF(AE19=12,AA19*AB19*AC19*AD19*(AE19/1000)*0.888*1,IF(AE19&gt;12,"",IF(AE19&lt;12,"")))</f>
        <v/>
      </c>
      <c r="AJ19" s="107" t="str">
        <f aca="false">IF(AE19=16,AA19*AB19*AC19*AD19*(AE19/1000)*1.578*1,IF(AE19&gt;16,"",IF(AE19&lt;16,"")))</f>
        <v/>
      </c>
      <c r="AK19" s="107" t="str">
        <f aca="false">IF(AE19=20,AA19*AB19*AC19*AD19*(AE19/1000)*2.466*1,IF(AE19&gt;20,"",IF(AE19&lt;20,"")))</f>
        <v/>
      </c>
      <c r="AL19" s="107" t="str">
        <f aca="false">IF(AE19=25,AA19*AB19*AC19*AD19*(AE19/1000)*3.853*1,IF(AE19&gt;25,"",IF(AE19&lt;25,"")))</f>
        <v/>
      </c>
      <c r="AM19" s="115" t="str">
        <f aca="false">IF(AE19=32,AA19*AB19*AC19*AD19*(AE19/1000)*6.313*1,IF(AE19&gt;32,"",IF(AE19&lt;32,"")))</f>
        <v/>
      </c>
      <c r="AN19" s="128"/>
      <c r="AO19" s="117" t="s">
        <v>191</v>
      </c>
      <c r="AP19" s="118" t="n">
        <f aca="false">SUM(R19:Y19)+SUM(AN19)</f>
        <v>0</v>
      </c>
      <c r="AQ19" s="118" t="n">
        <f aca="false">SUM(AF19:AM19)</f>
        <v>0</v>
      </c>
      <c r="AR19" s="118" t="n">
        <v>0.8697</v>
      </c>
      <c r="AS19" s="119" t="s">
        <v>292</v>
      </c>
      <c r="AT19" s="119" t="s">
        <v>209</v>
      </c>
    </row>
    <row r="20" customFormat="false" ht="13.5" hidden="false" customHeight="false" outlineLevel="0" collapsed="false">
      <c r="A20" s="129"/>
      <c r="B20" s="172"/>
      <c r="C20" s="110"/>
      <c r="D20" s="122"/>
      <c r="E20" s="122"/>
      <c r="F20" s="173"/>
      <c r="G20" s="123"/>
      <c r="H20" s="101"/>
      <c r="I20" s="123"/>
      <c r="J20" s="101"/>
      <c r="K20" s="124" t="s">
        <v>290</v>
      </c>
      <c r="L20" s="125" t="n">
        <f aca="false">$D$19</f>
        <v>4.225</v>
      </c>
      <c r="M20" s="125" t="n">
        <v>0.15</v>
      </c>
      <c r="N20" s="126" t="n">
        <f aca="false">2*$C$19</f>
        <v>2</v>
      </c>
      <c r="O20" s="126" t="n">
        <f aca="false">CEILING(L20/M20,1)+1</f>
        <v>30</v>
      </c>
      <c r="P20" s="126" t="n">
        <v>12</v>
      </c>
      <c r="Q20" s="127" t="n">
        <f aca="false">$F$19+(0.4-0.05+0.3)+0.1</f>
        <v>1.57333727810651</v>
      </c>
      <c r="R20" s="105" t="str">
        <f aca="false">IF(P20=6,N20*O20*Q20*0.222*1,IF(P20&gt;6,"",IF(P20&lt;6,"")))</f>
        <v/>
      </c>
      <c r="S20" s="106" t="str">
        <f aca="false">IF(P20=8,N20*O20*Q20*0.395*1,IF(P20&gt;8,"",IF(P20&lt;8,"")))</f>
        <v/>
      </c>
      <c r="T20" s="106" t="str">
        <f aca="false">IF(P20=10,N20*O20*Q20*0.617*1,IF(P20&gt;10,"",IF(P20&lt;10,"")))</f>
        <v/>
      </c>
      <c r="U20" s="106" t="n">
        <f aca="false">IF(P20=12,N20*O20*Q20*0.888*1,IF(P20&gt;12,"",IF(P20&lt;12,"")))</f>
        <v>83.8274101775148</v>
      </c>
      <c r="V20" s="107" t="str">
        <f aca="false">IF(P20=16,N20*O20*Q20*1.578*1,IF(P20&gt;16,"",IF(P20&lt;16,"")))</f>
        <v/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str">
        <f aca="false">IF(AC20&gt;0,N20,"")</f>
        <v/>
      </c>
      <c r="AB20" s="111" t="str">
        <f aca="false">IF(AC20&gt;0,O20,"")</f>
        <v/>
      </c>
      <c r="AC20" s="112"/>
      <c r="AD20" s="112"/>
      <c r="AE20" s="113" t="str">
        <f aca="false">IF(AC20&gt;0,P20,"")</f>
        <v/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str">
        <f aca="false">IF(AE20=12,AA20*AB20*AC20*AD20*(AE20/1000)*0.888*1,IF(AE20&gt;12,"",IF(AE20&lt;12,"")))</f>
        <v/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191</v>
      </c>
      <c r="AP20" s="118" t="n">
        <f aca="false">SUM(R20:Y20)+SUM(AN20)</f>
        <v>83.8274101775148</v>
      </c>
      <c r="AQ20" s="118" t="n">
        <f aca="false">SUM(AF20:AM20)</f>
        <v>0</v>
      </c>
      <c r="AR20" s="118"/>
      <c r="AS20" s="119" t="s">
        <v>283</v>
      </c>
      <c r="AT20" s="119" t="s">
        <v>162</v>
      </c>
    </row>
    <row r="21" customFormat="false" ht="13.5" hidden="false" customHeight="false" outlineLevel="0" collapsed="false">
      <c r="A21" s="129"/>
      <c r="B21" s="172"/>
      <c r="C21" s="110"/>
      <c r="D21" s="122"/>
      <c r="E21" s="122"/>
      <c r="F21" s="173"/>
      <c r="G21" s="123"/>
      <c r="H21" s="101"/>
      <c r="I21" s="123"/>
      <c r="J21" s="101"/>
      <c r="K21" s="124" t="s">
        <v>284</v>
      </c>
      <c r="L21" s="125" t="n">
        <f aca="false">$F$19</f>
        <v>0.823337278106509</v>
      </c>
      <c r="M21" s="125" t="n">
        <v>0.125</v>
      </c>
      <c r="N21" s="126" t="n">
        <f aca="false">2*$C$19</f>
        <v>2</v>
      </c>
      <c r="O21" s="126" t="n">
        <f aca="false">CEILING(L21/M21,1)+1</f>
        <v>8</v>
      </c>
      <c r="P21" s="126" t="n">
        <v>12</v>
      </c>
      <c r="Q21" s="127" t="n">
        <f aca="false">$D$19-2*0.035+2*0.15</f>
        <v>4.455</v>
      </c>
      <c r="R21" s="105" t="str">
        <f aca="false">IF(P21=6,N21*O21*Q21*0.222*1,IF(P21&gt;6,"",IF(P21&lt;6,"")))</f>
        <v/>
      </c>
      <c r="S21" s="106" t="str">
        <f aca="false">IF(P21=8,N21*O21*Q21*0.395*1,IF(P21&gt;8,"",IF(P21&lt;8,"")))</f>
        <v/>
      </c>
      <c r="T21" s="106" t="str">
        <f aca="false">IF(P21=10,N21*O21*Q21*0.617*1,IF(P21&gt;10,"",IF(P21&lt;10,"")))</f>
        <v/>
      </c>
      <c r="U21" s="106" t="n">
        <f aca="false">IF(P21=12,N21*O21*Q21*0.888*1,IF(P21&gt;12,"",IF(P21&lt;12,"")))</f>
        <v>63.29664</v>
      </c>
      <c r="V21" s="107" t="str">
        <f aca="false">IF(P21=16,N21*O21*Q21*1.578*1,IF(P21&gt;16,"",IF(P21&lt;16,"")))</f>
        <v/>
      </c>
      <c r="W21" s="106" t="str">
        <f aca="false">IF(P21=20,N21*O21*Q21*2.466*1,IF(P21&gt;20,"",IF(P21&lt;20,"")))</f>
        <v/>
      </c>
      <c r="X21" s="106" t="str">
        <f aca="false">IF(P21=25,N21*O21*Q21*3.853*1,IF(P21&gt;25,"",IF(P21&lt;25,"")))</f>
        <v/>
      </c>
      <c r="Y21" s="108" t="str">
        <f aca="false">IF(P21=32,N21*O21*Q21*6.313*1,IF(P21&gt;32,"",IF(P21&lt;32,"")))</f>
        <v/>
      </c>
      <c r="Z21" s="109"/>
      <c r="AA21" s="110" t="str">
        <f aca="false">IF(AC21&gt;0,N21,"")</f>
        <v/>
      </c>
      <c r="AB21" s="111" t="str">
        <f aca="false">IF(AC21&gt;0,O21,"")</f>
        <v/>
      </c>
      <c r="AC21" s="112"/>
      <c r="AD21" s="112"/>
      <c r="AE21" s="113" t="str">
        <f aca="false">IF(AC21&gt;0,P21,"")</f>
        <v/>
      </c>
      <c r="AF21" s="114" t="str">
        <f aca="false">IF(AE21=6,AA21*AB21*AC21*AD21*(AE21/1000)*0.222*1,IF(AE21&gt;6,"",IF(AE21&lt;6,"")))</f>
        <v/>
      </c>
      <c r="AG21" s="107" t="str">
        <f aca="false">IF(AE21=8,AA21*AB21*AC21*AD21*(AE21/1000)*0.395*1,IF(AE21&gt;8,"",IF(AE21&lt;8,"")))</f>
        <v/>
      </c>
      <c r="AH21" s="107" t="str">
        <f aca="false">IF(AE21=10,AA21*AB21*AC21*AD21*(AE21/1000)*0.617*1,IF(AE21&gt;10,"",IF(AE21&lt;10,"")))</f>
        <v/>
      </c>
      <c r="AI21" s="107" t="str">
        <f aca="false">IF(AE21=12,AA21*AB21*AC21*AD21*(AE21/1000)*0.888*1,IF(AE21&gt;12,"",IF(AE21&lt;12,"")))</f>
        <v/>
      </c>
      <c r="AJ21" s="107" t="str">
        <f aca="false">IF(AE21=16,AA21*AB21*AC21*AD21*(AE21/1000)*1.578*1,IF(AE21&gt;16,"",IF(AE21&lt;16,"")))</f>
        <v/>
      </c>
      <c r="AK21" s="107" t="str">
        <f aca="false">IF(AE21=20,AA21*AB21*AC21*AD21*(AE21/1000)*2.466*1,IF(AE21&gt;20,"",IF(AE21&lt;20,"")))</f>
        <v/>
      </c>
      <c r="AL21" s="107" t="str">
        <f aca="false">IF(AE21=25,AA21*AB21*AC21*AD21*(AE21/1000)*3.853*1,IF(AE21&gt;25,"",IF(AE21&lt;25,"")))</f>
        <v/>
      </c>
      <c r="AM21" s="115" t="str">
        <f aca="false">IF(AE21=32,AA21*AB21*AC21*AD21*(AE21/1000)*6.313*1,IF(AE21&gt;32,"",IF(AE21&lt;32,"")))</f>
        <v/>
      </c>
      <c r="AN21" s="128"/>
      <c r="AO21" s="117" t="s">
        <v>191</v>
      </c>
      <c r="AP21" s="118" t="n">
        <f aca="false">SUM(R21:Y21)+SUM(AN21)</f>
        <v>63.29664</v>
      </c>
      <c r="AQ21" s="118" t="n">
        <f aca="false">SUM(AF21:AM21)</f>
        <v>0</v>
      </c>
      <c r="AR21" s="118"/>
      <c r="AS21" s="119" t="s">
        <v>285</v>
      </c>
      <c r="AT21" s="119" t="s">
        <v>162</v>
      </c>
    </row>
    <row r="22" customFormat="false" ht="13.5" hidden="false" customHeight="false" outlineLevel="0" collapsed="false">
      <c r="A22" s="129"/>
      <c r="B22" s="130"/>
      <c r="C22" s="110"/>
      <c r="D22" s="122"/>
      <c r="E22" s="122"/>
      <c r="F22" s="122"/>
      <c r="G22" s="123"/>
      <c r="H22" s="101"/>
      <c r="I22" s="123"/>
      <c r="J22" s="101"/>
      <c r="K22" s="124"/>
      <c r="L22" s="125"/>
      <c r="M22" s="125"/>
      <c r="N22" s="126"/>
      <c r="O22" s="126"/>
      <c r="P22" s="126"/>
      <c r="Q22" s="127"/>
      <c r="R22" s="105"/>
      <c r="S22" s="106"/>
      <c r="T22" s="106"/>
      <c r="U22" s="106"/>
      <c r="V22" s="107"/>
      <c r="W22" s="106"/>
      <c r="X22" s="106"/>
      <c r="Y22" s="108"/>
      <c r="Z22" s="109"/>
      <c r="AA22" s="110"/>
      <c r="AB22" s="111"/>
      <c r="AC22" s="112"/>
      <c r="AD22" s="112"/>
      <c r="AE22" s="113"/>
      <c r="AF22" s="114"/>
      <c r="AG22" s="107"/>
      <c r="AH22" s="107"/>
      <c r="AI22" s="107"/>
      <c r="AJ22" s="107"/>
      <c r="AK22" s="107"/>
      <c r="AL22" s="107"/>
      <c r="AM22" s="115"/>
      <c r="AO22" s="117"/>
      <c r="AP22" s="118"/>
      <c r="AQ22" s="118"/>
      <c r="AR22" s="118"/>
      <c r="AS22" s="119"/>
      <c r="AT22" s="119"/>
    </row>
    <row r="23" customFormat="false" ht="13.5" hidden="false" customHeight="false" outlineLevel="0" collapsed="false">
      <c r="A23" s="129"/>
      <c r="B23" s="130"/>
      <c r="C23" s="110"/>
      <c r="D23" s="122"/>
      <c r="E23" s="122"/>
      <c r="F23" s="122"/>
      <c r="G23" s="123"/>
      <c r="H23" s="101"/>
      <c r="I23" s="123"/>
      <c r="J23" s="101"/>
      <c r="K23" s="124"/>
      <c r="L23" s="125"/>
      <c r="M23" s="125"/>
      <c r="N23" s="126"/>
      <c r="O23" s="126"/>
      <c r="P23" s="126"/>
      <c r="Q23" s="127"/>
      <c r="R23" s="105"/>
      <c r="S23" s="106"/>
      <c r="T23" s="106"/>
      <c r="U23" s="106"/>
      <c r="V23" s="107"/>
      <c r="W23" s="106"/>
      <c r="X23" s="106"/>
      <c r="Y23" s="108"/>
      <c r="Z23" s="109"/>
      <c r="AA23" s="110"/>
      <c r="AB23" s="111"/>
      <c r="AC23" s="112"/>
      <c r="AD23" s="112"/>
      <c r="AE23" s="113"/>
      <c r="AF23" s="114"/>
      <c r="AG23" s="107"/>
      <c r="AH23" s="107"/>
      <c r="AI23" s="107"/>
      <c r="AJ23" s="107"/>
      <c r="AK23" s="107"/>
      <c r="AL23" s="107"/>
      <c r="AM23" s="115"/>
      <c r="AO23" s="117"/>
      <c r="AP23" s="118"/>
      <c r="AQ23" s="118"/>
      <c r="AR23" s="118"/>
      <c r="AS23" s="119"/>
      <c r="AT23" s="119"/>
    </row>
    <row r="24" customFormat="false" ht="13.5" hidden="false" customHeight="false" outlineLevel="0" collapsed="false">
      <c r="A24" s="131"/>
      <c r="B24" s="132"/>
      <c r="C24" s="133" t="s">
        <v>196</v>
      </c>
      <c r="D24" s="133"/>
      <c r="E24" s="133"/>
      <c r="F24" s="133"/>
      <c r="G24" s="134" t="n">
        <f aca="false">SUM(G6:G22)</f>
        <v>5.256375</v>
      </c>
      <c r="H24" s="135"/>
      <c r="I24" s="136"/>
      <c r="J24" s="137"/>
      <c r="K24" s="137"/>
      <c r="L24" s="137"/>
      <c r="M24" s="137"/>
      <c r="N24" s="138"/>
      <c r="O24" s="139" t="s">
        <v>197</v>
      </c>
      <c r="P24" s="139"/>
      <c r="Q24" s="139"/>
      <c r="R24" s="140" t="n">
        <f aca="false">SUM(R6:R22)</f>
        <v>0</v>
      </c>
      <c r="S24" s="140" t="n">
        <f aca="false">SUM(S6:S22)</f>
        <v>0</v>
      </c>
      <c r="T24" s="140" t="n">
        <f aca="false">SUM(T6:T22)</f>
        <v>0</v>
      </c>
      <c r="U24" s="140" t="n">
        <f aca="false">SUM(U6:U22)</f>
        <v>806.162305336155</v>
      </c>
      <c r="V24" s="140" t="n">
        <f aca="false">SUM(V6:V22)</f>
        <v>0</v>
      </c>
      <c r="W24" s="140" t="n">
        <f aca="false">SUM(W6:W22)</f>
        <v>0</v>
      </c>
      <c r="X24" s="140" t="n">
        <f aca="false">SUM(X6:X22)</f>
        <v>0</v>
      </c>
      <c r="Y24" s="140" t="n">
        <f aca="false">SUM(Y6:Y22)</f>
        <v>0</v>
      </c>
      <c r="Z24" s="141"/>
      <c r="AA24" s="142"/>
      <c r="AB24" s="143" t="s">
        <v>197</v>
      </c>
      <c r="AC24" s="143"/>
      <c r="AD24" s="143"/>
      <c r="AE24" s="143"/>
      <c r="AF24" s="140" t="n">
        <f aca="false">SUM(AF6:AF22)</f>
        <v>0</v>
      </c>
      <c r="AG24" s="140" t="n">
        <f aca="false">SUM(AG6:AG22)</f>
        <v>0</v>
      </c>
      <c r="AH24" s="140" t="n">
        <f aca="false">SUM(AH6:AH22)</f>
        <v>0</v>
      </c>
      <c r="AI24" s="140" t="n">
        <f aca="false">SUM(AI6:AI22)</f>
        <v>0</v>
      </c>
      <c r="AJ24" s="140" t="n">
        <f aca="false">SUM(AJ6:AJ22)</f>
        <v>0</v>
      </c>
      <c r="AK24" s="140" t="n">
        <f aca="false">SUM(AK6:AK22)</f>
        <v>0</v>
      </c>
      <c r="AL24" s="140" t="n">
        <f aca="false">SUM(AL6:AL22)</f>
        <v>0</v>
      </c>
      <c r="AM24" s="140" t="n">
        <f aca="false">SUM(AM6:AM22)</f>
        <v>0</v>
      </c>
      <c r="AN24" s="144" t="n">
        <f aca="false">SUM(AN6:AN22)</f>
        <v>0</v>
      </c>
      <c r="AO24" s="117"/>
      <c r="AP24" s="118"/>
      <c r="AQ24" s="118"/>
      <c r="AR24" s="118"/>
      <c r="AS24" s="119"/>
      <c r="AT24" s="119"/>
    </row>
    <row r="25" customFormat="false" ht="13.5" hidden="false" customHeight="false" outlineLevel="0" collapsed="false">
      <c r="A25" s="131" t="s">
        <v>198</v>
      </c>
      <c r="B25" s="95"/>
      <c r="C25" s="145" t="s">
        <v>199</v>
      </c>
      <c r="D25" s="145"/>
      <c r="E25" s="145"/>
      <c r="F25" s="145"/>
      <c r="G25" s="146" t="n">
        <f aca="false">SUM(I6:I22)</f>
        <v>42.051</v>
      </c>
      <c r="H25" s="147"/>
      <c r="I25" s="136"/>
      <c r="J25" s="148"/>
      <c r="K25" s="137"/>
      <c r="L25" s="137"/>
      <c r="M25" s="137"/>
      <c r="N25" s="138"/>
      <c r="O25" s="149" t="s">
        <v>200</v>
      </c>
      <c r="P25" s="149"/>
      <c r="Q25" s="149"/>
      <c r="R25" s="150" t="n">
        <f aca="false">SUM(R24:Y24)+AN24</f>
        <v>806.162305336155</v>
      </c>
      <c r="S25" s="150"/>
      <c r="T25" s="150"/>
      <c r="U25" s="150"/>
      <c r="V25" s="150"/>
      <c r="W25" s="150"/>
      <c r="X25" s="150"/>
      <c r="Y25" s="150"/>
      <c r="Z25" s="151"/>
      <c r="AA25" s="152"/>
      <c r="AB25" s="153" t="s">
        <v>200</v>
      </c>
      <c r="AC25" s="153"/>
      <c r="AD25" s="153"/>
      <c r="AE25" s="153"/>
      <c r="AF25" s="150" t="n">
        <f aca="false">SUM(AF24:AM24)</f>
        <v>0</v>
      </c>
      <c r="AG25" s="150"/>
      <c r="AH25" s="150"/>
      <c r="AI25" s="150"/>
      <c r="AJ25" s="150"/>
      <c r="AK25" s="150"/>
      <c r="AL25" s="150"/>
      <c r="AM25" s="150"/>
      <c r="AN25" s="154"/>
      <c r="AO25" s="117"/>
      <c r="AP25" s="118"/>
      <c r="AQ25" s="118"/>
      <c r="AR25" s="118"/>
      <c r="AS25" s="119"/>
      <c r="AT25" s="119"/>
    </row>
    <row r="26" customFormat="false" ht="13.5" hidden="false" customHeight="false" outlineLevel="0" collapsed="false">
      <c r="A26" s="155"/>
      <c r="B26" s="156"/>
      <c r="C26" s="157" t="s">
        <v>201</v>
      </c>
      <c r="D26" s="157"/>
      <c r="E26" s="157"/>
      <c r="F26" s="157"/>
      <c r="G26" s="158" t="n">
        <f aca="false">IF(G24&gt;0,G25/G24,0)</f>
        <v>8</v>
      </c>
      <c r="H26" s="159"/>
      <c r="I26" s="160"/>
      <c r="J26" s="160"/>
      <c r="K26" s="160"/>
      <c r="L26" s="160"/>
      <c r="M26" s="160"/>
      <c r="N26" s="161"/>
      <c r="O26" s="162" t="s">
        <v>202</v>
      </c>
      <c r="P26" s="162"/>
      <c r="Q26" s="162"/>
      <c r="R26" s="163" t="n">
        <f aca="false">IF(G24&gt;0,R25/G24,0)</f>
        <v>153.368491657493</v>
      </c>
      <c r="S26" s="164"/>
      <c r="T26" s="165"/>
      <c r="U26" s="165"/>
      <c r="V26" s="165"/>
      <c r="W26" s="165"/>
      <c r="X26" s="165"/>
      <c r="Y26" s="166"/>
      <c r="Z26" s="141"/>
      <c r="AA26" s="167"/>
      <c r="AB26" s="168" t="s">
        <v>203</v>
      </c>
      <c r="AC26" s="168"/>
      <c r="AD26" s="168"/>
      <c r="AE26" s="168"/>
      <c r="AF26" s="163" t="n">
        <f aca="false">IF(G24&gt;0,AF25/G24,0)</f>
        <v>0</v>
      </c>
      <c r="AG26" s="164"/>
      <c r="AH26" s="165"/>
      <c r="AI26" s="165"/>
      <c r="AJ26" s="169" t="s">
        <v>204</v>
      </c>
      <c r="AK26" s="169"/>
      <c r="AL26" s="169"/>
      <c r="AM26" s="170" t="n">
        <f aca="false">IF(R25&gt;0,AF25/R25,0)</f>
        <v>0</v>
      </c>
      <c r="AN26" s="44"/>
      <c r="AO26" s="117"/>
      <c r="AP26" s="118"/>
      <c r="AQ26" s="118"/>
      <c r="AR26" s="118"/>
      <c r="AS26" s="119"/>
      <c r="AT26" s="119"/>
    </row>
    <row r="57" s="116" customFormat="true" ht="13.5" hidden="false" customHeight="false" outlineLevel="0" collapsed="false"/>
    <row r="71" s="116" customFormat="true" ht="13.5" hidden="false" customHeight="false" outlineLevel="0" collapsed="false"/>
    <row r="95" s="116" customFormat="true" ht="13.5" hidden="false" customHeight="false" outlineLevel="0" collapsed="false"/>
    <row r="170" s="116" customFormat="true" ht="13.5" hidden="false" customHeight="false" outlineLevel="0" collapsed="false"/>
    <row r="182" s="55" customFormat="true" ht="13.5" hidden="false" customHeight="false" outlineLevel="0" collapsed="false"/>
    <row r="183" s="55" customFormat="true" ht="13.5" hidden="false" customHeight="false" outlineLevel="0" collapsed="false"/>
    <row r="184" s="55" customFormat="true" ht="13.5" hidden="false" customHeight="false" outlineLevel="0" collapsed="false"/>
    <row r="187" s="55" customFormat="true" ht="13.5" hidden="false" customHeight="false" outlineLevel="0" collapsed="false"/>
    <row r="188" s="95" customFormat="true" ht="13.5" hidden="false" customHeight="false" outlineLevel="0" collapsed="false"/>
    <row r="189" s="116" customFormat="true" ht="13.5" hidden="false" customHeight="false" outlineLevel="0" collapsed="false"/>
    <row r="214" s="55" customFormat="true" ht="13.5" hidden="false" customHeight="false" outlineLevel="0" collapsed="false"/>
    <row r="215" s="55" customFormat="true" ht="13.5" hidden="false" customHeight="false" outlineLevel="0" collapsed="false"/>
    <row r="216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24:F24"/>
    <mergeCell ref="O24:Q24"/>
    <mergeCell ref="AB24:AE24"/>
    <mergeCell ref="C25:F25"/>
    <mergeCell ref="O25:Q25"/>
    <mergeCell ref="R25:Y25"/>
    <mergeCell ref="AB25:AE25"/>
    <mergeCell ref="AF25:AM25"/>
    <mergeCell ref="C26:F26"/>
    <mergeCell ref="O26:Q26"/>
    <mergeCell ref="AB26:AE26"/>
    <mergeCell ref="AJ26:AL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6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7.66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3.5" hidden="false" customHeight="false" outlineLevel="0" collapsed="false">
      <c r="A6" s="96"/>
      <c r="B6" s="97" t="s">
        <v>293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294</v>
      </c>
      <c r="C7" s="110" t="n">
        <v>2</v>
      </c>
      <c r="D7" s="122" t="n">
        <v>0.4</v>
      </c>
      <c r="E7" s="122" t="n">
        <v>0.5</v>
      </c>
      <c r="F7" s="122" t="n">
        <f aca="false">0.914/(0.4*0.5)</f>
        <v>4.57</v>
      </c>
      <c r="G7" s="123" t="n">
        <f aca="false">C7*D7*E7*F7</f>
        <v>1.828</v>
      </c>
      <c r="H7" s="101"/>
      <c r="I7" s="123" t="n">
        <f aca="false">C7*F7*2*E7</f>
        <v>9.14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170</v>
      </c>
      <c r="AP7" s="118" t="n">
        <f aca="false">SUM(R7:Y7)+SUM(AN7)</f>
        <v>0</v>
      </c>
      <c r="AQ7" s="118" t="n">
        <f aca="false">SUM(AF7:AM7)</f>
        <v>0</v>
      </c>
      <c r="AR7" s="118" t="n">
        <v>1.828</v>
      </c>
      <c r="AS7" s="119" t="s">
        <v>295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296</v>
      </c>
      <c r="L8" s="125"/>
      <c r="M8" s="125"/>
      <c r="N8" s="126" t="n">
        <f aca="false">$C$7</f>
        <v>2</v>
      </c>
      <c r="O8" s="126" t="n">
        <v>5</v>
      </c>
      <c r="P8" s="126" t="n">
        <v>20</v>
      </c>
      <c r="Q8" s="127" t="n">
        <f aca="false">4.57+2*50*20/1000</f>
        <v>6.57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n">
        <f aca="false">IF(P8=20,N8*O8*Q8*2.466*1,IF(P8&gt;20,"",IF(P8&lt;20,"")))</f>
        <v>162.0162</v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170</v>
      </c>
      <c r="AP8" s="118" t="n">
        <f aca="false">SUM(R8:Y8)+SUM(AN8)</f>
        <v>162.0162</v>
      </c>
      <c r="AQ8" s="118" t="n">
        <f aca="false">SUM(AF8:AM8)</f>
        <v>0</v>
      </c>
      <c r="AR8" s="118"/>
      <c r="AS8" s="119" t="s">
        <v>297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298</v>
      </c>
      <c r="L9" s="125"/>
      <c r="M9" s="125"/>
      <c r="N9" s="126" t="n">
        <f aca="false">$C$7</f>
        <v>2</v>
      </c>
      <c r="O9" s="126" t="n">
        <v>5</v>
      </c>
      <c r="P9" s="126" t="n">
        <v>20</v>
      </c>
      <c r="Q9" s="127" t="n">
        <f aca="false">4.57+2*50*20/1000</f>
        <v>6.57</v>
      </c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n">
        <f aca="false">IF(P9=20,N9*O9*Q9*2.466*1,IF(P9&gt;20,"",IF(P9&lt;20,"")))</f>
        <v>162.0162</v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170</v>
      </c>
      <c r="AP9" s="118" t="n">
        <f aca="false">SUM(R9:Y9)+SUM(AN9)</f>
        <v>162.0162</v>
      </c>
      <c r="AQ9" s="118" t="n">
        <f aca="false">SUM(AF9:AM9)</f>
        <v>0</v>
      </c>
      <c r="AR9" s="118"/>
      <c r="AS9" s="119" t="s">
        <v>297</v>
      </c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299</v>
      </c>
      <c r="L10" s="125" t="n">
        <f aca="false">$F$7</f>
        <v>4.57</v>
      </c>
      <c r="M10" s="125" t="n">
        <v>0.15</v>
      </c>
      <c r="N10" s="126" t="n">
        <f aca="false">$C$7</f>
        <v>2</v>
      </c>
      <c r="O10" s="126" t="n">
        <f aca="false">CEILING(L10/M10,1)+1</f>
        <v>32</v>
      </c>
      <c r="P10" s="126" t="n">
        <v>8</v>
      </c>
      <c r="Q10" s="127" t="n">
        <f aca="false">2*($D$7-2*0.05)+2*($E$7-2*0.05)+20*8/1000</f>
        <v>1.56</v>
      </c>
      <c r="R10" s="105" t="str">
        <f aca="false">IF(P10=6,N10*O10*Q10*0.222*1,IF(P10&gt;6,"",IF(P10&lt;6,"")))</f>
        <v/>
      </c>
      <c r="S10" s="106" t="n">
        <f aca="false">IF(P10=8,N10*O10*Q10*0.395*1,IF(P10&gt;8,"",IF(P10&lt;8,"")))</f>
        <v>39.4368</v>
      </c>
      <c r="T10" s="106" t="str">
        <f aca="false">IF(P10=10,N10*O10*Q10*0.617*1,IF(P10&gt;10,"",IF(P10&lt;10,"")))</f>
        <v/>
      </c>
      <c r="U10" s="106" t="str">
        <f aca="false">IF(P10=12,N10*O10*Q10*0.888*1,IF(P10&gt;12,"",IF(P10&lt;12,"")))</f>
        <v/>
      </c>
      <c r="V10" s="107" t="str">
        <f aca="false">IF(P10=16,N10*O10*Q10*1.578*1,IF(P10&gt;16,"",IF(P10&lt;16,"")))</f>
        <v/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170</v>
      </c>
      <c r="AP10" s="118" t="n">
        <f aca="false">SUM(R10:Y10)+SUM(AN10)</f>
        <v>39.4368</v>
      </c>
      <c r="AQ10" s="118" t="n">
        <f aca="false">SUM(AF10:AM10)</f>
        <v>0</v>
      </c>
      <c r="AR10" s="118"/>
      <c r="AS10" s="119" t="s">
        <v>300</v>
      </c>
      <c r="AT10" s="119" t="s">
        <v>162</v>
      </c>
    </row>
    <row r="11" customFormat="false" ht="13.5" hidden="false" customHeight="false" outlineLevel="0" collapsed="false">
      <c r="A11" s="129"/>
      <c r="B11" s="172"/>
      <c r="C11" s="110"/>
      <c r="D11" s="122"/>
      <c r="E11" s="122"/>
      <c r="F11" s="173"/>
      <c r="G11" s="123"/>
      <c r="H11" s="101"/>
      <c r="I11" s="123"/>
      <c r="J11" s="101"/>
      <c r="K11" s="124" t="s">
        <v>301</v>
      </c>
      <c r="L11" s="125" t="n">
        <f aca="false">$F$7</f>
        <v>4.57</v>
      </c>
      <c r="M11" s="125" t="n">
        <v>0.15</v>
      </c>
      <c r="N11" s="126" t="n">
        <f aca="false">$C$7</f>
        <v>2</v>
      </c>
      <c r="O11" s="126" t="n">
        <f aca="false">CEILING(L11/M11,1)+1</f>
        <v>32</v>
      </c>
      <c r="P11" s="126" t="n">
        <v>8</v>
      </c>
      <c r="Q11" s="127" t="n">
        <f aca="false">($D$7-2*0.05)+2*($E$7-2*0.05)+20*8/1000</f>
        <v>1.26</v>
      </c>
      <c r="R11" s="105" t="str">
        <f aca="false">IF(P11=6,N11*O11*Q11*0.222*1,IF(P11&gt;6,"",IF(P11&lt;6,"")))</f>
        <v/>
      </c>
      <c r="S11" s="106" t="n">
        <f aca="false">IF(P11=8,N11*O11*Q11*0.395*1,IF(P11&gt;8,"",IF(P11&lt;8,"")))</f>
        <v>31.8528</v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str">
        <f aca="false">IF(P11=16,N11*O11*Q11*1.578*1,IF(P11&gt;16,"",IF(P11&lt;16,"")))</f>
        <v/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170</v>
      </c>
      <c r="AP11" s="118" t="n">
        <f aca="false">SUM(R11:Y11)+SUM(AN11)</f>
        <v>31.8528</v>
      </c>
      <c r="AQ11" s="118" t="n">
        <f aca="false">SUM(AF11:AM11)</f>
        <v>0</v>
      </c>
      <c r="AR11" s="118"/>
      <c r="AS11" s="119" t="s">
        <v>300</v>
      </c>
      <c r="AT11" s="119" t="s">
        <v>173</v>
      </c>
    </row>
    <row r="12" customFormat="false" ht="13.5" hidden="false" customHeight="false" outlineLevel="0" collapsed="false">
      <c r="A12" s="129"/>
      <c r="B12" s="130"/>
      <c r="C12" s="110"/>
      <c r="D12" s="122"/>
      <c r="E12" s="122"/>
      <c r="F12" s="122"/>
      <c r="G12" s="123"/>
      <c r="H12" s="101"/>
      <c r="I12" s="123"/>
      <c r="J12" s="101"/>
      <c r="K12" s="124"/>
      <c r="L12" s="125"/>
      <c r="M12" s="125"/>
      <c r="N12" s="126"/>
      <c r="O12" s="126"/>
      <c r="P12" s="126"/>
      <c r="Q12" s="127"/>
      <c r="R12" s="105"/>
      <c r="S12" s="106"/>
      <c r="T12" s="106"/>
      <c r="U12" s="106"/>
      <c r="V12" s="107"/>
      <c r="W12" s="106"/>
      <c r="X12" s="106"/>
      <c r="Y12" s="108"/>
      <c r="Z12" s="109"/>
      <c r="AA12" s="110"/>
      <c r="AB12" s="111"/>
      <c r="AC12" s="112"/>
      <c r="AD12" s="112"/>
      <c r="AE12" s="113"/>
      <c r="AF12" s="114"/>
      <c r="AG12" s="107"/>
      <c r="AH12" s="107"/>
      <c r="AI12" s="107"/>
      <c r="AJ12" s="107"/>
      <c r="AK12" s="107"/>
      <c r="AL12" s="107"/>
      <c r="AM12" s="115"/>
      <c r="AO12" s="117"/>
      <c r="AP12" s="118"/>
      <c r="AQ12" s="118"/>
      <c r="AR12" s="118"/>
      <c r="AS12" s="119"/>
      <c r="AT12" s="119"/>
    </row>
    <row r="13" s="116" customFormat="true" ht="19.4" hidden="false" customHeight="false" outlineLevel="0" collapsed="false">
      <c r="A13" s="96"/>
      <c r="B13" s="97" t="s">
        <v>302</v>
      </c>
      <c r="C13" s="98"/>
      <c r="D13" s="99"/>
      <c r="E13" s="99"/>
      <c r="F13" s="99"/>
      <c r="G13" s="100"/>
      <c r="H13" s="101"/>
      <c r="I13" s="100"/>
      <c r="J13" s="101"/>
      <c r="K13" s="102"/>
      <c r="L13" s="103"/>
      <c r="M13" s="103"/>
      <c r="N13" s="104"/>
      <c r="O13" s="104"/>
      <c r="P13" s="104"/>
      <c r="Q13" s="100"/>
      <c r="R13" s="105"/>
      <c r="S13" s="106"/>
      <c r="T13" s="106"/>
      <c r="U13" s="106"/>
      <c r="V13" s="107"/>
      <c r="W13" s="106"/>
      <c r="X13" s="106"/>
      <c r="Y13" s="108"/>
      <c r="Z13" s="109"/>
      <c r="AA13" s="110"/>
      <c r="AB13" s="111"/>
      <c r="AC13" s="112"/>
      <c r="AD13" s="112"/>
      <c r="AE13" s="113"/>
      <c r="AF13" s="114"/>
      <c r="AG13" s="107"/>
      <c r="AH13" s="107"/>
      <c r="AI13" s="107"/>
      <c r="AJ13" s="107"/>
      <c r="AK13" s="107"/>
      <c r="AL13" s="107"/>
      <c r="AM13" s="115"/>
      <c r="AO13" s="117"/>
      <c r="AP13" s="118"/>
      <c r="AQ13" s="118"/>
      <c r="AR13" s="118"/>
      <c r="AS13" s="119"/>
      <c r="AT13" s="119"/>
    </row>
    <row r="14" customFormat="false" ht="13.5" hidden="false" customHeight="false" outlineLevel="0" collapsed="false">
      <c r="A14" s="120"/>
      <c r="B14" s="121" t="s">
        <v>303</v>
      </c>
      <c r="C14" s="110" t="n">
        <v>1</v>
      </c>
      <c r="D14" s="122" t="n">
        <v>0.24</v>
      </c>
      <c r="E14" s="122" t="n">
        <v>0.5</v>
      </c>
      <c r="F14" s="122" t="n">
        <f aca="false">0.7906/(0.24*0.5)</f>
        <v>6.58833333333333</v>
      </c>
      <c r="G14" s="123" t="n">
        <f aca="false">C14*D14*E14*F14</f>
        <v>0.7906</v>
      </c>
      <c r="H14" s="101"/>
      <c r="I14" s="123" t="n">
        <f aca="false">C14*F14*2*E14</f>
        <v>6.58833333333333</v>
      </c>
      <c r="J14" s="101"/>
      <c r="K14" s="124"/>
      <c r="L14" s="125"/>
      <c r="M14" s="125"/>
      <c r="N14" s="126"/>
      <c r="O14" s="126"/>
      <c r="P14" s="126"/>
      <c r="Q14" s="127"/>
      <c r="R14" s="105" t="str">
        <f aca="false">IF(P14=6,N14*O14*Q14*0.222*1,IF(P14&gt;6,"",IF(P14&lt;6,"")))</f>
        <v/>
      </c>
      <c r="S14" s="106" t="str">
        <f aca="false">IF(P14=8,N14*O14*Q14*0.395*1,IF(P14&gt;8,"",IF(P14&lt;8,"")))</f>
        <v/>
      </c>
      <c r="T14" s="106" t="str">
        <f aca="false">IF(P14=10,N14*O14*Q14*0.617*1,IF(P14&gt;10,"",IF(P14&lt;10,"")))</f>
        <v/>
      </c>
      <c r="U14" s="106" t="str">
        <f aca="false">IF(P14=12,N14*O14*Q14*0.888*1,IF(P14&gt;12,"",IF(P14&lt;12,"")))</f>
        <v/>
      </c>
      <c r="V14" s="107" t="str">
        <f aca="false">IF(P14=16,N14*O14*Q14*1.578*1,IF(P14&gt;16,"",IF(P14&lt;16,"")))</f>
        <v/>
      </c>
      <c r="W14" s="106" t="str">
        <f aca="false">IF(P14=20,N14*O14*Q14*2.466*1,IF(P14&gt;20,"",IF(P14&lt;20,"")))</f>
        <v/>
      </c>
      <c r="X14" s="106" t="str">
        <f aca="false">IF(P14=25,N14*O14*Q14*3.853*1,IF(P14&gt;25,"",IF(P14&lt;25,"")))</f>
        <v/>
      </c>
      <c r="Y14" s="108" t="str">
        <f aca="false">IF(P14=32,N14*O14*Q14*6.313*1,IF(P14&gt;32,"",IF(P14&lt;32,"")))</f>
        <v/>
      </c>
      <c r="Z14" s="109"/>
      <c r="AA14" s="110" t="str">
        <f aca="false">IF(AC14&gt;0,N14,"")</f>
        <v/>
      </c>
      <c r="AB14" s="111" t="str">
        <f aca="false">IF(AC14&gt;0,O14,"")</f>
        <v/>
      </c>
      <c r="AC14" s="112"/>
      <c r="AD14" s="112"/>
      <c r="AE14" s="113" t="str">
        <f aca="false">IF(AC14&gt;0,P14,"")</f>
        <v/>
      </c>
      <c r="AF14" s="114" t="str">
        <f aca="false">IF(AE14=6,AA14*AB14*AC14*AD14*(AE14/1000)*0.222*1,IF(AE14&gt;6,"",IF(AE14&lt;6,"")))</f>
        <v/>
      </c>
      <c r="AG14" s="107" t="str">
        <f aca="false">IF(AE14=8,AA14*AB14*AC14*AD14*(AE14/1000)*0.395*1,IF(AE14&gt;8,"",IF(AE14&lt;8,"")))</f>
        <v/>
      </c>
      <c r="AH14" s="107" t="str">
        <f aca="false">IF(AE14=10,AA14*AB14*AC14*AD14*(AE14/1000)*0.617*1,IF(AE14&gt;10,"",IF(AE14&lt;10,"")))</f>
        <v/>
      </c>
      <c r="AI14" s="107" t="str">
        <f aca="false">IF(AE14=12,AA14*AB14*AC14*AD14*(AE14/1000)*0.888*1,IF(AE14&gt;12,"",IF(AE14&lt;12,"")))</f>
        <v/>
      </c>
      <c r="AJ14" s="107" t="str">
        <f aca="false">IF(AE14=16,AA14*AB14*AC14*AD14*(AE14/1000)*1.578*1,IF(AE14&gt;16,"",IF(AE14&lt;16,"")))</f>
        <v/>
      </c>
      <c r="AK14" s="107" t="str">
        <f aca="false">IF(AE14=20,AA14*AB14*AC14*AD14*(AE14/1000)*2.466*1,IF(AE14&gt;20,"",IF(AE14&lt;20,"")))</f>
        <v/>
      </c>
      <c r="AL14" s="107" t="str">
        <f aca="false">IF(AE14=25,AA14*AB14*AC14*AD14*(AE14/1000)*3.853*1,IF(AE14&gt;25,"",IF(AE14&lt;25,"")))</f>
        <v/>
      </c>
      <c r="AM14" s="115" t="str">
        <f aca="false">IF(AE14=32,AA14*AB14*AC14*AD14*(AE14/1000)*6.313*1,IF(AE14&gt;32,"",IF(AE14&lt;32,"")))</f>
        <v/>
      </c>
      <c r="AN14" s="128"/>
      <c r="AO14" s="117" t="s">
        <v>178</v>
      </c>
      <c r="AP14" s="118" t="n">
        <f aca="false">SUM(R14:Y14)+SUM(AN14)</f>
        <v>0</v>
      </c>
      <c r="AQ14" s="118" t="n">
        <f aca="false">SUM(AF14:AM14)</f>
        <v>0</v>
      </c>
      <c r="AR14" s="118" t="n">
        <v>0.7906</v>
      </c>
      <c r="AS14" s="119" t="s">
        <v>304</v>
      </c>
      <c r="AT14" s="119" t="s">
        <v>209</v>
      </c>
    </row>
    <row r="15" customFormat="false" ht="13.5" hidden="false" customHeight="false" outlineLevel="0" collapsed="false">
      <c r="A15" s="129"/>
      <c r="B15" s="172"/>
      <c r="C15" s="110"/>
      <c r="D15" s="122"/>
      <c r="E15" s="122"/>
      <c r="F15" s="173"/>
      <c r="G15" s="123"/>
      <c r="H15" s="101"/>
      <c r="I15" s="123"/>
      <c r="J15" s="101"/>
      <c r="K15" s="124" t="s">
        <v>305</v>
      </c>
      <c r="L15" s="125"/>
      <c r="M15" s="125"/>
      <c r="N15" s="126" t="n">
        <f aca="false">$C$14</f>
        <v>1</v>
      </c>
      <c r="O15" s="126" t="n">
        <v>3</v>
      </c>
      <c r="P15" s="126" t="n">
        <v>16</v>
      </c>
      <c r="Q15" s="127" t="n">
        <f aca="false">7.0887+2*50*16/1000</f>
        <v>8.6887</v>
      </c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str">
        <f aca="false">IF(P15=10,N15*O15*Q15*0.617*1,IF(P15&gt;10,"",IF(P15&lt;10,"")))</f>
        <v/>
      </c>
      <c r="U15" s="106" t="str">
        <f aca="false">IF(P15=12,N15*O15*Q15*0.888*1,IF(P15&gt;12,"",IF(P15&lt;12,"")))</f>
        <v/>
      </c>
      <c r="V15" s="107" t="n">
        <f aca="false">IF(P15=16,N15*O15*Q15*1.578*1,IF(P15&gt;16,"",IF(P15&lt;16,"")))</f>
        <v>41.1323058</v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178</v>
      </c>
      <c r="AP15" s="118" t="n">
        <f aca="false">SUM(R15:Y15)+SUM(AN15)</f>
        <v>41.1323058</v>
      </c>
      <c r="AQ15" s="118" t="n">
        <f aca="false">SUM(AF15:AM15)</f>
        <v>0</v>
      </c>
      <c r="AR15" s="118"/>
      <c r="AS15" s="119"/>
      <c r="AT15" s="119" t="s">
        <v>162</v>
      </c>
    </row>
    <row r="16" customFormat="false" ht="13.5" hidden="false" customHeight="false" outlineLevel="0" collapsed="false">
      <c r="A16" s="129"/>
      <c r="B16" s="172"/>
      <c r="C16" s="110"/>
      <c r="D16" s="122"/>
      <c r="E16" s="122"/>
      <c r="F16" s="173"/>
      <c r="G16" s="123"/>
      <c r="H16" s="101"/>
      <c r="I16" s="123"/>
      <c r="J16" s="101"/>
      <c r="K16" s="124" t="s">
        <v>306</v>
      </c>
      <c r="L16" s="125"/>
      <c r="M16" s="125"/>
      <c r="N16" s="126" t="n">
        <f aca="false">$C$14</f>
        <v>1</v>
      </c>
      <c r="O16" s="126" t="n">
        <v>3</v>
      </c>
      <c r="P16" s="126" t="n">
        <v>16</v>
      </c>
      <c r="Q16" s="127" t="n">
        <f aca="false">7.0887+2*50*16/1000</f>
        <v>8.6887</v>
      </c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str">
        <f aca="false">IF(P16=10,N16*O16*Q16*0.617*1,IF(P16&gt;10,"",IF(P16&lt;10,"")))</f>
        <v/>
      </c>
      <c r="U16" s="106" t="str">
        <f aca="false">IF(P16=12,N16*O16*Q16*0.888*1,IF(P16&gt;12,"",IF(P16&lt;12,"")))</f>
        <v/>
      </c>
      <c r="V16" s="107" t="n">
        <f aca="false">IF(P16=16,N16*O16*Q16*1.578*1,IF(P16&gt;16,"",IF(P16&lt;16,"")))</f>
        <v>41.1323058</v>
      </c>
      <c r="W16" s="106" t="str">
        <f aca="false">IF(P16=20,N16*O16*Q16*2.466*1,IF(P16&gt;20,"",IF(P16&lt;20,"")))</f>
        <v/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178</v>
      </c>
      <c r="AP16" s="118" t="n">
        <f aca="false">SUM(R16:Y16)+SUM(AN16)</f>
        <v>41.1323058</v>
      </c>
      <c r="AQ16" s="118" t="n">
        <f aca="false">SUM(AF16:AM16)</f>
        <v>0</v>
      </c>
      <c r="AR16" s="118"/>
      <c r="AS16" s="119"/>
      <c r="AT16" s="119" t="s">
        <v>162</v>
      </c>
    </row>
    <row r="17" customFormat="false" ht="13.5" hidden="false" customHeight="false" outlineLevel="0" collapsed="false">
      <c r="A17" s="129"/>
      <c r="B17" s="172"/>
      <c r="C17" s="110"/>
      <c r="D17" s="122"/>
      <c r="E17" s="122"/>
      <c r="F17" s="173"/>
      <c r="G17" s="123"/>
      <c r="H17" s="101"/>
      <c r="I17" s="123"/>
      <c r="J17" s="101"/>
      <c r="K17" s="124" t="s">
        <v>307</v>
      </c>
      <c r="L17" s="125" t="n">
        <f aca="false">$F$14</f>
        <v>6.58833333333333</v>
      </c>
      <c r="M17" s="125" t="n">
        <v>0.15</v>
      </c>
      <c r="N17" s="126" t="n">
        <f aca="false">$C$14</f>
        <v>1</v>
      </c>
      <c r="O17" s="126" t="n">
        <f aca="false">CEILING(L17/M17,1)+1</f>
        <v>45</v>
      </c>
      <c r="P17" s="126" t="n">
        <v>8</v>
      </c>
      <c r="Q17" s="127" t="n">
        <f aca="false">2*($D$14-2*0.05)+2*($E$14-2*0.05)+20*8/1000</f>
        <v>1.24</v>
      </c>
      <c r="R17" s="105" t="str">
        <f aca="false">IF(P17=6,N17*O17*Q17*0.222*1,IF(P17&gt;6,"",IF(P17&lt;6,"")))</f>
        <v/>
      </c>
      <c r="S17" s="106" t="n">
        <f aca="false">IF(P17=8,N17*O17*Q17*0.395*1,IF(P17&gt;8,"",IF(P17&lt;8,"")))</f>
        <v>22.041</v>
      </c>
      <c r="T17" s="106" t="str">
        <f aca="false">IF(P17=10,N17*O17*Q17*0.617*1,IF(P17&gt;10,"",IF(P17&lt;10,"")))</f>
        <v/>
      </c>
      <c r="U17" s="106" t="str">
        <f aca="false">IF(P17=12,N17*O17*Q17*0.888*1,IF(P17&gt;12,"",IF(P17&lt;12,"")))</f>
        <v/>
      </c>
      <c r="V17" s="107" t="str">
        <f aca="false">IF(P17=16,N17*O17*Q17*1.578*1,IF(P17&gt;16,"",IF(P17&lt;16,"")))</f>
        <v/>
      </c>
      <c r="W17" s="106" t="str">
        <f aca="false">IF(P17=20,N17*O17*Q17*2.466*1,IF(P17&gt;20,"",IF(P17&lt;20,"")))</f>
        <v/>
      </c>
      <c r="X17" s="106" t="str">
        <f aca="false">IF(P17=25,N17*O17*Q17*3.853*1,IF(P17&gt;25,"",IF(P17&lt;25,"")))</f>
        <v/>
      </c>
      <c r="Y17" s="108" t="str">
        <f aca="false">IF(P17=32,N17*O17*Q17*6.313*1,IF(P17&gt;32,"",IF(P17&lt;32,"")))</f>
        <v/>
      </c>
      <c r="Z17" s="109"/>
      <c r="AA17" s="110" t="str">
        <f aca="false">IF(AC17&gt;0,N17,"")</f>
        <v/>
      </c>
      <c r="AB17" s="111" t="str">
        <f aca="false">IF(AC17&gt;0,O17,"")</f>
        <v/>
      </c>
      <c r="AC17" s="112"/>
      <c r="AD17" s="112"/>
      <c r="AE17" s="113" t="str">
        <f aca="false">IF(AC17&gt;0,P17,"")</f>
        <v/>
      </c>
      <c r="AF17" s="114" t="str">
        <f aca="false">IF(AE17=6,AA17*AB17*AC17*AD17*(AE17/1000)*0.222*1,IF(AE17&gt;6,"",IF(AE17&lt;6,"")))</f>
        <v/>
      </c>
      <c r="AG17" s="107" t="str">
        <f aca="false">IF(AE17=8,AA17*AB17*AC17*AD17*(AE17/1000)*0.395*1,IF(AE17&gt;8,"",IF(AE17&lt;8,"")))</f>
        <v/>
      </c>
      <c r="AH17" s="107" t="str">
        <f aca="false">IF(AE17=10,AA17*AB17*AC17*AD17*(AE17/1000)*0.617*1,IF(AE17&gt;10,"",IF(AE17&lt;10,"")))</f>
        <v/>
      </c>
      <c r="AI17" s="107" t="str">
        <f aca="false">IF(AE17=12,AA17*AB17*AC17*AD17*(AE17/1000)*0.888*1,IF(AE17&gt;12,"",IF(AE17&lt;12,"")))</f>
        <v/>
      </c>
      <c r="AJ17" s="107" t="str">
        <f aca="false">IF(AE17=16,AA17*AB17*AC17*AD17*(AE17/1000)*1.578*1,IF(AE17&gt;16,"",IF(AE17&lt;16,"")))</f>
        <v/>
      </c>
      <c r="AK17" s="107" t="str">
        <f aca="false">IF(AE17=20,AA17*AB17*AC17*AD17*(AE17/1000)*2.466*1,IF(AE17&gt;20,"",IF(AE17&lt;20,"")))</f>
        <v/>
      </c>
      <c r="AL17" s="107" t="str">
        <f aca="false">IF(AE17=25,AA17*AB17*AC17*AD17*(AE17/1000)*3.853*1,IF(AE17&gt;25,"",IF(AE17&lt;25,"")))</f>
        <v/>
      </c>
      <c r="AM17" s="115" t="str">
        <f aca="false">IF(AE17=32,AA17*AB17*AC17*AD17*(AE17/1000)*6.313*1,IF(AE17&gt;32,"",IF(AE17&lt;32,"")))</f>
        <v/>
      </c>
      <c r="AN17" s="128"/>
      <c r="AO17" s="117" t="s">
        <v>178</v>
      </c>
      <c r="AP17" s="118" t="n">
        <f aca="false">SUM(R17:Y17)+SUM(AN17)</f>
        <v>22.041</v>
      </c>
      <c r="AQ17" s="118" t="n">
        <f aca="false">SUM(AF17:AM17)</f>
        <v>0</v>
      </c>
      <c r="AR17" s="118"/>
      <c r="AS17" s="119"/>
      <c r="AT17" s="119" t="s">
        <v>162</v>
      </c>
    </row>
    <row r="18" customFormat="false" ht="13.5" hidden="false" customHeight="false" outlineLevel="0" collapsed="false">
      <c r="A18" s="120"/>
      <c r="B18" s="121" t="s">
        <v>308</v>
      </c>
      <c r="C18" s="110" t="n">
        <v>1</v>
      </c>
      <c r="D18" s="122" t="n">
        <v>0.24</v>
      </c>
      <c r="E18" s="122" t="n">
        <v>0.5</v>
      </c>
      <c r="F18" s="122" t="n">
        <f aca="false">0.549/(0.24*0.5)</f>
        <v>4.575</v>
      </c>
      <c r="G18" s="123" t="n">
        <f aca="false">C18*D18*E18*F18</f>
        <v>0.549</v>
      </c>
      <c r="H18" s="101"/>
      <c r="I18" s="123" t="n">
        <f aca="false">C18*F18*2*E18</f>
        <v>4.575</v>
      </c>
      <c r="J18" s="101"/>
      <c r="K18" s="124"/>
      <c r="L18" s="125"/>
      <c r="M18" s="125"/>
      <c r="N18" s="126"/>
      <c r="O18" s="126"/>
      <c r="P18" s="126"/>
      <c r="Q18" s="127"/>
      <c r="R18" s="105" t="str">
        <f aca="false">IF(P18=6,N18*O18*Q18*0.222*1,IF(P18&gt;6,"",IF(P18&lt;6,"")))</f>
        <v/>
      </c>
      <c r="S18" s="106" t="str">
        <f aca="false">IF(P18=8,N18*O18*Q18*0.395*1,IF(P18&gt;8,"",IF(P18&lt;8,"")))</f>
        <v/>
      </c>
      <c r="T18" s="106" t="str">
        <f aca="false">IF(P18=10,N18*O18*Q18*0.617*1,IF(P18&gt;10,"",IF(P18&lt;10,"")))</f>
        <v/>
      </c>
      <c r="U18" s="106" t="str">
        <f aca="false">IF(P18=12,N18*O18*Q18*0.888*1,IF(P18&gt;12,"",IF(P18&lt;12,"")))</f>
        <v/>
      </c>
      <c r="V18" s="107" t="str">
        <f aca="false">IF(P18=16,N18*O18*Q18*1.578*1,IF(P18&gt;16,"",IF(P18&lt;16,"")))</f>
        <v/>
      </c>
      <c r="W18" s="106" t="str">
        <f aca="false">IF(P18=20,N18*O18*Q18*2.466*1,IF(P18&gt;20,"",IF(P18&lt;20,"")))</f>
        <v/>
      </c>
      <c r="X18" s="106" t="str">
        <f aca="false">IF(P18=25,N18*O18*Q18*3.853*1,IF(P18&gt;25,"",IF(P18&lt;25,"")))</f>
        <v/>
      </c>
      <c r="Y18" s="108" t="str">
        <f aca="false">IF(P18=32,N18*O18*Q18*6.313*1,IF(P18&gt;32,"",IF(P18&lt;32,"")))</f>
        <v/>
      </c>
      <c r="Z18" s="109"/>
      <c r="AA18" s="110" t="str">
        <f aca="false">IF(AC18&gt;0,N18,"")</f>
        <v/>
      </c>
      <c r="AB18" s="111" t="str">
        <f aca="false">IF(AC18&gt;0,O18,"")</f>
        <v/>
      </c>
      <c r="AC18" s="112"/>
      <c r="AD18" s="112"/>
      <c r="AE18" s="113" t="str">
        <f aca="false">IF(AC18&gt;0,P18,"")</f>
        <v/>
      </c>
      <c r="AF18" s="114" t="str">
        <f aca="false">IF(AE18=6,AA18*AB18*AC18*AD18*(AE18/1000)*0.222*1,IF(AE18&gt;6,"",IF(AE18&lt;6,"")))</f>
        <v/>
      </c>
      <c r="AG18" s="107" t="str">
        <f aca="false">IF(AE18=8,AA18*AB18*AC18*AD18*(AE18/1000)*0.395*1,IF(AE18&gt;8,"",IF(AE18&lt;8,"")))</f>
        <v/>
      </c>
      <c r="AH18" s="107" t="str">
        <f aca="false">IF(AE18=10,AA18*AB18*AC18*AD18*(AE18/1000)*0.617*1,IF(AE18&gt;10,"",IF(AE18&lt;10,"")))</f>
        <v/>
      </c>
      <c r="AI18" s="107" t="str">
        <f aca="false">IF(AE18=12,AA18*AB18*AC18*AD18*(AE18/1000)*0.888*1,IF(AE18&gt;12,"",IF(AE18&lt;12,"")))</f>
        <v/>
      </c>
      <c r="AJ18" s="107" t="str">
        <f aca="false">IF(AE18=16,AA18*AB18*AC18*AD18*(AE18/1000)*1.578*1,IF(AE18&gt;16,"",IF(AE18&lt;16,"")))</f>
        <v/>
      </c>
      <c r="AK18" s="107" t="str">
        <f aca="false">IF(AE18=20,AA18*AB18*AC18*AD18*(AE18/1000)*2.466*1,IF(AE18&gt;20,"",IF(AE18&lt;20,"")))</f>
        <v/>
      </c>
      <c r="AL18" s="107" t="str">
        <f aca="false">IF(AE18=25,AA18*AB18*AC18*AD18*(AE18/1000)*3.853*1,IF(AE18&gt;25,"",IF(AE18&lt;25,"")))</f>
        <v/>
      </c>
      <c r="AM18" s="115" t="str">
        <f aca="false">IF(AE18=32,AA18*AB18*AC18*AD18*(AE18/1000)*6.313*1,IF(AE18&gt;32,"",IF(AE18&lt;32,"")))</f>
        <v/>
      </c>
      <c r="AN18" s="128"/>
      <c r="AO18" s="117" t="s">
        <v>178</v>
      </c>
      <c r="AP18" s="118" t="n">
        <f aca="false">SUM(R18:Y18)+SUM(AN18)</f>
        <v>0</v>
      </c>
      <c r="AQ18" s="118" t="n">
        <f aca="false">SUM(AF18:AM18)</f>
        <v>0</v>
      </c>
      <c r="AR18" s="118" t="n">
        <v>0.549</v>
      </c>
      <c r="AS18" s="119" t="s">
        <v>309</v>
      </c>
      <c r="AT18" s="119" t="s">
        <v>209</v>
      </c>
    </row>
    <row r="19" customFormat="false" ht="13.5" hidden="false" customHeight="false" outlineLevel="0" collapsed="false">
      <c r="A19" s="129"/>
      <c r="B19" s="172"/>
      <c r="C19" s="110"/>
      <c r="D19" s="122"/>
      <c r="E19" s="122"/>
      <c r="F19" s="173"/>
      <c r="G19" s="123"/>
      <c r="H19" s="101"/>
      <c r="I19" s="123"/>
      <c r="J19" s="101"/>
      <c r="K19" s="124" t="s">
        <v>305</v>
      </c>
      <c r="L19" s="125"/>
      <c r="M19" s="125"/>
      <c r="N19" s="126" t="n">
        <f aca="false">$C$18</f>
        <v>1</v>
      </c>
      <c r="O19" s="126" t="n">
        <v>3</v>
      </c>
      <c r="P19" s="126" t="n">
        <v>16</v>
      </c>
      <c r="Q19" s="127" t="n">
        <f aca="false">5.3877+2*50*16/1000</f>
        <v>6.9877</v>
      </c>
      <c r="R19" s="105" t="str">
        <f aca="false">IF(P19=6,N19*O19*Q19*0.222*1,IF(P19&gt;6,"",IF(P19&lt;6,"")))</f>
        <v/>
      </c>
      <c r="S19" s="106" t="str">
        <f aca="false">IF(P19=8,N19*O19*Q19*0.395*1,IF(P19&gt;8,"",IF(P19&lt;8,"")))</f>
        <v/>
      </c>
      <c r="T19" s="106" t="str">
        <f aca="false">IF(P19=10,N19*O19*Q19*0.617*1,IF(P19&gt;10,"",IF(P19&lt;10,"")))</f>
        <v/>
      </c>
      <c r="U19" s="106" t="str">
        <f aca="false">IF(P19=12,N19*O19*Q19*0.888*1,IF(P19&gt;12,"",IF(P19&lt;12,"")))</f>
        <v/>
      </c>
      <c r="V19" s="107" t="n">
        <f aca="false">IF(P19=16,N19*O19*Q19*1.578*1,IF(P19&gt;16,"",IF(P19&lt;16,"")))</f>
        <v>33.0797718</v>
      </c>
      <c r="W19" s="106" t="str">
        <f aca="false">IF(P19=20,N19*O19*Q19*2.466*1,IF(P19&gt;20,"",IF(P19&lt;20,"")))</f>
        <v/>
      </c>
      <c r="X19" s="106" t="str">
        <f aca="false">IF(P19=25,N19*O19*Q19*3.853*1,IF(P19&gt;25,"",IF(P19&lt;25,"")))</f>
        <v/>
      </c>
      <c r="Y19" s="108" t="str">
        <f aca="false">IF(P19=32,N19*O19*Q19*6.313*1,IF(P19&gt;32,"",IF(P19&lt;32,"")))</f>
        <v/>
      </c>
      <c r="Z19" s="109"/>
      <c r="AA19" s="110" t="str">
        <f aca="false">IF(AC19&gt;0,N19,"")</f>
        <v/>
      </c>
      <c r="AB19" s="111" t="str">
        <f aca="false">IF(AC19&gt;0,O19,"")</f>
        <v/>
      </c>
      <c r="AC19" s="112"/>
      <c r="AD19" s="112"/>
      <c r="AE19" s="113" t="str">
        <f aca="false">IF(AC19&gt;0,P19,"")</f>
        <v/>
      </c>
      <c r="AF19" s="114" t="str">
        <f aca="false">IF(AE19=6,AA19*AB19*AC19*AD19*(AE19/1000)*0.222*1,IF(AE19&gt;6,"",IF(AE19&lt;6,"")))</f>
        <v/>
      </c>
      <c r="AG19" s="107" t="str">
        <f aca="false">IF(AE19=8,AA19*AB19*AC19*AD19*(AE19/1000)*0.395*1,IF(AE19&gt;8,"",IF(AE19&lt;8,"")))</f>
        <v/>
      </c>
      <c r="AH19" s="107" t="str">
        <f aca="false">IF(AE19=10,AA19*AB19*AC19*AD19*(AE19/1000)*0.617*1,IF(AE19&gt;10,"",IF(AE19&lt;10,"")))</f>
        <v/>
      </c>
      <c r="AI19" s="107" t="str">
        <f aca="false">IF(AE19=12,AA19*AB19*AC19*AD19*(AE19/1000)*0.888*1,IF(AE19&gt;12,"",IF(AE19&lt;12,"")))</f>
        <v/>
      </c>
      <c r="AJ19" s="107" t="str">
        <f aca="false">IF(AE19=16,AA19*AB19*AC19*AD19*(AE19/1000)*1.578*1,IF(AE19&gt;16,"",IF(AE19&lt;16,"")))</f>
        <v/>
      </c>
      <c r="AK19" s="107" t="str">
        <f aca="false">IF(AE19=20,AA19*AB19*AC19*AD19*(AE19/1000)*2.466*1,IF(AE19&gt;20,"",IF(AE19&lt;20,"")))</f>
        <v/>
      </c>
      <c r="AL19" s="107" t="str">
        <f aca="false">IF(AE19=25,AA19*AB19*AC19*AD19*(AE19/1000)*3.853*1,IF(AE19&gt;25,"",IF(AE19&lt;25,"")))</f>
        <v/>
      </c>
      <c r="AM19" s="115" t="str">
        <f aca="false">IF(AE19=32,AA19*AB19*AC19*AD19*(AE19/1000)*6.313*1,IF(AE19&gt;32,"",IF(AE19&lt;32,"")))</f>
        <v/>
      </c>
      <c r="AN19" s="128"/>
      <c r="AO19" s="117" t="s">
        <v>178</v>
      </c>
      <c r="AP19" s="118" t="n">
        <f aca="false">SUM(R19:Y19)+SUM(AN19)</f>
        <v>33.0797718</v>
      </c>
      <c r="AQ19" s="118" t="n">
        <f aca="false">SUM(AF19:AM19)</f>
        <v>0</v>
      </c>
      <c r="AR19" s="118"/>
      <c r="AS19" s="119"/>
      <c r="AT19" s="119" t="s">
        <v>162</v>
      </c>
    </row>
    <row r="20" customFormat="false" ht="13.5" hidden="false" customHeight="false" outlineLevel="0" collapsed="false">
      <c r="A20" s="129"/>
      <c r="B20" s="172"/>
      <c r="C20" s="110"/>
      <c r="D20" s="122"/>
      <c r="E20" s="122"/>
      <c r="F20" s="173"/>
      <c r="G20" s="123"/>
      <c r="H20" s="101"/>
      <c r="I20" s="123"/>
      <c r="J20" s="101"/>
      <c r="K20" s="124" t="s">
        <v>306</v>
      </c>
      <c r="L20" s="125"/>
      <c r="M20" s="125"/>
      <c r="N20" s="126" t="n">
        <f aca="false">$C$18</f>
        <v>1</v>
      </c>
      <c r="O20" s="126" t="n">
        <v>3</v>
      </c>
      <c r="P20" s="126" t="n">
        <v>16</v>
      </c>
      <c r="Q20" s="127" t="n">
        <f aca="false">5.3877+2*50*16/1000</f>
        <v>6.9877</v>
      </c>
      <c r="R20" s="105" t="str">
        <f aca="false">IF(P20=6,N20*O20*Q20*0.222*1,IF(P20&gt;6,"",IF(P20&lt;6,"")))</f>
        <v/>
      </c>
      <c r="S20" s="106" t="str">
        <f aca="false">IF(P20=8,N20*O20*Q20*0.395*1,IF(P20&gt;8,"",IF(P20&lt;8,"")))</f>
        <v/>
      </c>
      <c r="T20" s="106" t="str">
        <f aca="false">IF(P20=10,N20*O20*Q20*0.617*1,IF(P20&gt;10,"",IF(P20&lt;10,"")))</f>
        <v/>
      </c>
      <c r="U20" s="106" t="str">
        <f aca="false">IF(P20=12,N20*O20*Q20*0.888*1,IF(P20&gt;12,"",IF(P20&lt;12,"")))</f>
        <v/>
      </c>
      <c r="V20" s="107" t="n">
        <f aca="false">IF(P20=16,N20*O20*Q20*1.578*1,IF(P20&gt;16,"",IF(P20&lt;16,"")))</f>
        <v>33.0797718</v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str">
        <f aca="false">IF(AC20&gt;0,N20,"")</f>
        <v/>
      </c>
      <c r="AB20" s="111" t="str">
        <f aca="false">IF(AC20&gt;0,O20,"")</f>
        <v/>
      </c>
      <c r="AC20" s="112"/>
      <c r="AD20" s="112"/>
      <c r="AE20" s="113" t="str">
        <f aca="false">IF(AC20&gt;0,P20,"")</f>
        <v/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str">
        <f aca="false">IF(AE20=12,AA20*AB20*AC20*AD20*(AE20/1000)*0.888*1,IF(AE20&gt;12,"",IF(AE20&lt;12,"")))</f>
        <v/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178</v>
      </c>
      <c r="AP20" s="118" t="n">
        <f aca="false">SUM(R20:Y20)+SUM(AN20)</f>
        <v>33.0797718</v>
      </c>
      <c r="AQ20" s="118" t="n">
        <f aca="false">SUM(AF20:AM20)</f>
        <v>0</v>
      </c>
      <c r="AR20" s="118"/>
      <c r="AS20" s="119"/>
      <c r="AT20" s="119" t="s">
        <v>162</v>
      </c>
    </row>
    <row r="21" customFormat="false" ht="13.5" hidden="false" customHeight="false" outlineLevel="0" collapsed="false">
      <c r="A21" s="129"/>
      <c r="B21" s="172"/>
      <c r="C21" s="110"/>
      <c r="D21" s="122"/>
      <c r="E21" s="122"/>
      <c r="F21" s="173"/>
      <c r="G21" s="123"/>
      <c r="H21" s="101"/>
      <c r="I21" s="123"/>
      <c r="J21" s="101"/>
      <c r="K21" s="124" t="s">
        <v>307</v>
      </c>
      <c r="L21" s="125" t="n">
        <f aca="false">$F$18</f>
        <v>4.575</v>
      </c>
      <c r="M21" s="125" t="n">
        <v>0.15</v>
      </c>
      <c r="N21" s="126" t="n">
        <f aca="false">$C$18</f>
        <v>1</v>
      </c>
      <c r="O21" s="126" t="n">
        <f aca="false">CEILING(L21/M21,1)+1</f>
        <v>32</v>
      </c>
      <c r="P21" s="126" t="n">
        <v>8</v>
      </c>
      <c r="Q21" s="127" t="n">
        <f aca="false">2*($D$18-2*0.05)+2*($E$18-2*0.05)+20*8/1000</f>
        <v>1.24</v>
      </c>
      <c r="R21" s="105" t="str">
        <f aca="false">IF(P21=6,N21*O21*Q21*0.222*1,IF(P21&gt;6,"",IF(P21&lt;6,"")))</f>
        <v/>
      </c>
      <c r="S21" s="106" t="n">
        <f aca="false">IF(P21=8,N21*O21*Q21*0.395*1,IF(P21&gt;8,"",IF(P21&lt;8,"")))</f>
        <v>15.6736</v>
      </c>
      <c r="T21" s="106" t="str">
        <f aca="false">IF(P21=10,N21*O21*Q21*0.617*1,IF(P21&gt;10,"",IF(P21&lt;10,"")))</f>
        <v/>
      </c>
      <c r="U21" s="106" t="str">
        <f aca="false">IF(P21=12,N21*O21*Q21*0.888*1,IF(P21&gt;12,"",IF(P21&lt;12,"")))</f>
        <v/>
      </c>
      <c r="V21" s="107" t="str">
        <f aca="false">IF(P21=16,N21*O21*Q21*1.578*1,IF(P21&gt;16,"",IF(P21&lt;16,"")))</f>
        <v/>
      </c>
      <c r="W21" s="106" t="str">
        <f aca="false">IF(P21=20,N21*O21*Q21*2.466*1,IF(P21&gt;20,"",IF(P21&lt;20,"")))</f>
        <v/>
      </c>
      <c r="X21" s="106" t="str">
        <f aca="false">IF(P21=25,N21*O21*Q21*3.853*1,IF(P21&gt;25,"",IF(P21&lt;25,"")))</f>
        <v/>
      </c>
      <c r="Y21" s="108" t="str">
        <f aca="false">IF(P21=32,N21*O21*Q21*6.313*1,IF(P21&gt;32,"",IF(P21&lt;32,"")))</f>
        <v/>
      </c>
      <c r="Z21" s="109"/>
      <c r="AA21" s="110" t="str">
        <f aca="false">IF(AC21&gt;0,N21,"")</f>
        <v/>
      </c>
      <c r="AB21" s="111" t="str">
        <f aca="false">IF(AC21&gt;0,O21,"")</f>
        <v/>
      </c>
      <c r="AC21" s="112"/>
      <c r="AD21" s="112"/>
      <c r="AE21" s="113" t="str">
        <f aca="false">IF(AC21&gt;0,P21,"")</f>
        <v/>
      </c>
      <c r="AF21" s="114" t="str">
        <f aca="false">IF(AE21=6,AA21*AB21*AC21*AD21*(AE21/1000)*0.222*1,IF(AE21&gt;6,"",IF(AE21&lt;6,"")))</f>
        <v/>
      </c>
      <c r="AG21" s="107" t="str">
        <f aca="false">IF(AE21=8,AA21*AB21*AC21*AD21*(AE21/1000)*0.395*1,IF(AE21&gt;8,"",IF(AE21&lt;8,"")))</f>
        <v/>
      </c>
      <c r="AH21" s="107" t="str">
        <f aca="false">IF(AE21=10,AA21*AB21*AC21*AD21*(AE21/1000)*0.617*1,IF(AE21&gt;10,"",IF(AE21&lt;10,"")))</f>
        <v/>
      </c>
      <c r="AI21" s="107" t="str">
        <f aca="false">IF(AE21=12,AA21*AB21*AC21*AD21*(AE21/1000)*0.888*1,IF(AE21&gt;12,"",IF(AE21&lt;12,"")))</f>
        <v/>
      </c>
      <c r="AJ21" s="107" t="str">
        <f aca="false">IF(AE21=16,AA21*AB21*AC21*AD21*(AE21/1000)*1.578*1,IF(AE21&gt;16,"",IF(AE21&lt;16,"")))</f>
        <v/>
      </c>
      <c r="AK21" s="107" t="str">
        <f aca="false">IF(AE21=20,AA21*AB21*AC21*AD21*(AE21/1000)*2.466*1,IF(AE21&gt;20,"",IF(AE21&lt;20,"")))</f>
        <v/>
      </c>
      <c r="AL21" s="107" t="str">
        <f aca="false">IF(AE21=25,AA21*AB21*AC21*AD21*(AE21/1000)*3.853*1,IF(AE21&gt;25,"",IF(AE21&lt;25,"")))</f>
        <v/>
      </c>
      <c r="AM21" s="115" t="str">
        <f aca="false">IF(AE21=32,AA21*AB21*AC21*AD21*(AE21/1000)*6.313*1,IF(AE21&gt;32,"",IF(AE21&lt;32,"")))</f>
        <v/>
      </c>
      <c r="AN21" s="128"/>
      <c r="AO21" s="117" t="s">
        <v>178</v>
      </c>
      <c r="AP21" s="118" t="n">
        <f aca="false">SUM(R21:Y21)+SUM(AN21)</f>
        <v>15.6736</v>
      </c>
      <c r="AQ21" s="118" t="n">
        <f aca="false">SUM(AF21:AM21)</f>
        <v>0</v>
      </c>
      <c r="AR21" s="118"/>
      <c r="AS21" s="119"/>
      <c r="AT21" s="119" t="s">
        <v>162</v>
      </c>
    </row>
    <row r="22" customFormat="false" ht="13.5" hidden="false" customHeight="false" outlineLevel="0" collapsed="false">
      <c r="A22" s="120"/>
      <c r="B22" s="121" t="s">
        <v>310</v>
      </c>
      <c r="C22" s="110" t="n">
        <v>1</v>
      </c>
      <c r="D22" s="122" t="n">
        <v>0.24</v>
      </c>
      <c r="E22" s="122" t="n">
        <v>0.5</v>
      </c>
      <c r="F22" s="122" t="n">
        <f aca="false">0.8456/(0.24*0.5)</f>
        <v>7.04666666666667</v>
      </c>
      <c r="G22" s="123" t="n">
        <f aca="false">C22*D22*E22*F22</f>
        <v>0.8456</v>
      </c>
      <c r="H22" s="101"/>
      <c r="I22" s="123" t="n">
        <f aca="false">C22*F22*2*E22</f>
        <v>7.04666666666667</v>
      </c>
      <c r="J22" s="101"/>
      <c r="K22" s="124"/>
      <c r="L22" s="125"/>
      <c r="M22" s="125"/>
      <c r="N22" s="126"/>
      <c r="O22" s="126"/>
      <c r="P22" s="126"/>
      <c r="Q22" s="127"/>
      <c r="R22" s="105" t="str">
        <f aca="false">IF(P22=6,N22*O22*Q22*0.222*1,IF(P22&gt;6,"",IF(P22&lt;6,"")))</f>
        <v/>
      </c>
      <c r="S22" s="106" t="str">
        <f aca="false">IF(P22=8,N22*O22*Q22*0.395*1,IF(P22&gt;8,"",IF(P22&lt;8,"")))</f>
        <v/>
      </c>
      <c r="T22" s="106" t="str">
        <f aca="false">IF(P22=10,N22*O22*Q22*0.617*1,IF(P22&gt;10,"",IF(P22&lt;10,"")))</f>
        <v/>
      </c>
      <c r="U22" s="106" t="str">
        <f aca="false">IF(P22=12,N22*O22*Q22*0.888*1,IF(P22&gt;12,"",IF(P22&lt;12,"")))</f>
        <v/>
      </c>
      <c r="V22" s="107" t="str">
        <f aca="false">IF(P22=16,N22*O22*Q22*1.578*1,IF(P22&gt;16,"",IF(P22&lt;16,"")))</f>
        <v/>
      </c>
      <c r="W22" s="106" t="str">
        <f aca="false">IF(P22=20,N22*O22*Q22*2.466*1,IF(P22&gt;20,"",IF(P22&lt;20,"")))</f>
        <v/>
      </c>
      <c r="X22" s="106" t="str">
        <f aca="false">IF(P22=25,N22*O22*Q22*3.853*1,IF(P22&gt;25,"",IF(P22&lt;25,"")))</f>
        <v/>
      </c>
      <c r="Y22" s="108" t="str">
        <f aca="false">IF(P22=32,N22*O22*Q22*6.313*1,IF(P22&gt;32,"",IF(P22&lt;32,"")))</f>
        <v/>
      </c>
      <c r="Z22" s="109"/>
      <c r="AA22" s="110" t="str">
        <f aca="false">IF(AC22&gt;0,N22,"")</f>
        <v/>
      </c>
      <c r="AB22" s="111" t="str">
        <f aca="false">IF(AC22&gt;0,O22,"")</f>
        <v/>
      </c>
      <c r="AC22" s="112"/>
      <c r="AD22" s="112"/>
      <c r="AE22" s="113" t="str">
        <f aca="false">IF(AC22&gt;0,P22,"")</f>
        <v/>
      </c>
      <c r="AF22" s="114" t="str">
        <f aca="false">IF(AE22=6,AA22*AB22*AC22*AD22*(AE22/1000)*0.222*1,IF(AE22&gt;6,"",IF(AE22&lt;6,"")))</f>
        <v/>
      </c>
      <c r="AG22" s="107" t="str">
        <f aca="false">IF(AE22=8,AA22*AB22*AC22*AD22*(AE22/1000)*0.395*1,IF(AE22&gt;8,"",IF(AE22&lt;8,"")))</f>
        <v/>
      </c>
      <c r="AH22" s="107" t="str">
        <f aca="false">IF(AE22=10,AA22*AB22*AC22*AD22*(AE22/1000)*0.617*1,IF(AE22&gt;10,"",IF(AE22&lt;10,"")))</f>
        <v/>
      </c>
      <c r="AI22" s="107" t="str">
        <f aca="false">IF(AE22=12,AA22*AB22*AC22*AD22*(AE22/1000)*0.888*1,IF(AE22&gt;12,"",IF(AE22&lt;12,"")))</f>
        <v/>
      </c>
      <c r="AJ22" s="107" t="str">
        <f aca="false">IF(AE22=16,AA22*AB22*AC22*AD22*(AE22/1000)*1.578*1,IF(AE22&gt;16,"",IF(AE22&lt;16,"")))</f>
        <v/>
      </c>
      <c r="AK22" s="107" t="str">
        <f aca="false">IF(AE22=20,AA22*AB22*AC22*AD22*(AE22/1000)*2.466*1,IF(AE22&gt;20,"",IF(AE22&lt;20,"")))</f>
        <v/>
      </c>
      <c r="AL22" s="107" t="str">
        <f aca="false">IF(AE22=25,AA22*AB22*AC22*AD22*(AE22/1000)*3.853*1,IF(AE22&gt;25,"",IF(AE22&lt;25,"")))</f>
        <v/>
      </c>
      <c r="AM22" s="115" t="str">
        <f aca="false">IF(AE22=32,AA22*AB22*AC22*AD22*(AE22/1000)*6.313*1,IF(AE22&gt;32,"",IF(AE22&lt;32,"")))</f>
        <v/>
      </c>
      <c r="AN22" s="128"/>
      <c r="AO22" s="117" t="s">
        <v>178</v>
      </c>
      <c r="AP22" s="118" t="n">
        <f aca="false">SUM(R22:Y22)+SUM(AN22)</f>
        <v>0</v>
      </c>
      <c r="AQ22" s="118" t="n">
        <f aca="false">SUM(AF22:AM22)</f>
        <v>0</v>
      </c>
      <c r="AR22" s="118" t="n">
        <v>0.8456</v>
      </c>
      <c r="AS22" s="119" t="s">
        <v>311</v>
      </c>
      <c r="AT22" s="119" t="s">
        <v>209</v>
      </c>
    </row>
    <row r="23" customFormat="false" ht="13.5" hidden="false" customHeight="false" outlineLevel="0" collapsed="false">
      <c r="A23" s="129"/>
      <c r="B23" s="172"/>
      <c r="C23" s="110"/>
      <c r="D23" s="122"/>
      <c r="E23" s="122"/>
      <c r="F23" s="173"/>
      <c r="G23" s="123"/>
      <c r="H23" s="101"/>
      <c r="I23" s="123"/>
      <c r="J23" s="101"/>
      <c r="K23" s="124" t="s">
        <v>305</v>
      </c>
      <c r="L23" s="125"/>
      <c r="M23" s="125"/>
      <c r="N23" s="126" t="n">
        <f aca="false">$C$22</f>
        <v>1</v>
      </c>
      <c r="O23" s="126" t="n">
        <v>3</v>
      </c>
      <c r="P23" s="126" t="n">
        <v>16</v>
      </c>
      <c r="Q23" s="127" t="n">
        <f aca="false">7.5463+2*50*16/1000</f>
        <v>9.1463</v>
      </c>
      <c r="R23" s="105" t="str">
        <f aca="false">IF(P23=6,N23*O23*Q23*0.222*1,IF(P23&gt;6,"",IF(P23&lt;6,"")))</f>
        <v/>
      </c>
      <c r="S23" s="106" t="str">
        <f aca="false">IF(P23=8,N23*O23*Q23*0.395*1,IF(P23&gt;8,"",IF(P23&lt;8,"")))</f>
        <v/>
      </c>
      <c r="T23" s="106" t="str">
        <f aca="false">IF(P23=10,N23*O23*Q23*0.617*1,IF(P23&gt;10,"",IF(P23&lt;10,"")))</f>
        <v/>
      </c>
      <c r="U23" s="106" t="str">
        <f aca="false">IF(P23=12,N23*O23*Q23*0.888*1,IF(P23&gt;12,"",IF(P23&lt;12,"")))</f>
        <v/>
      </c>
      <c r="V23" s="107" t="n">
        <f aca="false">IF(P23=16,N23*O23*Q23*1.578*1,IF(P23&gt;16,"",IF(P23&lt;16,"")))</f>
        <v>43.2985842</v>
      </c>
      <c r="W23" s="106" t="str">
        <f aca="false">IF(P23=20,N23*O23*Q23*2.466*1,IF(P23&gt;20,"",IF(P23&lt;20,"")))</f>
        <v/>
      </c>
      <c r="X23" s="106" t="str">
        <f aca="false">IF(P23=25,N23*O23*Q23*3.853*1,IF(P23&gt;25,"",IF(P23&lt;25,"")))</f>
        <v/>
      </c>
      <c r="Y23" s="108" t="str">
        <f aca="false">IF(P23=32,N23*O23*Q23*6.313*1,IF(P23&gt;32,"",IF(P23&lt;32,"")))</f>
        <v/>
      </c>
      <c r="Z23" s="109"/>
      <c r="AA23" s="110" t="str">
        <f aca="false">IF(AC23&gt;0,N23,"")</f>
        <v/>
      </c>
      <c r="AB23" s="111" t="str">
        <f aca="false">IF(AC23&gt;0,O23,"")</f>
        <v/>
      </c>
      <c r="AC23" s="112"/>
      <c r="AD23" s="112"/>
      <c r="AE23" s="113" t="str">
        <f aca="false">IF(AC23&gt;0,P23,"")</f>
        <v/>
      </c>
      <c r="AF23" s="114" t="str">
        <f aca="false">IF(AE23=6,AA23*AB23*AC23*AD23*(AE23/1000)*0.222*1,IF(AE23&gt;6,"",IF(AE23&lt;6,"")))</f>
        <v/>
      </c>
      <c r="AG23" s="107" t="str">
        <f aca="false">IF(AE23=8,AA23*AB23*AC23*AD23*(AE23/1000)*0.395*1,IF(AE23&gt;8,"",IF(AE23&lt;8,"")))</f>
        <v/>
      </c>
      <c r="AH23" s="107" t="str">
        <f aca="false">IF(AE23=10,AA23*AB23*AC23*AD23*(AE23/1000)*0.617*1,IF(AE23&gt;10,"",IF(AE23&lt;10,"")))</f>
        <v/>
      </c>
      <c r="AI23" s="107" t="str">
        <f aca="false">IF(AE23=12,AA23*AB23*AC23*AD23*(AE23/1000)*0.888*1,IF(AE23&gt;12,"",IF(AE23&lt;12,"")))</f>
        <v/>
      </c>
      <c r="AJ23" s="107" t="str">
        <f aca="false">IF(AE23=16,AA23*AB23*AC23*AD23*(AE23/1000)*1.578*1,IF(AE23&gt;16,"",IF(AE23&lt;16,"")))</f>
        <v/>
      </c>
      <c r="AK23" s="107" t="str">
        <f aca="false">IF(AE23=20,AA23*AB23*AC23*AD23*(AE23/1000)*2.466*1,IF(AE23&gt;20,"",IF(AE23&lt;20,"")))</f>
        <v/>
      </c>
      <c r="AL23" s="107" t="str">
        <f aca="false">IF(AE23=25,AA23*AB23*AC23*AD23*(AE23/1000)*3.853*1,IF(AE23&gt;25,"",IF(AE23&lt;25,"")))</f>
        <v/>
      </c>
      <c r="AM23" s="115" t="str">
        <f aca="false">IF(AE23=32,AA23*AB23*AC23*AD23*(AE23/1000)*6.313*1,IF(AE23&gt;32,"",IF(AE23&lt;32,"")))</f>
        <v/>
      </c>
      <c r="AN23" s="128"/>
      <c r="AO23" s="117" t="s">
        <v>178</v>
      </c>
      <c r="AP23" s="118" t="n">
        <f aca="false">SUM(R23:Y23)+SUM(AN23)</f>
        <v>43.2985842</v>
      </c>
      <c r="AQ23" s="118" t="n">
        <f aca="false">SUM(AF23:AM23)</f>
        <v>0</v>
      </c>
      <c r="AR23" s="118"/>
      <c r="AS23" s="119"/>
      <c r="AT23" s="119" t="s">
        <v>162</v>
      </c>
    </row>
    <row r="24" customFormat="false" ht="13.5" hidden="false" customHeight="false" outlineLevel="0" collapsed="false">
      <c r="A24" s="129"/>
      <c r="B24" s="172"/>
      <c r="C24" s="110"/>
      <c r="D24" s="122"/>
      <c r="E24" s="122"/>
      <c r="F24" s="173"/>
      <c r="G24" s="123"/>
      <c r="H24" s="101"/>
      <c r="I24" s="123"/>
      <c r="J24" s="101"/>
      <c r="K24" s="124" t="s">
        <v>306</v>
      </c>
      <c r="L24" s="125"/>
      <c r="M24" s="125"/>
      <c r="N24" s="126" t="n">
        <f aca="false">$C$22</f>
        <v>1</v>
      </c>
      <c r="O24" s="126" t="n">
        <v>3</v>
      </c>
      <c r="P24" s="126" t="n">
        <v>16</v>
      </c>
      <c r="Q24" s="127" t="n">
        <f aca="false">7.5463+2*50*16/1000</f>
        <v>9.1463</v>
      </c>
      <c r="R24" s="105" t="str">
        <f aca="false">IF(P24=6,N24*O24*Q24*0.222*1,IF(P24&gt;6,"",IF(P24&lt;6,"")))</f>
        <v/>
      </c>
      <c r="S24" s="106" t="str">
        <f aca="false">IF(P24=8,N24*O24*Q24*0.395*1,IF(P24&gt;8,"",IF(P24&lt;8,"")))</f>
        <v/>
      </c>
      <c r="T24" s="106" t="str">
        <f aca="false">IF(P24=10,N24*O24*Q24*0.617*1,IF(P24&gt;10,"",IF(P24&lt;10,"")))</f>
        <v/>
      </c>
      <c r="U24" s="106" t="str">
        <f aca="false">IF(P24=12,N24*O24*Q24*0.888*1,IF(P24&gt;12,"",IF(P24&lt;12,"")))</f>
        <v/>
      </c>
      <c r="V24" s="107" t="n">
        <f aca="false">IF(P24=16,N24*O24*Q24*1.578*1,IF(P24&gt;16,"",IF(P24&lt;16,"")))</f>
        <v>43.2985842</v>
      </c>
      <c r="W24" s="106" t="str">
        <f aca="false">IF(P24=20,N24*O24*Q24*2.466*1,IF(P24&gt;20,"",IF(P24&lt;20,"")))</f>
        <v/>
      </c>
      <c r="X24" s="106" t="str">
        <f aca="false">IF(P24=25,N24*O24*Q24*3.853*1,IF(P24&gt;25,"",IF(P24&lt;25,"")))</f>
        <v/>
      </c>
      <c r="Y24" s="108" t="str">
        <f aca="false">IF(P24=32,N24*O24*Q24*6.313*1,IF(P24&gt;32,"",IF(P24&lt;32,"")))</f>
        <v/>
      </c>
      <c r="Z24" s="109"/>
      <c r="AA24" s="110" t="str">
        <f aca="false">IF(AC24&gt;0,N24,"")</f>
        <v/>
      </c>
      <c r="AB24" s="111" t="str">
        <f aca="false">IF(AC24&gt;0,O24,"")</f>
        <v/>
      </c>
      <c r="AC24" s="112"/>
      <c r="AD24" s="112"/>
      <c r="AE24" s="113" t="str">
        <f aca="false">IF(AC24&gt;0,P24,"")</f>
        <v/>
      </c>
      <c r="AF24" s="114" t="str">
        <f aca="false">IF(AE24=6,AA24*AB24*AC24*AD24*(AE24/1000)*0.222*1,IF(AE24&gt;6,"",IF(AE24&lt;6,"")))</f>
        <v/>
      </c>
      <c r="AG24" s="107" t="str">
        <f aca="false">IF(AE24=8,AA24*AB24*AC24*AD24*(AE24/1000)*0.395*1,IF(AE24&gt;8,"",IF(AE24&lt;8,"")))</f>
        <v/>
      </c>
      <c r="AH24" s="107" t="str">
        <f aca="false">IF(AE24=10,AA24*AB24*AC24*AD24*(AE24/1000)*0.617*1,IF(AE24&gt;10,"",IF(AE24&lt;10,"")))</f>
        <v/>
      </c>
      <c r="AI24" s="107" t="str">
        <f aca="false">IF(AE24=12,AA24*AB24*AC24*AD24*(AE24/1000)*0.888*1,IF(AE24&gt;12,"",IF(AE24&lt;12,"")))</f>
        <v/>
      </c>
      <c r="AJ24" s="107" t="str">
        <f aca="false">IF(AE24=16,AA24*AB24*AC24*AD24*(AE24/1000)*1.578*1,IF(AE24&gt;16,"",IF(AE24&lt;16,"")))</f>
        <v/>
      </c>
      <c r="AK24" s="107" t="str">
        <f aca="false">IF(AE24=20,AA24*AB24*AC24*AD24*(AE24/1000)*2.466*1,IF(AE24&gt;20,"",IF(AE24&lt;20,"")))</f>
        <v/>
      </c>
      <c r="AL24" s="107" t="str">
        <f aca="false">IF(AE24=25,AA24*AB24*AC24*AD24*(AE24/1000)*3.853*1,IF(AE24&gt;25,"",IF(AE24&lt;25,"")))</f>
        <v/>
      </c>
      <c r="AM24" s="115" t="str">
        <f aca="false">IF(AE24=32,AA24*AB24*AC24*AD24*(AE24/1000)*6.313*1,IF(AE24&gt;32,"",IF(AE24&lt;32,"")))</f>
        <v/>
      </c>
      <c r="AN24" s="128"/>
      <c r="AO24" s="117" t="s">
        <v>178</v>
      </c>
      <c r="AP24" s="118" t="n">
        <f aca="false">SUM(R24:Y24)+SUM(AN24)</f>
        <v>43.2985842</v>
      </c>
      <c r="AQ24" s="118" t="n">
        <f aca="false">SUM(AF24:AM24)</f>
        <v>0</v>
      </c>
      <c r="AR24" s="118"/>
      <c r="AS24" s="119"/>
      <c r="AT24" s="119" t="s">
        <v>162</v>
      </c>
    </row>
    <row r="25" customFormat="false" ht="13.5" hidden="false" customHeight="false" outlineLevel="0" collapsed="false">
      <c r="A25" s="129"/>
      <c r="B25" s="172"/>
      <c r="C25" s="110"/>
      <c r="D25" s="122"/>
      <c r="E25" s="122"/>
      <c r="F25" s="173"/>
      <c r="G25" s="123"/>
      <c r="H25" s="101"/>
      <c r="I25" s="123"/>
      <c r="J25" s="101"/>
      <c r="K25" s="124" t="s">
        <v>307</v>
      </c>
      <c r="L25" s="125" t="n">
        <f aca="false">$F$22</f>
        <v>7.04666666666667</v>
      </c>
      <c r="M25" s="125" t="n">
        <v>0.15</v>
      </c>
      <c r="N25" s="126" t="n">
        <f aca="false">$C$22</f>
        <v>1</v>
      </c>
      <c r="O25" s="126" t="n">
        <f aca="false">CEILING(L25/M25,1)+1</f>
        <v>48</v>
      </c>
      <c r="P25" s="126" t="n">
        <v>8</v>
      </c>
      <c r="Q25" s="127" t="n">
        <f aca="false">2*($D$22-2*0.05)+2*($E$22-2*0.05)+20*8/1000</f>
        <v>1.24</v>
      </c>
      <c r="R25" s="105" t="str">
        <f aca="false">IF(P25=6,N25*O25*Q25*0.222*1,IF(P25&gt;6,"",IF(P25&lt;6,"")))</f>
        <v/>
      </c>
      <c r="S25" s="106" t="n">
        <f aca="false">IF(P25=8,N25*O25*Q25*0.395*1,IF(P25&gt;8,"",IF(P25&lt;8,"")))</f>
        <v>23.5104</v>
      </c>
      <c r="T25" s="106" t="str">
        <f aca="false">IF(P25=10,N25*O25*Q25*0.617*1,IF(P25&gt;10,"",IF(P25&lt;10,"")))</f>
        <v/>
      </c>
      <c r="U25" s="106" t="str">
        <f aca="false">IF(P25=12,N25*O25*Q25*0.888*1,IF(P25&gt;12,"",IF(P25&lt;12,"")))</f>
        <v/>
      </c>
      <c r="V25" s="107" t="str">
        <f aca="false">IF(P25=16,N25*O25*Q25*1.578*1,IF(P25&gt;16,"",IF(P25&lt;16,"")))</f>
        <v/>
      </c>
      <c r="W25" s="106" t="str">
        <f aca="false">IF(P25=20,N25*O25*Q25*2.466*1,IF(P25&gt;20,"",IF(P25&lt;20,"")))</f>
        <v/>
      </c>
      <c r="X25" s="106" t="str">
        <f aca="false">IF(P25=25,N25*O25*Q25*3.853*1,IF(P25&gt;25,"",IF(P25&lt;25,"")))</f>
        <v/>
      </c>
      <c r="Y25" s="108" t="str">
        <f aca="false">IF(P25=32,N25*O25*Q25*6.313*1,IF(P25&gt;32,"",IF(P25&lt;32,"")))</f>
        <v/>
      </c>
      <c r="Z25" s="109"/>
      <c r="AA25" s="110" t="str">
        <f aca="false">IF(AC25&gt;0,N25,"")</f>
        <v/>
      </c>
      <c r="AB25" s="111" t="str">
        <f aca="false">IF(AC25&gt;0,O25,"")</f>
        <v/>
      </c>
      <c r="AC25" s="112"/>
      <c r="AD25" s="112"/>
      <c r="AE25" s="113" t="str">
        <f aca="false">IF(AC25&gt;0,P25,"")</f>
        <v/>
      </c>
      <c r="AF25" s="114" t="str">
        <f aca="false">IF(AE25=6,AA25*AB25*AC25*AD25*(AE25/1000)*0.222*1,IF(AE25&gt;6,"",IF(AE25&lt;6,"")))</f>
        <v/>
      </c>
      <c r="AG25" s="107" t="str">
        <f aca="false">IF(AE25=8,AA25*AB25*AC25*AD25*(AE25/1000)*0.395*1,IF(AE25&gt;8,"",IF(AE25&lt;8,"")))</f>
        <v/>
      </c>
      <c r="AH25" s="107" t="str">
        <f aca="false">IF(AE25=10,AA25*AB25*AC25*AD25*(AE25/1000)*0.617*1,IF(AE25&gt;10,"",IF(AE25&lt;10,"")))</f>
        <v/>
      </c>
      <c r="AI25" s="107" t="str">
        <f aca="false">IF(AE25=12,AA25*AB25*AC25*AD25*(AE25/1000)*0.888*1,IF(AE25&gt;12,"",IF(AE25&lt;12,"")))</f>
        <v/>
      </c>
      <c r="AJ25" s="107" t="str">
        <f aca="false">IF(AE25=16,AA25*AB25*AC25*AD25*(AE25/1000)*1.578*1,IF(AE25&gt;16,"",IF(AE25&lt;16,"")))</f>
        <v/>
      </c>
      <c r="AK25" s="107" t="str">
        <f aca="false">IF(AE25=20,AA25*AB25*AC25*AD25*(AE25/1000)*2.466*1,IF(AE25&gt;20,"",IF(AE25&lt;20,"")))</f>
        <v/>
      </c>
      <c r="AL25" s="107" t="str">
        <f aca="false">IF(AE25=25,AA25*AB25*AC25*AD25*(AE25/1000)*3.853*1,IF(AE25&gt;25,"",IF(AE25&lt;25,"")))</f>
        <v/>
      </c>
      <c r="AM25" s="115" t="str">
        <f aca="false">IF(AE25=32,AA25*AB25*AC25*AD25*(AE25/1000)*6.313*1,IF(AE25&gt;32,"",IF(AE25&lt;32,"")))</f>
        <v/>
      </c>
      <c r="AN25" s="128"/>
      <c r="AO25" s="117" t="s">
        <v>178</v>
      </c>
      <c r="AP25" s="118" t="n">
        <f aca="false">SUM(R25:Y25)+SUM(AN25)</f>
        <v>23.5104</v>
      </c>
      <c r="AQ25" s="118" t="n">
        <f aca="false">SUM(AF25:AM25)</f>
        <v>0</v>
      </c>
      <c r="AR25" s="118"/>
      <c r="AS25" s="119"/>
      <c r="AT25" s="119" t="s">
        <v>162</v>
      </c>
    </row>
    <row r="26" customFormat="false" ht="13.5" hidden="false" customHeight="false" outlineLevel="0" collapsed="false">
      <c r="A26" s="120"/>
      <c r="B26" s="121" t="s">
        <v>312</v>
      </c>
      <c r="C26" s="110" t="n">
        <v>1</v>
      </c>
      <c r="D26" s="122" t="n">
        <v>0.24</v>
      </c>
      <c r="E26" s="122" t="n">
        <v>0.5</v>
      </c>
      <c r="F26" s="122" t="n">
        <f aca="false">0.1238/(0.24*0.5)</f>
        <v>1.03166666666667</v>
      </c>
      <c r="G26" s="123" t="n">
        <f aca="false">C26*D26*E26*F26</f>
        <v>0.1238</v>
      </c>
      <c r="H26" s="101"/>
      <c r="I26" s="123" t="n">
        <f aca="false">C26*F26*2*E26</f>
        <v>1.03166666666667</v>
      </c>
      <c r="J26" s="101"/>
      <c r="K26" s="124"/>
      <c r="L26" s="125"/>
      <c r="M26" s="125"/>
      <c r="N26" s="126"/>
      <c r="O26" s="126"/>
      <c r="P26" s="126"/>
      <c r="Q26" s="127"/>
      <c r="R26" s="105" t="str">
        <f aca="false">IF(P26=6,N26*O26*Q26*0.222*1,IF(P26&gt;6,"",IF(P26&lt;6,"")))</f>
        <v/>
      </c>
      <c r="S26" s="106" t="str">
        <f aca="false">IF(P26=8,N26*O26*Q26*0.395*1,IF(P26&gt;8,"",IF(P26&lt;8,"")))</f>
        <v/>
      </c>
      <c r="T26" s="106" t="str">
        <f aca="false">IF(P26=10,N26*O26*Q26*0.617*1,IF(P26&gt;10,"",IF(P26&lt;10,"")))</f>
        <v/>
      </c>
      <c r="U26" s="106" t="str">
        <f aca="false">IF(P26=12,N26*O26*Q26*0.888*1,IF(P26&gt;12,"",IF(P26&lt;12,"")))</f>
        <v/>
      </c>
      <c r="V26" s="107" t="str">
        <f aca="false">IF(P26=16,N26*O26*Q26*1.578*1,IF(P26&gt;16,"",IF(P26&lt;16,"")))</f>
        <v/>
      </c>
      <c r="W26" s="106" t="str">
        <f aca="false">IF(P26=20,N26*O26*Q26*2.466*1,IF(P26&gt;20,"",IF(P26&lt;20,"")))</f>
        <v/>
      </c>
      <c r="X26" s="106" t="str">
        <f aca="false">IF(P26=25,N26*O26*Q26*3.853*1,IF(P26&gt;25,"",IF(P26&lt;25,"")))</f>
        <v/>
      </c>
      <c r="Y26" s="108" t="str">
        <f aca="false">IF(P26=32,N26*O26*Q26*6.313*1,IF(P26&gt;32,"",IF(P26&lt;32,"")))</f>
        <v/>
      </c>
      <c r="Z26" s="109"/>
      <c r="AA26" s="110" t="str">
        <f aca="false">IF(AC26&gt;0,N26,"")</f>
        <v/>
      </c>
      <c r="AB26" s="111" t="str">
        <f aca="false">IF(AC26&gt;0,O26,"")</f>
        <v/>
      </c>
      <c r="AC26" s="112"/>
      <c r="AD26" s="112"/>
      <c r="AE26" s="113" t="str">
        <f aca="false">IF(AC26&gt;0,P26,"")</f>
        <v/>
      </c>
      <c r="AF26" s="114" t="str">
        <f aca="false">IF(AE26=6,AA26*AB26*AC26*AD26*(AE26/1000)*0.222*1,IF(AE26&gt;6,"",IF(AE26&lt;6,"")))</f>
        <v/>
      </c>
      <c r="AG26" s="107" t="str">
        <f aca="false">IF(AE26=8,AA26*AB26*AC26*AD26*(AE26/1000)*0.395*1,IF(AE26&gt;8,"",IF(AE26&lt;8,"")))</f>
        <v/>
      </c>
      <c r="AH26" s="107" t="str">
        <f aca="false">IF(AE26=10,AA26*AB26*AC26*AD26*(AE26/1000)*0.617*1,IF(AE26&gt;10,"",IF(AE26&lt;10,"")))</f>
        <v/>
      </c>
      <c r="AI26" s="107" t="str">
        <f aca="false">IF(AE26=12,AA26*AB26*AC26*AD26*(AE26/1000)*0.888*1,IF(AE26&gt;12,"",IF(AE26&lt;12,"")))</f>
        <v/>
      </c>
      <c r="AJ26" s="107" t="str">
        <f aca="false">IF(AE26=16,AA26*AB26*AC26*AD26*(AE26/1000)*1.578*1,IF(AE26&gt;16,"",IF(AE26&lt;16,"")))</f>
        <v/>
      </c>
      <c r="AK26" s="107" t="str">
        <f aca="false">IF(AE26=20,AA26*AB26*AC26*AD26*(AE26/1000)*2.466*1,IF(AE26&gt;20,"",IF(AE26&lt;20,"")))</f>
        <v/>
      </c>
      <c r="AL26" s="107" t="str">
        <f aca="false">IF(AE26=25,AA26*AB26*AC26*AD26*(AE26/1000)*3.853*1,IF(AE26&gt;25,"",IF(AE26&lt;25,"")))</f>
        <v/>
      </c>
      <c r="AM26" s="115" t="str">
        <f aca="false">IF(AE26=32,AA26*AB26*AC26*AD26*(AE26/1000)*6.313*1,IF(AE26&gt;32,"",IF(AE26&lt;32,"")))</f>
        <v/>
      </c>
      <c r="AN26" s="128"/>
      <c r="AO26" s="117" t="s">
        <v>178</v>
      </c>
      <c r="AP26" s="118" t="n">
        <f aca="false">SUM(R26:Y26)+SUM(AN26)</f>
        <v>0</v>
      </c>
      <c r="AQ26" s="118" t="n">
        <f aca="false">SUM(AF26:AM26)</f>
        <v>0</v>
      </c>
      <c r="AR26" s="118" t="n">
        <v>0.1238</v>
      </c>
      <c r="AS26" s="119" t="s">
        <v>313</v>
      </c>
      <c r="AT26" s="119" t="s">
        <v>209</v>
      </c>
    </row>
    <row r="27" s="55" customFormat="true" ht="13.5" hidden="false" customHeight="false" outlineLevel="0" collapsed="false">
      <c r="A27" s="129"/>
      <c r="B27" s="172"/>
      <c r="C27" s="110"/>
      <c r="D27" s="122"/>
      <c r="E27" s="122"/>
      <c r="F27" s="173"/>
      <c r="G27" s="123"/>
      <c r="H27" s="101"/>
      <c r="I27" s="123"/>
      <c r="J27" s="101"/>
      <c r="K27" s="124" t="s">
        <v>305</v>
      </c>
      <c r="L27" s="125"/>
      <c r="M27" s="125"/>
      <c r="N27" s="126" t="n">
        <f aca="false">$C$26</f>
        <v>1</v>
      </c>
      <c r="O27" s="126" t="n">
        <v>3</v>
      </c>
      <c r="P27" s="126" t="n">
        <v>16</v>
      </c>
      <c r="Q27" s="127" t="n">
        <f aca="false">1.3315+2*50*16/1000</f>
        <v>2.9315</v>
      </c>
      <c r="R27" s="105" t="str">
        <f aca="false">IF(P27=6,N27*O27*Q27*0.222*1,IF(P27&gt;6,"",IF(P27&lt;6,"")))</f>
        <v/>
      </c>
      <c r="S27" s="106" t="str">
        <f aca="false">IF(P27=8,N27*O27*Q27*0.395*1,IF(P27&gt;8,"",IF(P27&lt;8,"")))</f>
        <v/>
      </c>
      <c r="T27" s="106" t="str">
        <f aca="false">IF(P27=10,N27*O27*Q27*0.617*1,IF(P27&gt;10,"",IF(P27&lt;10,"")))</f>
        <v/>
      </c>
      <c r="U27" s="106" t="str">
        <f aca="false">IF(P27=12,N27*O27*Q27*0.888*1,IF(P27&gt;12,"",IF(P27&lt;12,"")))</f>
        <v/>
      </c>
      <c r="V27" s="107" t="n">
        <f aca="false">IF(P27=16,N27*O27*Q27*1.578*1,IF(P27&gt;16,"",IF(P27&lt;16,"")))</f>
        <v>13.877721</v>
      </c>
      <c r="W27" s="106" t="str">
        <f aca="false">IF(P27=20,N27*O27*Q27*2.466*1,IF(P27&gt;20,"",IF(P27&lt;20,"")))</f>
        <v/>
      </c>
      <c r="X27" s="106" t="str">
        <f aca="false">IF(P27=25,N27*O27*Q27*3.853*1,IF(P27&gt;25,"",IF(P27&lt;25,"")))</f>
        <v/>
      </c>
      <c r="Y27" s="108" t="str">
        <f aca="false">IF(P27=32,N27*O27*Q27*6.313*1,IF(P27&gt;32,"",IF(P27&lt;32,"")))</f>
        <v/>
      </c>
      <c r="Z27" s="109"/>
      <c r="AA27" s="110" t="str">
        <f aca="false">IF(AC27&gt;0,N27,"")</f>
        <v/>
      </c>
      <c r="AB27" s="111" t="str">
        <f aca="false">IF(AC27&gt;0,O27,"")</f>
        <v/>
      </c>
      <c r="AC27" s="112"/>
      <c r="AD27" s="112"/>
      <c r="AE27" s="113" t="str">
        <f aca="false">IF(AC27&gt;0,P27,"")</f>
        <v/>
      </c>
      <c r="AF27" s="114" t="str">
        <f aca="false">IF(AE27=6,AA27*AB27*AC27*AD27*(AE27/1000)*0.222*1,IF(AE27&gt;6,"",IF(AE27&lt;6,"")))</f>
        <v/>
      </c>
      <c r="AG27" s="107" t="str">
        <f aca="false">IF(AE27=8,AA27*AB27*AC27*AD27*(AE27/1000)*0.395*1,IF(AE27&gt;8,"",IF(AE27&lt;8,"")))</f>
        <v/>
      </c>
      <c r="AH27" s="107" t="str">
        <f aca="false">IF(AE27=10,AA27*AB27*AC27*AD27*(AE27/1000)*0.617*1,IF(AE27&gt;10,"",IF(AE27&lt;10,"")))</f>
        <v/>
      </c>
      <c r="AI27" s="107" t="str">
        <f aca="false">IF(AE27=12,AA27*AB27*AC27*AD27*(AE27/1000)*0.888*1,IF(AE27&gt;12,"",IF(AE27&lt;12,"")))</f>
        <v/>
      </c>
      <c r="AJ27" s="107" t="str">
        <f aca="false">IF(AE27=16,AA27*AB27*AC27*AD27*(AE27/1000)*1.578*1,IF(AE27&gt;16,"",IF(AE27&lt;16,"")))</f>
        <v/>
      </c>
      <c r="AK27" s="107" t="str">
        <f aca="false">IF(AE27=20,AA27*AB27*AC27*AD27*(AE27/1000)*2.466*1,IF(AE27&gt;20,"",IF(AE27&lt;20,"")))</f>
        <v/>
      </c>
      <c r="AL27" s="107" t="str">
        <f aca="false">IF(AE27=25,AA27*AB27*AC27*AD27*(AE27/1000)*3.853*1,IF(AE27&gt;25,"",IF(AE27&lt;25,"")))</f>
        <v/>
      </c>
      <c r="AM27" s="115" t="str">
        <f aca="false">IF(AE27=32,AA27*AB27*AC27*AD27*(AE27/1000)*6.313*1,IF(AE27&gt;32,"",IF(AE27&lt;32,"")))</f>
        <v/>
      </c>
      <c r="AN27" s="128"/>
      <c r="AO27" s="117" t="s">
        <v>178</v>
      </c>
      <c r="AP27" s="118" t="n">
        <f aca="false">SUM(R27:Y27)+SUM(AN27)</f>
        <v>13.877721</v>
      </c>
      <c r="AQ27" s="118" t="n">
        <f aca="false">SUM(AF27:AM27)</f>
        <v>0</v>
      </c>
      <c r="AR27" s="118"/>
      <c r="AS27" s="119"/>
      <c r="AT27" s="119" t="s">
        <v>162</v>
      </c>
    </row>
    <row r="28" s="55" customFormat="true" ht="13.5" hidden="false" customHeight="false" outlineLevel="0" collapsed="false">
      <c r="A28" s="129"/>
      <c r="B28" s="172"/>
      <c r="C28" s="110"/>
      <c r="D28" s="122"/>
      <c r="E28" s="122"/>
      <c r="F28" s="173"/>
      <c r="G28" s="123"/>
      <c r="H28" s="101"/>
      <c r="I28" s="123"/>
      <c r="J28" s="101"/>
      <c r="K28" s="124" t="s">
        <v>306</v>
      </c>
      <c r="L28" s="125"/>
      <c r="M28" s="125"/>
      <c r="N28" s="126" t="n">
        <f aca="false">$C$26</f>
        <v>1</v>
      </c>
      <c r="O28" s="126" t="n">
        <v>3</v>
      </c>
      <c r="P28" s="126" t="n">
        <v>16</v>
      </c>
      <c r="Q28" s="127" t="n">
        <f aca="false">1.3315+2*50*16/1000</f>
        <v>2.9315</v>
      </c>
      <c r="R28" s="105" t="str">
        <f aca="false">IF(P28=6,N28*O28*Q28*0.222*1,IF(P28&gt;6,"",IF(P28&lt;6,"")))</f>
        <v/>
      </c>
      <c r="S28" s="106" t="str">
        <f aca="false">IF(P28=8,N28*O28*Q28*0.395*1,IF(P28&gt;8,"",IF(P28&lt;8,"")))</f>
        <v/>
      </c>
      <c r="T28" s="106" t="str">
        <f aca="false">IF(P28=10,N28*O28*Q28*0.617*1,IF(P28&gt;10,"",IF(P28&lt;10,"")))</f>
        <v/>
      </c>
      <c r="U28" s="106" t="str">
        <f aca="false">IF(P28=12,N28*O28*Q28*0.888*1,IF(P28&gt;12,"",IF(P28&lt;12,"")))</f>
        <v/>
      </c>
      <c r="V28" s="107" t="n">
        <f aca="false">IF(P28=16,N28*O28*Q28*1.578*1,IF(P28&gt;16,"",IF(P28&lt;16,"")))</f>
        <v>13.877721</v>
      </c>
      <c r="W28" s="106" t="str">
        <f aca="false">IF(P28=20,N28*O28*Q28*2.466*1,IF(P28&gt;20,"",IF(P28&lt;20,"")))</f>
        <v/>
      </c>
      <c r="X28" s="106" t="str">
        <f aca="false">IF(P28=25,N28*O28*Q28*3.853*1,IF(P28&gt;25,"",IF(P28&lt;25,"")))</f>
        <v/>
      </c>
      <c r="Y28" s="108" t="str">
        <f aca="false">IF(P28=32,N28*O28*Q28*6.313*1,IF(P28&gt;32,"",IF(P28&lt;32,"")))</f>
        <v/>
      </c>
      <c r="Z28" s="109"/>
      <c r="AA28" s="110" t="str">
        <f aca="false">IF(AC28&gt;0,N28,"")</f>
        <v/>
      </c>
      <c r="AB28" s="111" t="str">
        <f aca="false">IF(AC28&gt;0,O28,"")</f>
        <v/>
      </c>
      <c r="AC28" s="112"/>
      <c r="AD28" s="112"/>
      <c r="AE28" s="113" t="str">
        <f aca="false">IF(AC28&gt;0,P28,"")</f>
        <v/>
      </c>
      <c r="AF28" s="114" t="str">
        <f aca="false">IF(AE28=6,AA28*AB28*AC28*AD28*(AE28/1000)*0.222*1,IF(AE28&gt;6,"",IF(AE28&lt;6,"")))</f>
        <v/>
      </c>
      <c r="AG28" s="107" t="str">
        <f aca="false">IF(AE28=8,AA28*AB28*AC28*AD28*(AE28/1000)*0.395*1,IF(AE28&gt;8,"",IF(AE28&lt;8,"")))</f>
        <v/>
      </c>
      <c r="AH28" s="107" t="str">
        <f aca="false">IF(AE28=10,AA28*AB28*AC28*AD28*(AE28/1000)*0.617*1,IF(AE28&gt;10,"",IF(AE28&lt;10,"")))</f>
        <v/>
      </c>
      <c r="AI28" s="107" t="str">
        <f aca="false">IF(AE28=12,AA28*AB28*AC28*AD28*(AE28/1000)*0.888*1,IF(AE28&gt;12,"",IF(AE28&lt;12,"")))</f>
        <v/>
      </c>
      <c r="AJ28" s="107" t="str">
        <f aca="false">IF(AE28=16,AA28*AB28*AC28*AD28*(AE28/1000)*1.578*1,IF(AE28&gt;16,"",IF(AE28&lt;16,"")))</f>
        <v/>
      </c>
      <c r="AK28" s="107" t="str">
        <f aca="false">IF(AE28=20,AA28*AB28*AC28*AD28*(AE28/1000)*2.466*1,IF(AE28&gt;20,"",IF(AE28&lt;20,"")))</f>
        <v/>
      </c>
      <c r="AL28" s="107" t="str">
        <f aca="false">IF(AE28=25,AA28*AB28*AC28*AD28*(AE28/1000)*3.853*1,IF(AE28&gt;25,"",IF(AE28&lt;25,"")))</f>
        <v/>
      </c>
      <c r="AM28" s="115" t="str">
        <f aca="false">IF(AE28=32,AA28*AB28*AC28*AD28*(AE28/1000)*6.313*1,IF(AE28&gt;32,"",IF(AE28&lt;32,"")))</f>
        <v/>
      </c>
      <c r="AN28" s="128"/>
      <c r="AO28" s="117" t="s">
        <v>178</v>
      </c>
      <c r="AP28" s="118" t="n">
        <f aca="false">SUM(R28:Y28)+SUM(AN28)</f>
        <v>13.877721</v>
      </c>
      <c r="AQ28" s="118" t="n">
        <f aca="false">SUM(AF28:AM28)</f>
        <v>0</v>
      </c>
      <c r="AR28" s="118"/>
      <c r="AS28" s="119"/>
      <c r="AT28" s="119" t="s">
        <v>162</v>
      </c>
    </row>
    <row r="29" s="55" customFormat="true" ht="13.5" hidden="false" customHeight="false" outlineLevel="0" collapsed="false">
      <c r="A29" s="129"/>
      <c r="B29" s="172"/>
      <c r="C29" s="110"/>
      <c r="D29" s="122"/>
      <c r="E29" s="122"/>
      <c r="F29" s="173"/>
      <c r="G29" s="123"/>
      <c r="H29" s="101"/>
      <c r="I29" s="123"/>
      <c r="J29" s="101"/>
      <c r="K29" s="124" t="s">
        <v>307</v>
      </c>
      <c r="L29" s="125" t="n">
        <f aca="false">$F$26</f>
        <v>1.03166666666667</v>
      </c>
      <c r="M29" s="125" t="n">
        <v>0.15</v>
      </c>
      <c r="N29" s="126" t="n">
        <f aca="false">$C$26</f>
        <v>1</v>
      </c>
      <c r="O29" s="126" t="n">
        <f aca="false">CEILING(L29/M29,1)+1</f>
        <v>8</v>
      </c>
      <c r="P29" s="126" t="n">
        <v>8</v>
      </c>
      <c r="Q29" s="127" t="n">
        <f aca="false">2*($D$26-2*0.05)+2*($E$26-2*0.05)+20*8/1000</f>
        <v>1.24</v>
      </c>
      <c r="R29" s="105" t="str">
        <f aca="false">IF(P29=6,N29*O29*Q29*0.222*1,IF(P29&gt;6,"",IF(P29&lt;6,"")))</f>
        <v/>
      </c>
      <c r="S29" s="106" t="n">
        <f aca="false">IF(P29=8,N29*O29*Q29*0.395*1,IF(P29&gt;8,"",IF(P29&lt;8,"")))</f>
        <v>3.9184</v>
      </c>
      <c r="T29" s="106" t="str">
        <f aca="false">IF(P29=10,N29*O29*Q29*0.617*1,IF(P29&gt;10,"",IF(P29&lt;10,"")))</f>
        <v/>
      </c>
      <c r="U29" s="106" t="str">
        <f aca="false">IF(P29=12,N29*O29*Q29*0.888*1,IF(P29&gt;12,"",IF(P29&lt;12,"")))</f>
        <v/>
      </c>
      <c r="V29" s="107" t="str">
        <f aca="false">IF(P29=16,N29*O29*Q29*1.578*1,IF(P29&gt;16,"",IF(P29&lt;16,"")))</f>
        <v/>
      </c>
      <c r="W29" s="106" t="str">
        <f aca="false">IF(P29=20,N29*O29*Q29*2.466*1,IF(P29&gt;20,"",IF(P29&lt;20,"")))</f>
        <v/>
      </c>
      <c r="X29" s="106" t="str">
        <f aca="false">IF(P29=25,N29*O29*Q29*3.853*1,IF(P29&gt;25,"",IF(P29&lt;25,"")))</f>
        <v/>
      </c>
      <c r="Y29" s="108" t="str">
        <f aca="false">IF(P29=32,N29*O29*Q29*6.313*1,IF(P29&gt;32,"",IF(P29&lt;32,"")))</f>
        <v/>
      </c>
      <c r="Z29" s="109"/>
      <c r="AA29" s="110" t="str">
        <f aca="false">IF(AC29&gt;0,N29,"")</f>
        <v/>
      </c>
      <c r="AB29" s="111" t="str">
        <f aca="false">IF(AC29&gt;0,O29,"")</f>
        <v/>
      </c>
      <c r="AC29" s="112"/>
      <c r="AD29" s="112"/>
      <c r="AE29" s="113" t="str">
        <f aca="false">IF(AC29&gt;0,P29,"")</f>
        <v/>
      </c>
      <c r="AF29" s="114" t="str">
        <f aca="false">IF(AE29=6,AA29*AB29*AC29*AD29*(AE29/1000)*0.222*1,IF(AE29&gt;6,"",IF(AE29&lt;6,"")))</f>
        <v/>
      </c>
      <c r="AG29" s="107" t="str">
        <f aca="false">IF(AE29=8,AA29*AB29*AC29*AD29*(AE29/1000)*0.395*1,IF(AE29&gt;8,"",IF(AE29&lt;8,"")))</f>
        <v/>
      </c>
      <c r="AH29" s="107" t="str">
        <f aca="false">IF(AE29=10,AA29*AB29*AC29*AD29*(AE29/1000)*0.617*1,IF(AE29&gt;10,"",IF(AE29&lt;10,"")))</f>
        <v/>
      </c>
      <c r="AI29" s="107" t="str">
        <f aca="false">IF(AE29=12,AA29*AB29*AC29*AD29*(AE29/1000)*0.888*1,IF(AE29&gt;12,"",IF(AE29&lt;12,"")))</f>
        <v/>
      </c>
      <c r="AJ29" s="107" t="str">
        <f aca="false">IF(AE29=16,AA29*AB29*AC29*AD29*(AE29/1000)*1.578*1,IF(AE29&gt;16,"",IF(AE29&lt;16,"")))</f>
        <v/>
      </c>
      <c r="AK29" s="107" t="str">
        <f aca="false">IF(AE29=20,AA29*AB29*AC29*AD29*(AE29/1000)*2.466*1,IF(AE29&gt;20,"",IF(AE29&lt;20,"")))</f>
        <v/>
      </c>
      <c r="AL29" s="107" t="str">
        <f aca="false">IF(AE29=25,AA29*AB29*AC29*AD29*(AE29/1000)*3.853*1,IF(AE29&gt;25,"",IF(AE29&lt;25,"")))</f>
        <v/>
      </c>
      <c r="AM29" s="115" t="str">
        <f aca="false">IF(AE29=32,AA29*AB29*AC29*AD29*(AE29/1000)*6.313*1,IF(AE29&gt;32,"",IF(AE29&lt;32,"")))</f>
        <v/>
      </c>
      <c r="AN29" s="128"/>
      <c r="AO29" s="117" t="s">
        <v>178</v>
      </c>
      <c r="AP29" s="118" t="n">
        <f aca="false">SUM(R29:Y29)+SUM(AN29)</f>
        <v>3.9184</v>
      </c>
      <c r="AQ29" s="118" t="n">
        <f aca="false">SUM(AF29:AM29)</f>
        <v>0</v>
      </c>
      <c r="AR29" s="118"/>
      <c r="AS29" s="119"/>
      <c r="AT29" s="119" t="s">
        <v>162</v>
      </c>
    </row>
    <row r="30" customFormat="false" ht="13.5" hidden="false" customHeight="false" outlineLevel="0" collapsed="false">
      <c r="A30" s="120"/>
      <c r="B30" s="121" t="s">
        <v>314</v>
      </c>
      <c r="C30" s="110" t="n">
        <v>1</v>
      </c>
      <c r="D30" s="122" t="n">
        <v>0.24</v>
      </c>
      <c r="E30" s="122" t="n">
        <v>0.5</v>
      </c>
      <c r="F30" s="122" t="n">
        <f aca="false">0.3742/(0.24*0.5)</f>
        <v>3.11833333333333</v>
      </c>
      <c r="G30" s="123" t="n">
        <f aca="false">C30*D30*E30*F30</f>
        <v>0.3742</v>
      </c>
      <c r="H30" s="101"/>
      <c r="I30" s="123" t="n">
        <f aca="false">C30*F30*2*E30</f>
        <v>3.11833333333333</v>
      </c>
      <c r="J30" s="101"/>
      <c r="K30" s="124"/>
      <c r="L30" s="125"/>
      <c r="M30" s="125"/>
      <c r="N30" s="126"/>
      <c r="O30" s="126"/>
      <c r="P30" s="126"/>
      <c r="Q30" s="127"/>
      <c r="R30" s="105" t="str">
        <f aca="false">IF(P30=6,N30*O30*Q30*0.222*1,IF(P30&gt;6,"",IF(P30&lt;6,"")))</f>
        <v/>
      </c>
      <c r="S30" s="106" t="str">
        <f aca="false">IF(P30=8,N30*O30*Q30*0.395*1,IF(P30&gt;8,"",IF(P30&lt;8,"")))</f>
        <v/>
      </c>
      <c r="T30" s="106" t="str">
        <f aca="false">IF(P30=10,N30*O30*Q30*0.617*1,IF(P30&gt;10,"",IF(P30&lt;10,"")))</f>
        <v/>
      </c>
      <c r="U30" s="106" t="str">
        <f aca="false">IF(P30=12,N30*O30*Q30*0.888*1,IF(P30&gt;12,"",IF(P30&lt;12,"")))</f>
        <v/>
      </c>
      <c r="V30" s="107" t="str">
        <f aca="false">IF(P30=16,N30*O30*Q30*1.578*1,IF(P30&gt;16,"",IF(P30&lt;16,"")))</f>
        <v/>
      </c>
      <c r="W30" s="106" t="str">
        <f aca="false">IF(P30=20,N30*O30*Q30*2.466*1,IF(P30&gt;20,"",IF(P30&lt;20,"")))</f>
        <v/>
      </c>
      <c r="X30" s="106" t="str">
        <f aca="false">IF(P30=25,N30*O30*Q30*3.853*1,IF(P30&gt;25,"",IF(P30&lt;25,"")))</f>
        <v/>
      </c>
      <c r="Y30" s="108" t="str">
        <f aca="false">IF(P30=32,N30*O30*Q30*6.313*1,IF(P30&gt;32,"",IF(P30&lt;32,"")))</f>
        <v/>
      </c>
      <c r="Z30" s="109"/>
      <c r="AA30" s="110" t="str">
        <f aca="false">IF(AC30&gt;0,N30,"")</f>
        <v/>
      </c>
      <c r="AB30" s="111" t="str">
        <f aca="false">IF(AC30&gt;0,O30,"")</f>
        <v/>
      </c>
      <c r="AC30" s="112"/>
      <c r="AD30" s="112"/>
      <c r="AE30" s="113" t="str">
        <f aca="false">IF(AC30&gt;0,P30,"")</f>
        <v/>
      </c>
      <c r="AF30" s="114" t="str">
        <f aca="false">IF(AE30=6,AA30*AB30*AC30*AD30*(AE30/1000)*0.222*1,IF(AE30&gt;6,"",IF(AE30&lt;6,"")))</f>
        <v/>
      </c>
      <c r="AG30" s="107" t="str">
        <f aca="false">IF(AE30=8,AA30*AB30*AC30*AD30*(AE30/1000)*0.395*1,IF(AE30&gt;8,"",IF(AE30&lt;8,"")))</f>
        <v/>
      </c>
      <c r="AH30" s="107" t="str">
        <f aca="false">IF(AE30=10,AA30*AB30*AC30*AD30*(AE30/1000)*0.617*1,IF(AE30&gt;10,"",IF(AE30&lt;10,"")))</f>
        <v/>
      </c>
      <c r="AI30" s="107" t="str">
        <f aca="false">IF(AE30=12,AA30*AB30*AC30*AD30*(AE30/1000)*0.888*1,IF(AE30&gt;12,"",IF(AE30&lt;12,"")))</f>
        <v/>
      </c>
      <c r="AJ30" s="107" t="str">
        <f aca="false">IF(AE30=16,AA30*AB30*AC30*AD30*(AE30/1000)*1.578*1,IF(AE30&gt;16,"",IF(AE30&lt;16,"")))</f>
        <v/>
      </c>
      <c r="AK30" s="107" t="str">
        <f aca="false">IF(AE30=20,AA30*AB30*AC30*AD30*(AE30/1000)*2.466*1,IF(AE30&gt;20,"",IF(AE30&lt;20,"")))</f>
        <v/>
      </c>
      <c r="AL30" s="107" t="str">
        <f aca="false">IF(AE30=25,AA30*AB30*AC30*AD30*(AE30/1000)*3.853*1,IF(AE30&gt;25,"",IF(AE30&lt;25,"")))</f>
        <v/>
      </c>
      <c r="AM30" s="115" t="str">
        <f aca="false">IF(AE30=32,AA30*AB30*AC30*AD30*(AE30/1000)*6.313*1,IF(AE30&gt;32,"",IF(AE30&lt;32,"")))</f>
        <v/>
      </c>
      <c r="AN30" s="128"/>
      <c r="AO30" s="117" t="s">
        <v>178</v>
      </c>
      <c r="AP30" s="118" t="n">
        <f aca="false">SUM(R30:Y30)+SUM(AN30)</f>
        <v>0</v>
      </c>
      <c r="AQ30" s="118" t="n">
        <f aca="false">SUM(AF30:AM30)</f>
        <v>0</v>
      </c>
      <c r="AR30" s="118" t="n">
        <v>0.3742</v>
      </c>
      <c r="AS30" s="119" t="s">
        <v>315</v>
      </c>
      <c r="AT30" s="119" t="s">
        <v>209</v>
      </c>
    </row>
    <row r="31" customFormat="false" ht="13.5" hidden="false" customHeight="false" outlineLevel="0" collapsed="false">
      <c r="A31" s="129"/>
      <c r="B31" s="172"/>
      <c r="C31" s="110"/>
      <c r="D31" s="122"/>
      <c r="E31" s="122"/>
      <c r="F31" s="173"/>
      <c r="G31" s="123"/>
      <c r="H31" s="101"/>
      <c r="I31" s="123"/>
      <c r="J31" s="101"/>
      <c r="K31" s="124" t="s">
        <v>305</v>
      </c>
      <c r="L31" s="125"/>
      <c r="M31" s="125"/>
      <c r="N31" s="126" t="n">
        <f aca="false">$C$30</f>
        <v>1</v>
      </c>
      <c r="O31" s="126" t="n">
        <v>3</v>
      </c>
      <c r="P31" s="126" t="n">
        <v>16</v>
      </c>
      <c r="Q31" s="127" t="n">
        <f aca="false">3.3468+2*50*16/1000</f>
        <v>4.9468</v>
      </c>
      <c r="R31" s="105" t="str">
        <f aca="false">IF(P31=6,N31*O31*Q31*0.222*1,IF(P31&gt;6,"",IF(P31&lt;6,"")))</f>
        <v/>
      </c>
      <c r="S31" s="106" t="str">
        <f aca="false">IF(P31=8,N31*O31*Q31*0.395*1,IF(P31&gt;8,"",IF(P31&lt;8,"")))</f>
        <v/>
      </c>
      <c r="T31" s="106" t="str">
        <f aca="false">IF(P31=10,N31*O31*Q31*0.617*1,IF(P31&gt;10,"",IF(P31&lt;10,"")))</f>
        <v/>
      </c>
      <c r="U31" s="106" t="str">
        <f aca="false">IF(P31=12,N31*O31*Q31*0.888*1,IF(P31&gt;12,"",IF(P31&lt;12,"")))</f>
        <v/>
      </c>
      <c r="V31" s="107" t="n">
        <f aca="false">IF(P31=16,N31*O31*Q31*1.578*1,IF(P31&gt;16,"",IF(P31&lt;16,"")))</f>
        <v>23.4181512</v>
      </c>
      <c r="W31" s="106" t="str">
        <f aca="false">IF(P31=20,N31*O31*Q31*2.466*1,IF(P31&gt;20,"",IF(P31&lt;20,"")))</f>
        <v/>
      </c>
      <c r="X31" s="106" t="str">
        <f aca="false">IF(P31=25,N31*O31*Q31*3.853*1,IF(P31&gt;25,"",IF(P31&lt;25,"")))</f>
        <v/>
      </c>
      <c r="Y31" s="108" t="str">
        <f aca="false">IF(P31=32,N31*O31*Q31*6.313*1,IF(P31&gt;32,"",IF(P31&lt;32,"")))</f>
        <v/>
      </c>
      <c r="Z31" s="109"/>
      <c r="AA31" s="110" t="str">
        <f aca="false">IF(AC31&gt;0,N31,"")</f>
        <v/>
      </c>
      <c r="AB31" s="111" t="str">
        <f aca="false">IF(AC31&gt;0,O31,"")</f>
        <v/>
      </c>
      <c r="AC31" s="112"/>
      <c r="AD31" s="112"/>
      <c r="AE31" s="113" t="str">
        <f aca="false">IF(AC31&gt;0,P31,"")</f>
        <v/>
      </c>
      <c r="AF31" s="114" t="str">
        <f aca="false">IF(AE31=6,AA31*AB31*AC31*AD31*(AE31/1000)*0.222*1,IF(AE31&gt;6,"",IF(AE31&lt;6,"")))</f>
        <v/>
      </c>
      <c r="AG31" s="107" t="str">
        <f aca="false">IF(AE31=8,AA31*AB31*AC31*AD31*(AE31/1000)*0.395*1,IF(AE31&gt;8,"",IF(AE31&lt;8,"")))</f>
        <v/>
      </c>
      <c r="AH31" s="107" t="str">
        <f aca="false">IF(AE31=10,AA31*AB31*AC31*AD31*(AE31/1000)*0.617*1,IF(AE31&gt;10,"",IF(AE31&lt;10,"")))</f>
        <v/>
      </c>
      <c r="AI31" s="107" t="str">
        <f aca="false">IF(AE31=12,AA31*AB31*AC31*AD31*(AE31/1000)*0.888*1,IF(AE31&gt;12,"",IF(AE31&lt;12,"")))</f>
        <v/>
      </c>
      <c r="AJ31" s="107" t="str">
        <f aca="false">IF(AE31=16,AA31*AB31*AC31*AD31*(AE31/1000)*1.578*1,IF(AE31&gt;16,"",IF(AE31&lt;16,"")))</f>
        <v/>
      </c>
      <c r="AK31" s="107" t="str">
        <f aca="false">IF(AE31=20,AA31*AB31*AC31*AD31*(AE31/1000)*2.466*1,IF(AE31&gt;20,"",IF(AE31&lt;20,"")))</f>
        <v/>
      </c>
      <c r="AL31" s="107" t="str">
        <f aca="false">IF(AE31=25,AA31*AB31*AC31*AD31*(AE31/1000)*3.853*1,IF(AE31&gt;25,"",IF(AE31&lt;25,"")))</f>
        <v/>
      </c>
      <c r="AM31" s="115" t="str">
        <f aca="false">IF(AE31=32,AA31*AB31*AC31*AD31*(AE31/1000)*6.313*1,IF(AE31&gt;32,"",IF(AE31&lt;32,"")))</f>
        <v/>
      </c>
      <c r="AN31" s="128"/>
      <c r="AO31" s="117" t="s">
        <v>178</v>
      </c>
      <c r="AP31" s="118" t="n">
        <f aca="false">SUM(R31:Y31)+SUM(AN31)</f>
        <v>23.4181512</v>
      </c>
      <c r="AQ31" s="118" t="n">
        <f aca="false">SUM(AF31:AM31)</f>
        <v>0</v>
      </c>
      <c r="AR31" s="118"/>
      <c r="AS31" s="119"/>
      <c r="AT31" s="119" t="s">
        <v>162</v>
      </c>
    </row>
    <row r="32" s="55" customFormat="true" ht="13.5" hidden="false" customHeight="false" outlineLevel="0" collapsed="false">
      <c r="A32" s="129"/>
      <c r="B32" s="172"/>
      <c r="C32" s="110"/>
      <c r="D32" s="122"/>
      <c r="E32" s="122"/>
      <c r="F32" s="173"/>
      <c r="G32" s="123"/>
      <c r="H32" s="101"/>
      <c r="I32" s="123"/>
      <c r="J32" s="101"/>
      <c r="K32" s="124" t="s">
        <v>306</v>
      </c>
      <c r="L32" s="125"/>
      <c r="M32" s="125"/>
      <c r="N32" s="126" t="n">
        <f aca="false">$C$30</f>
        <v>1</v>
      </c>
      <c r="O32" s="126" t="n">
        <v>3</v>
      </c>
      <c r="P32" s="126" t="n">
        <v>16</v>
      </c>
      <c r="Q32" s="127" t="n">
        <f aca="false">3.3468+2*50*16/1000</f>
        <v>4.9468</v>
      </c>
      <c r="R32" s="105" t="str">
        <f aca="false">IF(P32=6,N32*O32*Q32*0.222*1,IF(P32&gt;6,"",IF(P32&lt;6,"")))</f>
        <v/>
      </c>
      <c r="S32" s="106" t="str">
        <f aca="false">IF(P32=8,N32*O32*Q32*0.395*1,IF(P32&gt;8,"",IF(P32&lt;8,"")))</f>
        <v/>
      </c>
      <c r="T32" s="106" t="str">
        <f aca="false">IF(P32=10,N32*O32*Q32*0.617*1,IF(P32&gt;10,"",IF(P32&lt;10,"")))</f>
        <v/>
      </c>
      <c r="U32" s="106" t="str">
        <f aca="false">IF(P32=12,N32*O32*Q32*0.888*1,IF(P32&gt;12,"",IF(P32&lt;12,"")))</f>
        <v/>
      </c>
      <c r="V32" s="107" t="n">
        <f aca="false">IF(P32=16,N32*O32*Q32*1.578*1,IF(P32&gt;16,"",IF(P32&lt;16,"")))</f>
        <v>23.4181512</v>
      </c>
      <c r="W32" s="106" t="str">
        <f aca="false">IF(P32=20,N32*O32*Q32*2.466*1,IF(P32&gt;20,"",IF(P32&lt;20,"")))</f>
        <v/>
      </c>
      <c r="X32" s="106" t="str">
        <f aca="false">IF(P32=25,N32*O32*Q32*3.853*1,IF(P32&gt;25,"",IF(P32&lt;25,"")))</f>
        <v/>
      </c>
      <c r="Y32" s="108" t="str">
        <f aca="false">IF(P32=32,N32*O32*Q32*6.313*1,IF(P32&gt;32,"",IF(P32&lt;32,"")))</f>
        <v/>
      </c>
      <c r="Z32" s="109"/>
      <c r="AA32" s="110" t="str">
        <f aca="false">IF(AC32&gt;0,N32,"")</f>
        <v/>
      </c>
      <c r="AB32" s="111" t="str">
        <f aca="false">IF(AC32&gt;0,O32,"")</f>
        <v/>
      </c>
      <c r="AC32" s="112"/>
      <c r="AD32" s="112"/>
      <c r="AE32" s="113" t="str">
        <f aca="false">IF(AC32&gt;0,P32,"")</f>
        <v/>
      </c>
      <c r="AF32" s="114" t="str">
        <f aca="false">IF(AE32=6,AA32*AB32*AC32*AD32*(AE32/1000)*0.222*1,IF(AE32&gt;6,"",IF(AE32&lt;6,"")))</f>
        <v/>
      </c>
      <c r="AG32" s="107" t="str">
        <f aca="false">IF(AE32=8,AA32*AB32*AC32*AD32*(AE32/1000)*0.395*1,IF(AE32&gt;8,"",IF(AE32&lt;8,"")))</f>
        <v/>
      </c>
      <c r="AH32" s="107" t="str">
        <f aca="false">IF(AE32=10,AA32*AB32*AC32*AD32*(AE32/1000)*0.617*1,IF(AE32&gt;10,"",IF(AE32&lt;10,"")))</f>
        <v/>
      </c>
      <c r="AI32" s="107" t="str">
        <f aca="false">IF(AE32=12,AA32*AB32*AC32*AD32*(AE32/1000)*0.888*1,IF(AE32&gt;12,"",IF(AE32&lt;12,"")))</f>
        <v/>
      </c>
      <c r="AJ32" s="107" t="str">
        <f aca="false">IF(AE32=16,AA32*AB32*AC32*AD32*(AE32/1000)*1.578*1,IF(AE32&gt;16,"",IF(AE32&lt;16,"")))</f>
        <v/>
      </c>
      <c r="AK32" s="107" t="str">
        <f aca="false">IF(AE32=20,AA32*AB32*AC32*AD32*(AE32/1000)*2.466*1,IF(AE32&gt;20,"",IF(AE32&lt;20,"")))</f>
        <v/>
      </c>
      <c r="AL32" s="107" t="str">
        <f aca="false">IF(AE32=25,AA32*AB32*AC32*AD32*(AE32/1000)*3.853*1,IF(AE32&gt;25,"",IF(AE32&lt;25,"")))</f>
        <v/>
      </c>
      <c r="AM32" s="115" t="str">
        <f aca="false">IF(AE32=32,AA32*AB32*AC32*AD32*(AE32/1000)*6.313*1,IF(AE32&gt;32,"",IF(AE32&lt;32,"")))</f>
        <v/>
      </c>
      <c r="AN32" s="128"/>
      <c r="AO32" s="117" t="s">
        <v>178</v>
      </c>
      <c r="AP32" s="118" t="n">
        <f aca="false">SUM(R32:Y32)+SUM(AN32)</f>
        <v>23.4181512</v>
      </c>
      <c r="AQ32" s="118" t="n">
        <f aca="false">SUM(AF32:AM32)</f>
        <v>0</v>
      </c>
      <c r="AR32" s="118"/>
      <c r="AS32" s="119"/>
      <c r="AT32" s="119" t="s">
        <v>162</v>
      </c>
    </row>
    <row r="33" s="95" customFormat="true" ht="13.5" hidden="false" customHeight="false" outlineLevel="0" collapsed="false">
      <c r="A33" s="129"/>
      <c r="B33" s="172"/>
      <c r="C33" s="110"/>
      <c r="D33" s="122"/>
      <c r="E33" s="122"/>
      <c r="F33" s="173"/>
      <c r="G33" s="123"/>
      <c r="H33" s="101"/>
      <c r="I33" s="123"/>
      <c r="J33" s="101"/>
      <c r="K33" s="124" t="s">
        <v>307</v>
      </c>
      <c r="L33" s="125" t="n">
        <f aca="false">$F$30</f>
        <v>3.11833333333333</v>
      </c>
      <c r="M33" s="125" t="n">
        <v>0.15</v>
      </c>
      <c r="N33" s="126" t="n">
        <f aca="false">$C$30</f>
        <v>1</v>
      </c>
      <c r="O33" s="126" t="n">
        <f aca="false">CEILING(L33/M33,1)+1</f>
        <v>22</v>
      </c>
      <c r="P33" s="126" t="n">
        <v>8</v>
      </c>
      <c r="Q33" s="127" t="n">
        <f aca="false">2*($D$30-2*0.05)+2*($E$30-2*0.05)+20*8/1000</f>
        <v>1.24</v>
      </c>
      <c r="R33" s="105" t="str">
        <f aca="false">IF(P33=6,N33*O33*Q33*0.222*1,IF(P33&gt;6,"",IF(P33&lt;6,"")))</f>
        <v/>
      </c>
      <c r="S33" s="106" t="n">
        <f aca="false">IF(P33=8,N33*O33*Q33*0.395*1,IF(P33&gt;8,"",IF(P33&lt;8,"")))</f>
        <v>10.7756</v>
      </c>
      <c r="T33" s="106" t="str">
        <f aca="false">IF(P33=10,N33*O33*Q33*0.617*1,IF(P33&gt;10,"",IF(P33&lt;10,"")))</f>
        <v/>
      </c>
      <c r="U33" s="106" t="str">
        <f aca="false">IF(P33=12,N33*O33*Q33*0.888*1,IF(P33&gt;12,"",IF(P33&lt;12,"")))</f>
        <v/>
      </c>
      <c r="V33" s="107" t="str">
        <f aca="false">IF(P33=16,N33*O33*Q33*1.578*1,IF(P33&gt;16,"",IF(P33&lt;16,"")))</f>
        <v/>
      </c>
      <c r="W33" s="106" t="str">
        <f aca="false">IF(P33=20,N33*O33*Q33*2.466*1,IF(P33&gt;20,"",IF(P33&lt;20,"")))</f>
        <v/>
      </c>
      <c r="X33" s="106" t="str">
        <f aca="false">IF(P33=25,N33*O33*Q33*3.853*1,IF(P33&gt;25,"",IF(P33&lt;25,"")))</f>
        <v/>
      </c>
      <c r="Y33" s="108" t="str">
        <f aca="false">IF(P33=32,N33*O33*Q33*6.313*1,IF(P33&gt;32,"",IF(P33&lt;32,"")))</f>
        <v/>
      </c>
      <c r="Z33" s="109"/>
      <c r="AA33" s="110" t="str">
        <f aca="false">IF(AC33&gt;0,N33,"")</f>
        <v/>
      </c>
      <c r="AB33" s="111" t="str">
        <f aca="false">IF(AC33&gt;0,O33,"")</f>
        <v/>
      </c>
      <c r="AC33" s="112"/>
      <c r="AD33" s="112"/>
      <c r="AE33" s="113" t="str">
        <f aca="false">IF(AC33&gt;0,P33,"")</f>
        <v/>
      </c>
      <c r="AF33" s="114" t="str">
        <f aca="false">IF(AE33=6,AA33*AB33*AC33*AD33*(AE33/1000)*0.222*1,IF(AE33&gt;6,"",IF(AE33&lt;6,"")))</f>
        <v/>
      </c>
      <c r="AG33" s="107" t="str">
        <f aca="false">IF(AE33=8,AA33*AB33*AC33*AD33*(AE33/1000)*0.395*1,IF(AE33&gt;8,"",IF(AE33&lt;8,"")))</f>
        <v/>
      </c>
      <c r="AH33" s="107" t="str">
        <f aca="false">IF(AE33=10,AA33*AB33*AC33*AD33*(AE33/1000)*0.617*1,IF(AE33&gt;10,"",IF(AE33&lt;10,"")))</f>
        <v/>
      </c>
      <c r="AI33" s="107" t="str">
        <f aca="false">IF(AE33=12,AA33*AB33*AC33*AD33*(AE33/1000)*0.888*1,IF(AE33&gt;12,"",IF(AE33&lt;12,"")))</f>
        <v/>
      </c>
      <c r="AJ33" s="107" t="str">
        <f aca="false">IF(AE33=16,AA33*AB33*AC33*AD33*(AE33/1000)*1.578*1,IF(AE33&gt;16,"",IF(AE33&lt;16,"")))</f>
        <v/>
      </c>
      <c r="AK33" s="107" t="str">
        <f aca="false">IF(AE33=20,AA33*AB33*AC33*AD33*(AE33/1000)*2.466*1,IF(AE33&gt;20,"",IF(AE33&lt;20,"")))</f>
        <v/>
      </c>
      <c r="AL33" s="107" t="str">
        <f aca="false">IF(AE33=25,AA33*AB33*AC33*AD33*(AE33/1000)*3.853*1,IF(AE33&gt;25,"",IF(AE33&lt;25,"")))</f>
        <v/>
      </c>
      <c r="AM33" s="115" t="str">
        <f aca="false">IF(AE33=32,AA33*AB33*AC33*AD33*(AE33/1000)*6.313*1,IF(AE33&gt;32,"",IF(AE33&lt;32,"")))</f>
        <v/>
      </c>
      <c r="AN33" s="128"/>
      <c r="AO33" s="117" t="s">
        <v>178</v>
      </c>
      <c r="AP33" s="118" t="n">
        <f aca="false">SUM(R33:Y33)+SUM(AN33)</f>
        <v>10.7756</v>
      </c>
      <c r="AQ33" s="118" t="n">
        <f aca="false">SUM(AF33:AM33)</f>
        <v>0</v>
      </c>
      <c r="AR33" s="118"/>
      <c r="AS33" s="119"/>
      <c r="AT33" s="119" t="s">
        <v>162</v>
      </c>
    </row>
    <row r="34" s="116" customFormat="true" ht="13.5" hidden="false" customHeight="false" outlineLevel="0" collapsed="false">
      <c r="A34" s="120"/>
      <c r="B34" s="121" t="s">
        <v>316</v>
      </c>
      <c r="C34" s="110" t="n">
        <v>1</v>
      </c>
      <c r="D34" s="122" t="n">
        <v>0.24</v>
      </c>
      <c r="E34" s="122" t="n">
        <v>0.5</v>
      </c>
      <c r="F34" s="122" t="n">
        <f aca="false">0.5154/(0.24*0.5)</f>
        <v>4.295</v>
      </c>
      <c r="G34" s="123" t="n">
        <f aca="false">C34*D34*E34*F34</f>
        <v>0.5154</v>
      </c>
      <c r="H34" s="101"/>
      <c r="I34" s="123" t="n">
        <f aca="false">C34*F34*2*E34</f>
        <v>4.295</v>
      </c>
      <c r="J34" s="101"/>
      <c r="K34" s="124"/>
      <c r="L34" s="125"/>
      <c r="M34" s="125"/>
      <c r="N34" s="126"/>
      <c r="O34" s="126"/>
      <c r="P34" s="126"/>
      <c r="Q34" s="127"/>
      <c r="R34" s="105" t="str">
        <f aca="false">IF(P34=6,N34*O34*Q34*0.222*1,IF(P34&gt;6,"",IF(P34&lt;6,"")))</f>
        <v/>
      </c>
      <c r="S34" s="106" t="str">
        <f aca="false">IF(P34=8,N34*O34*Q34*0.395*1,IF(P34&gt;8,"",IF(P34&lt;8,"")))</f>
        <v/>
      </c>
      <c r="T34" s="106" t="str">
        <f aca="false">IF(P34=10,N34*O34*Q34*0.617*1,IF(P34&gt;10,"",IF(P34&lt;10,"")))</f>
        <v/>
      </c>
      <c r="U34" s="106" t="str">
        <f aca="false">IF(P34=12,N34*O34*Q34*0.888*1,IF(P34&gt;12,"",IF(P34&lt;12,"")))</f>
        <v/>
      </c>
      <c r="V34" s="107" t="str">
        <f aca="false">IF(P34=16,N34*O34*Q34*1.578*1,IF(P34&gt;16,"",IF(P34&lt;16,"")))</f>
        <v/>
      </c>
      <c r="W34" s="106" t="str">
        <f aca="false">IF(P34=20,N34*O34*Q34*2.466*1,IF(P34&gt;20,"",IF(P34&lt;20,"")))</f>
        <v/>
      </c>
      <c r="X34" s="106" t="str">
        <f aca="false">IF(P34=25,N34*O34*Q34*3.853*1,IF(P34&gt;25,"",IF(P34&lt;25,"")))</f>
        <v/>
      </c>
      <c r="Y34" s="108" t="str">
        <f aca="false">IF(P34=32,N34*O34*Q34*6.313*1,IF(P34&gt;32,"",IF(P34&lt;32,"")))</f>
        <v/>
      </c>
      <c r="Z34" s="109"/>
      <c r="AA34" s="110" t="str">
        <f aca="false">IF(AC34&gt;0,N34,"")</f>
        <v/>
      </c>
      <c r="AB34" s="111" t="str">
        <f aca="false">IF(AC34&gt;0,O34,"")</f>
        <v/>
      </c>
      <c r="AC34" s="112"/>
      <c r="AD34" s="112"/>
      <c r="AE34" s="113" t="str">
        <f aca="false">IF(AC34&gt;0,P34,"")</f>
        <v/>
      </c>
      <c r="AF34" s="114" t="str">
        <f aca="false">IF(AE34=6,AA34*AB34*AC34*AD34*(AE34/1000)*0.222*1,IF(AE34&gt;6,"",IF(AE34&lt;6,"")))</f>
        <v/>
      </c>
      <c r="AG34" s="107" t="str">
        <f aca="false">IF(AE34=8,AA34*AB34*AC34*AD34*(AE34/1000)*0.395*1,IF(AE34&gt;8,"",IF(AE34&lt;8,"")))</f>
        <v/>
      </c>
      <c r="AH34" s="107" t="str">
        <f aca="false">IF(AE34=10,AA34*AB34*AC34*AD34*(AE34/1000)*0.617*1,IF(AE34&gt;10,"",IF(AE34&lt;10,"")))</f>
        <v/>
      </c>
      <c r="AI34" s="107" t="str">
        <f aca="false">IF(AE34=12,AA34*AB34*AC34*AD34*(AE34/1000)*0.888*1,IF(AE34&gt;12,"",IF(AE34&lt;12,"")))</f>
        <v/>
      </c>
      <c r="AJ34" s="107" t="str">
        <f aca="false">IF(AE34=16,AA34*AB34*AC34*AD34*(AE34/1000)*1.578*1,IF(AE34&gt;16,"",IF(AE34&lt;16,"")))</f>
        <v/>
      </c>
      <c r="AK34" s="107" t="str">
        <f aca="false">IF(AE34=20,AA34*AB34*AC34*AD34*(AE34/1000)*2.466*1,IF(AE34&gt;20,"",IF(AE34&lt;20,"")))</f>
        <v/>
      </c>
      <c r="AL34" s="107" t="str">
        <f aca="false">IF(AE34=25,AA34*AB34*AC34*AD34*(AE34/1000)*3.853*1,IF(AE34&gt;25,"",IF(AE34&lt;25,"")))</f>
        <v/>
      </c>
      <c r="AM34" s="115" t="str">
        <f aca="false">IF(AE34=32,AA34*AB34*AC34*AD34*(AE34/1000)*6.313*1,IF(AE34&gt;32,"",IF(AE34&lt;32,"")))</f>
        <v/>
      </c>
      <c r="AN34" s="128"/>
      <c r="AO34" s="117" t="s">
        <v>178</v>
      </c>
      <c r="AP34" s="118" t="n">
        <f aca="false">SUM(R34:Y34)+SUM(AN34)</f>
        <v>0</v>
      </c>
      <c r="AQ34" s="118" t="n">
        <f aca="false">SUM(AF34:AM34)</f>
        <v>0</v>
      </c>
      <c r="AR34" s="118" t="n">
        <v>0.5154</v>
      </c>
      <c r="AS34" s="119" t="s">
        <v>317</v>
      </c>
      <c r="AT34" s="119" t="s">
        <v>209</v>
      </c>
    </row>
    <row r="35" customFormat="false" ht="13.5" hidden="false" customHeight="false" outlineLevel="0" collapsed="false">
      <c r="A35" s="129"/>
      <c r="B35" s="172"/>
      <c r="C35" s="110"/>
      <c r="D35" s="122"/>
      <c r="E35" s="122"/>
      <c r="F35" s="173"/>
      <c r="G35" s="123"/>
      <c r="H35" s="101"/>
      <c r="I35" s="123"/>
      <c r="J35" s="101"/>
      <c r="K35" s="124" t="s">
        <v>305</v>
      </c>
      <c r="L35" s="125"/>
      <c r="M35" s="125"/>
      <c r="N35" s="126" t="n">
        <f aca="false">$C$34</f>
        <v>1</v>
      </c>
      <c r="O35" s="126" t="n">
        <v>3</v>
      </c>
      <c r="P35" s="126" t="n">
        <v>16</v>
      </c>
      <c r="Q35" s="127" t="n">
        <f aca="false">4.2949+2*50*16/1000</f>
        <v>5.8949</v>
      </c>
      <c r="R35" s="105" t="str">
        <f aca="false">IF(P35=6,N35*O35*Q35*0.222*1,IF(P35&gt;6,"",IF(P35&lt;6,"")))</f>
        <v/>
      </c>
      <c r="S35" s="106" t="str">
        <f aca="false">IF(P35=8,N35*O35*Q35*0.395*1,IF(P35&gt;8,"",IF(P35&lt;8,"")))</f>
        <v/>
      </c>
      <c r="T35" s="106" t="str">
        <f aca="false">IF(P35=10,N35*O35*Q35*0.617*1,IF(P35&gt;10,"",IF(P35&lt;10,"")))</f>
        <v/>
      </c>
      <c r="U35" s="106" t="str">
        <f aca="false">IF(P35=12,N35*O35*Q35*0.888*1,IF(P35&gt;12,"",IF(P35&lt;12,"")))</f>
        <v/>
      </c>
      <c r="V35" s="107" t="n">
        <f aca="false">IF(P35=16,N35*O35*Q35*1.578*1,IF(P35&gt;16,"",IF(P35&lt;16,"")))</f>
        <v>27.9064566</v>
      </c>
      <c r="W35" s="106" t="str">
        <f aca="false">IF(P35=20,N35*O35*Q35*2.466*1,IF(P35&gt;20,"",IF(P35&lt;20,"")))</f>
        <v/>
      </c>
      <c r="X35" s="106" t="str">
        <f aca="false">IF(P35=25,N35*O35*Q35*3.853*1,IF(P35&gt;25,"",IF(P35&lt;25,"")))</f>
        <v/>
      </c>
      <c r="Y35" s="108" t="str">
        <f aca="false">IF(P35=32,N35*O35*Q35*6.313*1,IF(P35&gt;32,"",IF(P35&lt;32,"")))</f>
        <v/>
      </c>
      <c r="Z35" s="109"/>
      <c r="AA35" s="110" t="str">
        <f aca="false">IF(AC35&gt;0,N35,"")</f>
        <v/>
      </c>
      <c r="AB35" s="111" t="str">
        <f aca="false">IF(AC35&gt;0,O35,"")</f>
        <v/>
      </c>
      <c r="AC35" s="112"/>
      <c r="AD35" s="112"/>
      <c r="AE35" s="113" t="str">
        <f aca="false">IF(AC35&gt;0,P35,"")</f>
        <v/>
      </c>
      <c r="AF35" s="114" t="str">
        <f aca="false">IF(AE35=6,AA35*AB35*AC35*AD35*(AE35/1000)*0.222*1,IF(AE35&gt;6,"",IF(AE35&lt;6,"")))</f>
        <v/>
      </c>
      <c r="AG35" s="107" t="str">
        <f aca="false">IF(AE35=8,AA35*AB35*AC35*AD35*(AE35/1000)*0.395*1,IF(AE35&gt;8,"",IF(AE35&lt;8,"")))</f>
        <v/>
      </c>
      <c r="AH35" s="107" t="str">
        <f aca="false">IF(AE35=10,AA35*AB35*AC35*AD35*(AE35/1000)*0.617*1,IF(AE35&gt;10,"",IF(AE35&lt;10,"")))</f>
        <v/>
      </c>
      <c r="AI35" s="107" t="str">
        <f aca="false">IF(AE35=12,AA35*AB35*AC35*AD35*(AE35/1000)*0.888*1,IF(AE35&gt;12,"",IF(AE35&lt;12,"")))</f>
        <v/>
      </c>
      <c r="AJ35" s="107" t="str">
        <f aca="false">IF(AE35=16,AA35*AB35*AC35*AD35*(AE35/1000)*1.578*1,IF(AE35&gt;16,"",IF(AE35&lt;16,"")))</f>
        <v/>
      </c>
      <c r="AK35" s="107" t="str">
        <f aca="false">IF(AE35=20,AA35*AB35*AC35*AD35*(AE35/1000)*2.466*1,IF(AE35&gt;20,"",IF(AE35&lt;20,"")))</f>
        <v/>
      </c>
      <c r="AL35" s="107" t="str">
        <f aca="false">IF(AE35=25,AA35*AB35*AC35*AD35*(AE35/1000)*3.853*1,IF(AE35&gt;25,"",IF(AE35&lt;25,"")))</f>
        <v/>
      </c>
      <c r="AM35" s="115" t="str">
        <f aca="false">IF(AE35=32,AA35*AB35*AC35*AD35*(AE35/1000)*6.313*1,IF(AE35&gt;32,"",IF(AE35&lt;32,"")))</f>
        <v/>
      </c>
      <c r="AN35" s="128"/>
      <c r="AO35" s="117" t="s">
        <v>178</v>
      </c>
      <c r="AP35" s="118" t="n">
        <f aca="false">SUM(R35:Y35)+SUM(AN35)</f>
        <v>27.9064566</v>
      </c>
      <c r="AQ35" s="118" t="n">
        <f aca="false">SUM(AF35:AM35)</f>
        <v>0</v>
      </c>
      <c r="AR35" s="118"/>
      <c r="AS35" s="119"/>
      <c r="AT35" s="119" t="s">
        <v>162</v>
      </c>
    </row>
    <row r="36" customFormat="false" ht="13.5" hidden="false" customHeight="false" outlineLevel="0" collapsed="false">
      <c r="A36" s="129"/>
      <c r="B36" s="172"/>
      <c r="C36" s="110"/>
      <c r="D36" s="122"/>
      <c r="E36" s="122"/>
      <c r="F36" s="173"/>
      <c r="G36" s="123"/>
      <c r="H36" s="101"/>
      <c r="I36" s="123"/>
      <c r="J36" s="101"/>
      <c r="K36" s="124" t="s">
        <v>306</v>
      </c>
      <c r="L36" s="125"/>
      <c r="M36" s="125"/>
      <c r="N36" s="126" t="n">
        <f aca="false">$C$34</f>
        <v>1</v>
      </c>
      <c r="O36" s="126" t="n">
        <v>3</v>
      </c>
      <c r="P36" s="126" t="n">
        <v>16</v>
      </c>
      <c r="Q36" s="127" t="n">
        <f aca="false">4.2949+2*50*16/1000</f>
        <v>5.8949</v>
      </c>
      <c r="R36" s="105" t="str">
        <f aca="false">IF(P36=6,N36*O36*Q36*0.222*1,IF(P36&gt;6,"",IF(P36&lt;6,"")))</f>
        <v/>
      </c>
      <c r="S36" s="106" t="str">
        <f aca="false">IF(P36=8,N36*O36*Q36*0.395*1,IF(P36&gt;8,"",IF(P36&lt;8,"")))</f>
        <v/>
      </c>
      <c r="T36" s="106" t="str">
        <f aca="false">IF(P36=10,N36*O36*Q36*0.617*1,IF(P36&gt;10,"",IF(P36&lt;10,"")))</f>
        <v/>
      </c>
      <c r="U36" s="106" t="str">
        <f aca="false">IF(P36=12,N36*O36*Q36*0.888*1,IF(P36&gt;12,"",IF(P36&lt;12,"")))</f>
        <v/>
      </c>
      <c r="V36" s="107" t="n">
        <f aca="false">IF(P36=16,N36*O36*Q36*1.578*1,IF(P36&gt;16,"",IF(P36&lt;16,"")))</f>
        <v>27.9064566</v>
      </c>
      <c r="W36" s="106" t="str">
        <f aca="false">IF(P36=20,N36*O36*Q36*2.466*1,IF(P36&gt;20,"",IF(P36&lt;20,"")))</f>
        <v/>
      </c>
      <c r="X36" s="106" t="str">
        <f aca="false">IF(P36=25,N36*O36*Q36*3.853*1,IF(P36&gt;25,"",IF(P36&lt;25,"")))</f>
        <v/>
      </c>
      <c r="Y36" s="108" t="str">
        <f aca="false">IF(P36=32,N36*O36*Q36*6.313*1,IF(P36&gt;32,"",IF(P36&lt;32,"")))</f>
        <v/>
      </c>
      <c r="Z36" s="109"/>
      <c r="AA36" s="110" t="str">
        <f aca="false">IF(AC36&gt;0,N36,"")</f>
        <v/>
      </c>
      <c r="AB36" s="111" t="str">
        <f aca="false">IF(AC36&gt;0,O36,"")</f>
        <v/>
      </c>
      <c r="AC36" s="112"/>
      <c r="AD36" s="112"/>
      <c r="AE36" s="113" t="str">
        <f aca="false">IF(AC36&gt;0,P36,"")</f>
        <v/>
      </c>
      <c r="AF36" s="114" t="str">
        <f aca="false">IF(AE36=6,AA36*AB36*AC36*AD36*(AE36/1000)*0.222*1,IF(AE36&gt;6,"",IF(AE36&lt;6,"")))</f>
        <v/>
      </c>
      <c r="AG36" s="107" t="str">
        <f aca="false">IF(AE36=8,AA36*AB36*AC36*AD36*(AE36/1000)*0.395*1,IF(AE36&gt;8,"",IF(AE36&lt;8,"")))</f>
        <v/>
      </c>
      <c r="AH36" s="107" t="str">
        <f aca="false">IF(AE36=10,AA36*AB36*AC36*AD36*(AE36/1000)*0.617*1,IF(AE36&gt;10,"",IF(AE36&lt;10,"")))</f>
        <v/>
      </c>
      <c r="AI36" s="107" t="str">
        <f aca="false">IF(AE36=12,AA36*AB36*AC36*AD36*(AE36/1000)*0.888*1,IF(AE36&gt;12,"",IF(AE36&lt;12,"")))</f>
        <v/>
      </c>
      <c r="AJ36" s="107" t="str">
        <f aca="false">IF(AE36=16,AA36*AB36*AC36*AD36*(AE36/1000)*1.578*1,IF(AE36&gt;16,"",IF(AE36&lt;16,"")))</f>
        <v/>
      </c>
      <c r="AK36" s="107" t="str">
        <f aca="false">IF(AE36=20,AA36*AB36*AC36*AD36*(AE36/1000)*2.466*1,IF(AE36&gt;20,"",IF(AE36&lt;20,"")))</f>
        <v/>
      </c>
      <c r="AL36" s="107" t="str">
        <f aca="false">IF(AE36=25,AA36*AB36*AC36*AD36*(AE36/1000)*3.853*1,IF(AE36&gt;25,"",IF(AE36&lt;25,"")))</f>
        <v/>
      </c>
      <c r="AM36" s="115" t="str">
        <f aca="false">IF(AE36=32,AA36*AB36*AC36*AD36*(AE36/1000)*6.313*1,IF(AE36&gt;32,"",IF(AE36&lt;32,"")))</f>
        <v/>
      </c>
      <c r="AN36" s="128"/>
      <c r="AO36" s="117" t="s">
        <v>178</v>
      </c>
      <c r="AP36" s="118" t="n">
        <f aca="false">SUM(R36:Y36)+SUM(AN36)</f>
        <v>27.9064566</v>
      </c>
      <c r="AQ36" s="118" t="n">
        <f aca="false">SUM(AF36:AM36)</f>
        <v>0</v>
      </c>
      <c r="AR36" s="118"/>
      <c r="AS36" s="119"/>
      <c r="AT36" s="119" t="s">
        <v>162</v>
      </c>
    </row>
    <row r="37" customFormat="false" ht="13.5" hidden="false" customHeight="false" outlineLevel="0" collapsed="false">
      <c r="A37" s="129"/>
      <c r="B37" s="172"/>
      <c r="C37" s="110"/>
      <c r="D37" s="122"/>
      <c r="E37" s="122"/>
      <c r="F37" s="173"/>
      <c r="G37" s="123"/>
      <c r="H37" s="101"/>
      <c r="I37" s="123"/>
      <c r="J37" s="101"/>
      <c r="K37" s="124" t="s">
        <v>307</v>
      </c>
      <c r="L37" s="125" t="n">
        <f aca="false">$F$34</f>
        <v>4.295</v>
      </c>
      <c r="M37" s="125" t="n">
        <v>0.15</v>
      </c>
      <c r="N37" s="126" t="n">
        <f aca="false">$C$34</f>
        <v>1</v>
      </c>
      <c r="O37" s="126" t="n">
        <f aca="false">CEILING(L37/M37,1)+1</f>
        <v>30</v>
      </c>
      <c r="P37" s="126" t="n">
        <v>8</v>
      </c>
      <c r="Q37" s="127" t="n">
        <f aca="false">2*($D$34-2*0.05)+2*($E$34-2*0.05)+20*8/1000</f>
        <v>1.24</v>
      </c>
      <c r="R37" s="105" t="str">
        <f aca="false">IF(P37=6,N37*O37*Q37*0.222*1,IF(P37&gt;6,"",IF(P37&lt;6,"")))</f>
        <v/>
      </c>
      <c r="S37" s="106" t="n">
        <f aca="false">IF(P37=8,N37*O37*Q37*0.395*1,IF(P37&gt;8,"",IF(P37&lt;8,"")))</f>
        <v>14.694</v>
      </c>
      <c r="T37" s="106" t="str">
        <f aca="false">IF(P37=10,N37*O37*Q37*0.617*1,IF(P37&gt;10,"",IF(P37&lt;10,"")))</f>
        <v/>
      </c>
      <c r="U37" s="106" t="str">
        <f aca="false">IF(P37=12,N37*O37*Q37*0.888*1,IF(P37&gt;12,"",IF(P37&lt;12,"")))</f>
        <v/>
      </c>
      <c r="V37" s="107" t="str">
        <f aca="false">IF(P37=16,N37*O37*Q37*1.578*1,IF(P37&gt;16,"",IF(P37&lt;16,"")))</f>
        <v/>
      </c>
      <c r="W37" s="106" t="str">
        <f aca="false">IF(P37=20,N37*O37*Q37*2.466*1,IF(P37&gt;20,"",IF(P37&lt;20,"")))</f>
        <v/>
      </c>
      <c r="X37" s="106" t="str">
        <f aca="false">IF(P37=25,N37*O37*Q37*3.853*1,IF(P37&gt;25,"",IF(P37&lt;25,"")))</f>
        <v/>
      </c>
      <c r="Y37" s="108" t="str">
        <f aca="false">IF(P37=32,N37*O37*Q37*6.313*1,IF(P37&gt;32,"",IF(P37&lt;32,"")))</f>
        <v/>
      </c>
      <c r="Z37" s="109"/>
      <c r="AA37" s="110" t="str">
        <f aca="false">IF(AC37&gt;0,N37,"")</f>
        <v/>
      </c>
      <c r="AB37" s="111" t="str">
        <f aca="false">IF(AC37&gt;0,O37,"")</f>
        <v/>
      </c>
      <c r="AC37" s="112"/>
      <c r="AD37" s="112"/>
      <c r="AE37" s="113" t="str">
        <f aca="false">IF(AC37&gt;0,P37,"")</f>
        <v/>
      </c>
      <c r="AF37" s="114" t="str">
        <f aca="false">IF(AE37=6,AA37*AB37*AC37*AD37*(AE37/1000)*0.222*1,IF(AE37&gt;6,"",IF(AE37&lt;6,"")))</f>
        <v/>
      </c>
      <c r="AG37" s="107" t="str">
        <f aca="false">IF(AE37=8,AA37*AB37*AC37*AD37*(AE37/1000)*0.395*1,IF(AE37&gt;8,"",IF(AE37&lt;8,"")))</f>
        <v/>
      </c>
      <c r="AH37" s="107" t="str">
        <f aca="false">IF(AE37=10,AA37*AB37*AC37*AD37*(AE37/1000)*0.617*1,IF(AE37&gt;10,"",IF(AE37&lt;10,"")))</f>
        <v/>
      </c>
      <c r="AI37" s="107" t="str">
        <f aca="false">IF(AE37=12,AA37*AB37*AC37*AD37*(AE37/1000)*0.888*1,IF(AE37&gt;12,"",IF(AE37&lt;12,"")))</f>
        <v/>
      </c>
      <c r="AJ37" s="107" t="str">
        <f aca="false">IF(AE37=16,AA37*AB37*AC37*AD37*(AE37/1000)*1.578*1,IF(AE37&gt;16,"",IF(AE37&lt;16,"")))</f>
        <v/>
      </c>
      <c r="AK37" s="107" t="str">
        <f aca="false">IF(AE37=20,AA37*AB37*AC37*AD37*(AE37/1000)*2.466*1,IF(AE37&gt;20,"",IF(AE37&lt;20,"")))</f>
        <v/>
      </c>
      <c r="AL37" s="107" t="str">
        <f aca="false">IF(AE37=25,AA37*AB37*AC37*AD37*(AE37/1000)*3.853*1,IF(AE37&gt;25,"",IF(AE37&lt;25,"")))</f>
        <v/>
      </c>
      <c r="AM37" s="115" t="str">
        <f aca="false">IF(AE37=32,AA37*AB37*AC37*AD37*(AE37/1000)*6.313*1,IF(AE37&gt;32,"",IF(AE37&lt;32,"")))</f>
        <v/>
      </c>
      <c r="AN37" s="128"/>
      <c r="AO37" s="117" t="s">
        <v>178</v>
      </c>
      <c r="AP37" s="118" t="n">
        <f aca="false">SUM(R37:Y37)+SUM(AN37)</f>
        <v>14.694</v>
      </c>
      <c r="AQ37" s="118" t="n">
        <f aca="false">SUM(AF37:AM37)</f>
        <v>0</v>
      </c>
      <c r="AR37" s="118"/>
      <c r="AS37" s="119"/>
      <c r="AT37" s="119" t="s">
        <v>162</v>
      </c>
    </row>
    <row r="38" customFormat="false" ht="13.5" hidden="false" customHeight="false" outlineLevel="0" collapsed="false">
      <c r="A38" s="120"/>
      <c r="B38" s="121" t="s">
        <v>318</v>
      </c>
      <c r="C38" s="110" t="n">
        <v>1</v>
      </c>
      <c r="D38" s="122" t="n">
        <v>0.24</v>
      </c>
      <c r="E38" s="122" t="n">
        <v>0.5</v>
      </c>
      <c r="F38" s="122" t="n">
        <f aca="false">0.308/(0.24*0.5)</f>
        <v>2.56666666666667</v>
      </c>
      <c r="G38" s="123" t="n">
        <f aca="false">C38*D38*E38*F38</f>
        <v>0.308</v>
      </c>
      <c r="H38" s="101"/>
      <c r="I38" s="123" t="n">
        <f aca="false">C38*F38*2*E38</f>
        <v>2.56666666666667</v>
      </c>
      <c r="J38" s="101"/>
      <c r="K38" s="124"/>
      <c r="L38" s="125"/>
      <c r="M38" s="125"/>
      <c r="N38" s="126"/>
      <c r="O38" s="126"/>
      <c r="P38" s="126"/>
      <c r="Q38" s="127"/>
      <c r="R38" s="105" t="str">
        <f aca="false">IF(P38=6,N38*O38*Q38*0.222*1,IF(P38&gt;6,"",IF(P38&lt;6,"")))</f>
        <v/>
      </c>
      <c r="S38" s="106" t="str">
        <f aca="false">IF(P38=8,N38*O38*Q38*0.395*1,IF(P38&gt;8,"",IF(P38&lt;8,"")))</f>
        <v/>
      </c>
      <c r="T38" s="106" t="str">
        <f aca="false">IF(P38=10,N38*O38*Q38*0.617*1,IF(P38&gt;10,"",IF(P38&lt;10,"")))</f>
        <v/>
      </c>
      <c r="U38" s="106" t="str">
        <f aca="false">IF(P38=12,N38*O38*Q38*0.888*1,IF(P38&gt;12,"",IF(P38&lt;12,"")))</f>
        <v/>
      </c>
      <c r="V38" s="107" t="str">
        <f aca="false">IF(P38=16,N38*O38*Q38*1.578*1,IF(P38&gt;16,"",IF(P38&lt;16,"")))</f>
        <v/>
      </c>
      <c r="W38" s="106" t="str">
        <f aca="false">IF(P38=20,N38*O38*Q38*2.466*1,IF(P38&gt;20,"",IF(P38&lt;20,"")))</f>
        <v/>
      </c>
      <c r="X38" s="106" t="str">
        <f aca="false">IF(P38=25,N38*O38*Q38*3.853*1,IF(P38&gt;25,"",IF(P38&lt;25,"")))</f>
        <v/>
      </c>
      <c r="Y38" s="108" t="str">
        <f aca="false">IF(P38=32,N38*O38*Q38*6.313*1,IF(P38&gt;32,"",IF(P38&lt;32,"")))</f>
        <v/>
      </c>
      <c r="Z38" s="109"/>
      <c r="AA38" s="110" t="str">
        <f aca="false">IF(AC38&gt;0,N38,"")</f>
        <v/>
      </c>
      <c r="AB38" s="111" t="str">
        <f aca="false">IF(AC38&gt;0,O38,"")</f>
        <v/>
      </c>
      <c r="AC38" s="112"/>
      <c r="AD38" s="112"/>
      <c r="AE38" s="113" t="str">
        <f aca="false">IF(AC38&gt;0,P38,"")</f>
        <v/>
      </c>
      <c r="AF38" s="114" t="str">
        <f aca="false">IF(AE38=6,AA38*AB38*AC38*AD38*(AE38/1000)*0.222*1,IF(AE38&gt;6,"",IF(AE38&lt;6,"")))</f>
        <v/>
      </c>
      <c r="AG38" s="107" t="str">
        <f aca="false">IF(AE38=8,AA38*AB38*AC38*AD38*(AE38/1000)*0.395*1,IF(AE38&gt;8,"",IF(AE38&lt;8,"")))</f>
        <v/>
      </c>
      <c r="AH38" s="107" t="str">
        <f aca="false">IF(AE38=10,AA38*AB38*AC38*AD38*(AE38/1000)*0.617*1,IF(AE38&gt;10,"",IF(AE38&lt;10,"")))</f>
        <v/>
      </c>
      <c r="AI38" s="107" t="str">
        <f aca="false">IF(AE38=12,AA38*AB38*AC38*AD38*(AE38/1000)*0.888*1,IF(AE38&gt;12,"",IF(AE38&lt;12,"")))</f>
        <v/>
      </c>
      <c r="AJ38" s="107" t="str">
        <f aca="false">IF(AE38=16,AA38*AB38*AC38*AD38*(AE38/1000)*1.578*1,IF(AE38&gt;16,"",IF(AE38&lt;16,"")))</f>
        <v/>
      </c>
      <c r="AK38" s="107" t="str">
        <f aca="false">IF(AE38=20,AA38*AB38*AC38*AD38*(AE38/1000)*2.466*1,IF(AE38&gt;20,"",IF(AE38&lt;20,"")))</f>
        <v/>
      </c>
      <c r="AL38" s="107" t="str">
        <f aca="false">IF(AE38=25,AA38*AB38*AC38*AD38*(AE38/1000)*3.853*1,IF(AE38&gt;25,"",IF(AE38&lt;25,"")))</f>
        <v/>
      </c>
      <c r="AM38" s="115" t="str">
        <f aca="false">IF(AE38=32,AA38*AB38*AC38*AD38*(AE38/1000)*6.313*1,IF(AE38&gt;32,"",IF(AE38&lt;32,"")))</f>
        <v/>
      </c>
      <c r="AN38" s="128"/>
      <c r="AO38" s="117" t="s">
        <v>178</v>
      </c>
      <c r="AP38" s="118" t="n">
        <f aca="false">SUM(R38:Y38)+SUM(AN38)</f>
        <v>0</v>
      </c>
      <c r="AQ38" s="118" t="n">
        <f aca="false">SUM(AF38:AM38)</f>
        <v>0</v>
      </c>
      <c r="AR38" s="118" t="n">
        <v>0.308</v>
      </c>
      <c r="AS38" s="119" t="s">
        <v>319</v>
      </c>
      <c r="AT38" s="119" t="s">
        <v>209</v>
      </c>
    </row>
    <row r="39" customFormat="false" ht="13.5" hidden="false" customHeight="false" outlineLevel="0" collapsed="false">
      <c r="A39" s="129"/>
      <c r="B39" s="172"/>
      <c r="C39" s="110"/>
      <c r="D39" s="122"/>
      <c r="E39" s="122"/>
      <c r="F39" s="173"/>
      <c r="G39" s="123"/>
      <c r="H39" s="101"/>
      <c r="I39" s="123"/>
      <c r="J39" s="101"/>
      <c r="K39" s="124" t="s">
        <v>305</v>
      </c>
      <c r="L39" s="125"/>
      <c r="M39" s="125"/>
      <c r="N39" s="126" t="n">
        <f aca="false">$C$38</f>
        <v>1</v>
      </c>
      <c r="O39" s="126" t="n">
        <v>3</v>
      </c>
      <c r="P39" s="126" t="n">
        <v>16</v>
      </c>
      <c r="Q39" s="127" t="n">
        <f aca="false">2.5778+2*50*16/1000</f>
        <v>4.1778</v>
      </c>
      <c r="R39" s="105" t="str">
        <f aca="false">IF(P39=6,N39*O39*Q39*0.222*1,IF(P39&gt;6,"",IF(P39&lt;6,"")))</f>
        <v/>
      </c>
      <c r="S39" s="106" t="str">
        <f aca="false">IF(P39=8,N39*O39*Q39*0.395*1,IF(P39&gt;8,"",IF(P39&lt;8,"")))</f>
        <v/>
      </c>
      <c r="T39" s="106" t="str">
        <f aca="false">IF(P39=10,N39*O39*Q39*0.617*1,IF(P39&gt;10,"",IF(P39&lt;10,"")))</f>
        <v/>
      </c>
      <c r="U39" s="106" t="str">
        <f aca="false">IF(P39=12,N39*O39*Q39*0.888*1,IF(P39&gt;12,"",IF(P39&lt;12,"")))</f>
        <v/>
      </c>
      <c r="V39" s="107" t="n">
        <f aca="false">IF(P39=16,N39*O39*Q39*1.578*1,IF(P39&gt;16,"",IF(P39&lt;16,"")))</f>
        <v>19.7777052</v>
      </c>
      <c r="W39" s="106" t="str">
        <f aca="false">IF(P39=20,N39*O39*Q39*2.466*1,IF(P39&gt;20,"",IF(P39&lt;20,"")))</f>
        <v/>
      </c>
      <c r="X39" s="106" t="str">
        <f aca="false">IF(P39=25,N39*O39*Q39*3.853*1,IF(P39&gt;25,"",IF(P39&lt;25,"")))</f>
        <v/>
      </c>
      <c r="Y39" s="108" t="str">
        <f aca="false">IF(P39=32,N39*O39*Q39*6.313*1,IF(P39&gt;32,"",IF(P39&lt;32,"")))</f>
        <v/>
      </c>
      <c r="Z39" s="109"/>
      <c r="AA39" s="110" t="str">
        <f aca="false">IF(AC39&gt;0,N39,"")</f>
        <v/>
      </c>
      <c r="AB39" s="111" t="str">
        <f aca="false">IF(AC39&gt;0,O39,"")</f>
        <v/>
      </c>
      <c r="AC39" s="112"/>
      <c r="AD39" s="112"/>
      <c r="AE39" s="113" t="str">
        <f aca="false">IF(AC39&gt;0,P39,"")</f>
        <v/>
      </c>
      <c r="AF39" s="114" t="str">
        <f aca="false">IF(AE39=6,AA39*AB39*AC39*AD39*(AE39/1000)*0.222*1,IF(AE39&gt;6,"",IF(AE39&lt;6,"")))</f>
        <v/>
      </c>
      <c r="AG39" s="107" t="str">
        <f aca="false">IF(AE39=8,AA39*AB39*AC39*AD39*(AE39/1000)*0.395*1,IF(AE39&gt;8,"",IF(AE39&lt;8,"")))</f>
        <v/>
      </c>
      <c r="AH39" s="107" t="str">
        <f aca="false">IF(AE39=10,AA39*AB39*AC39*AD39*(AE39/1000)*0.617*1,IF(AE39&gt;10,"",IF(AE39&lt;10,"")))</f>
        <v/>
      </c>
      <c r="AI39" s="107" t="str">
        <f aca="false">IF(AE39=12,AA39*AB39*AC39*AD39*(AE39/1000)*0.888*1,IF(AE39&gt;12,"",IF(AE39&lt;12,"")))</f>
        <v/>
      </c>
      <c r="AJ39" s="107" t="str">
        <f aca="false">IF(AE39=16,AA39*AB39*AC39*AD39*(AE39/1000)*1.578*1,IF(AE39&gt;16,"",IF(AE39&lt;16,"")))</f>
        <v/>
      </c>
      <c r="AK39" s="107" t="str">
        <f aca="false">IF(AE39=20,AA39*AB39*AC39*AD39*(AE39/1000)*2.466*1,IF(AE39&gt;20,"",IF(AE39&lt;20,"")))</f>
        <v/>
      </c>
      <c r="AL39" s="107" t="str">
        <f aca="false">IF(AE39=25,AA39*AB39*AC39*AD39*(AE39/1000)*3.853*1,IF(AE39&gt;25,"",IF(AE39&lt;25,"")))</f>
        <v/>
      </c>
      <c r="AM39" s="115" t="str">
        <f aca="false">IF(AE39=32,AA39*AB39*AC39*AD39*(AE39/1000)*6.313*1,IF(AE39&gt;32,"",IF(AE39&lt;32,"")))</f>
        <v/>
      </c>
      <c r="AN39" s="128"/>
      <c r="AO39" s="117" t="s">
        <v>178</v>
      </c>
      <c r="AP39" s="118" t="n">
        <f aca="false">SUM(R39:Y39)+SUM(AN39)</f>
        <v>19.7777052</v>
      </c>
      <c r="AQ39" s="118" t="n">
        <f aca="false">SUM(AF39:AM39)</f>
        <v>0</v>
      </c>
      <c r="AR39" s="118"/>
      <c r="AS39" s="119"/>
      <c r="AT39" s="119" t="s">
        <v>162</v>
      </c>
    </row>
    <row r="40" customFormat="false" ht="13.5" hidden="false" customHeight="false" outlineLevel="0" collapsed="false">
      <c r="A40" s="129"/>
      <c r="B40" s="172"/>
      <c r="C40" s="110"/>
      <c r="D40" s="122"/>
      <c r="E40" s="122"/>
      <c r="F40" s="173"/>
      <c r="G40" s="123"/>
      <c r="H40" s="101"/>
      <c r="I40" s="123"/>
      <c r="J40" s="101"/>
      <c r="K40" s="124" t="s">
        <v>306</v>
      </c>
      <c r="L40" s="125"/>
      <c r="M40" s="125"/>
      <c r="N40" s="126" t="n">
        <f aca="false">$C$38</f>
        <v>1</v>
      </c>
      <c r="O40" s="126" t="n">
        <v>3</v>
      </c>
      <c r="P40" s="126" t="n">
        <v>16</v>
      </c>
      <c r="Q40" s="127" t="n">
        <f aca="false">2.5778+2*50*16/1000</f>
        <v>4.1778</v>
      </c>
      <c r="R40" s="105" t="str">
        <f aca="false">IF(P40=6,N40*O40*Q40*0.222*1,IF(P40&gt;6,"",IF(P40&lt;6,"")))</f>
        <v/>
      </c>
      <c r="S40" s="106" t="str">
        <f aca="false">IF(P40=8,N40*O40*Q40*0.395*1,IF(P40&gt;8,"",IF(P40&lt;8,"")))</f>
        <v/>
      </c>
      <c r="T40" s="106" t="str">
        <f aca="false">IF(P40=10,N40*O40*Q40*0.617*1,IF(P40&gt;10,"",IF(P40&lt;10,"")))</f>
        <v/>
      </c>
      <c r="U40" s="106" t="str">
        <f aca="false">IF(P40=12,N40*O40*Q40*0.888*1,IF(P40&gt;12,"",IF(P40&lt;12,"")))</f>
        <v/>
      </c>
      <c r="V40" s="107" t="n">
        <f aca="false">IF(P40=16,N40*O40*Q40*1.578*1,IF(P40&gt;16,"",IF(P40&lt;16,"")))</f>
        <v>19.7777052</v>
      </c>
      <c r="W40" s="106" t="str">
        <f aca="false">IF(P40=20,N40*O40*Q40*2.466*1,IF(P40&gt;20,"",IF(P40&lt;20,"")))</f>
        <v/>
      </c>
      <c r="X40" s="106" t="str">
        <f aca="false">IF(P40=25,N40*O40*Q40*3.853*1,IF(P40&gt;25,"",IF(P40&lt;25,"")))</f>
        <v/>
      </c>
      <c r="Y40" s="108" t="str">
        <f aca="false">IF(P40=32,N40*O40*Q40*6.313*1,IF(P40&gt;32,"",IF(P40&lt;32,"")))</f>
        <v/>
      </c>
      <c r="Z40" s="109"/>
      <c r="AA40" s="110" t="str">
        <f aca="false">IF(AC40&gt;0,N40,"")</f>
        <v/>
      </c>
      <c r="AB40" s="111" t="str">
        <f aca="false">IF(AC40&gt;0,O40,"")</f>
        <v/>
      </c>
      <c r="AC40" s="112"/>
      <c r="AD40" s="112"/>
      <c r="AE40" s="113" t="str">
        <f aca="false">IF(AC40&gt;0,P40,"")</f>
        <v/>
      </c>
      <c r="AF40" s="114" t="str">
        <f aca="false">IF(AE40=6,AA40*AB40*AC40*AD40*(AE40/1000)*0.222*1,IF(AE40&gt;6,"",IF(AE40&lt;6,"")))</f>
        <v/>
      </c>
      <c r="AG40" s="107" t="str">
        <f aca="false">IF(AE40=8,AA40*AB40*AC40*AD40*(AE40/1000)*0.395*1,IF(AE40&gt;8,"",IF(AE40&lt;8,"")))</f>
        <v/>
      </c>
      <c r="AH40" s="107" t="str">
        <f aca="false">IF(AE40=10,AA40*AB40*AC40*AD40*(AE40/1000)*0.617*1,IF(AE40&gt;10,"",IF(AE40&lt;10,"")))</f>
        <v/>
      </c>
      <c r="AI40" s="107" t="str">
        <f aca="false">IF(AE40=12,AA40*AB40*AC40*AD40*(AE40/1000)*0.888*1,IF(AE40&gt;12,"",IF(AE40&lt;12,"")))</f>
        <v/>
      </c>
      <c r="AJ40" s="107" t="str">
        <f aca="false">IF(AE40=16,AA40*AB40*AC40*AD40*(AE40/1000)*1.578*1,IF(AE40&gt;16,"",IF(AE40&lt;16,"")))</f>
        <v/>
      </c>
      <c r="AK40" s="107" t="str">
        <f aca="false">IF(AE40=20,AA40*AB40*AC40*AD40*(AE40/1000)*2.466*1,IF(AE40&gt;20,"",IF(AE40&lt;20,"")))</f>
        <v/>
      </c>
      <c r="AL40" s="107" t="str">
        <f aca="false">IF(AE40=25,AA40*AB40*AC40*AD40*(AE40/1000)*3.853*1,IF(AE40&gt;25,"",IF(AE40&lt;25,"")))</f>
        <v/>
      </c>
      <c r="AM40" s="115" t="str">
        <f aca="false">IF(AE40=32,AA40*AB40*AC40*AD40*(AE40/1000)*6.313*1,IF(AE40&gt;32,"",IF(AE40&lt;32,"")))</f>
        <v/>
      </c>
      <c r="AN40" s="128"/>
      <c r="AO40" s="117" t="s">
        <v>178</v>
      </c>
      <c r="AP40" s="118" t="n">
        <f aca="false">SUM(R40:Y40)+SUM(AN40)</f>
        <v>19.7777052</v>
      </c>
      <c r="AQ40" s="118" t="n">
        <f aca="false">SUM(AF40:AM40)</f>
        <v>0</v>
      </c>
      <c r="AR40" s="118"/>
      <c r="AS40" s="119"/>
      <c r="AT40" s="119" t="s">
        <v>162</v>
      </c>
    </row>
    <row r="41" customFormat="false" ht="13.5" hidden="false" customHeight="false" outlineLevel="0" collapsed="false">
      <c r="A41" s="129"/>
      <c r="B41" s="172"/>
      <c r="C41" s="110"/>
      <c r="D41" s="122"/>
      <c r="E41" s="122"/>
      <c r="F41" s="173"/>
      <c r="G41" s="123"/>
      <c r="H41" s="101"/>
      <c r="I41" s="123"/>
      <c r="J41" s="101"/>
      <c r="K41" s="124" t="s">
        <v>307</v>
      </c>
      <c r="L41" s="125" t="n">
        <f aca="false">$F$38</f>
        <v>2.56666666666667</v>
      </c>
      <c r="M41" s="125" t="n">
        <v>0.15</v>
      </c>
      <c r="N41" s="126" t="n">
        <f aca="false">$C$38</f>
        <v>1</v>
      </c>
      <c r="O41" s="126" t="n">
        <f aca="false">CEILING(L41/M41,1)+1</f>
        <v>19</v>
      </c>
      <c r="P41" s="126" t="n">
        <v>8</v>
      </c>
      <c r="Q41" s="127" t="n">
        <f aca="false">2*($D$38-2*0.05)+2*($E$38-2*0.05)+20*8/1000</f>
        <v>1.24</v>
      </c>
      <c r="R41" s="105" t="str">
        <f aca="false">IF(P41=6,N41*O41*Q41*0.222*1,IF(P41&gt;6,"",IF(P41&lt;6,"")))</f>
        <v/>
      </c>
      <c r="S41" s="106" t="n">
        <f aca="false">IF(P41=8,N41*O41*Q41*0.395*1,IF(P41&gt;8,"",IF(P41&lt;8,"")))</f>
        <v>9.3062</v>
      </c>
      <c r="T41" s="106" t="str">
        <f aca="false">IF(P41=10,N41*O41*Q41*0.617*1,IF(P41&gt;10,"",IF(P41&lt;10,"")))</f>
        <v/>
      </c>
      <c r="U41" s="106" t="str">
        <f aca="false">IF(P41=12,N41*O41*Q41*0.888*1,IF(P41&gt;12,"",IF(P41&lt;12,"")))</f>
        <v/>
      </c>
      <c r="V41" s="107" t="str">
        <f aca="false">IF(P41=16,N41*O41*Q41*1.578*1,IF(P41&gt;16,"",IF(P41&lt;16,"")))</f>
        <v/>
      </c>
      <c r="W41" s="106" t="str">
        <f aca="false">IF(P41=20,N41*O41*Q41*2.466*1,IF(P41&gt;20,"",IF(P41&lt;20,"")))</f>
        <v/>
      </c>
      <c r="X41" s="106" t="str">
        <f aca="false">IF(P41=25,N41*O41*Q41*3.853*1,IF(P41&gt;25,"",IF(P41&lt;25,"")))</f>
        <v/>
      </c>
      <c r="Y41" s="108" t="str">
        <f aca="false">IF(P41=32,N41*O41*Q41*6.313*1,IF(P41&gt;32,"",IF(P41&lt;32,"")))</f>
        <v/>
      </c>
      <c r="Z41" s="109"/>
      <c r="AA41" s="110" t="str">
        <f aca="false">IF(AC41&gt;0,N41,"")</f>
        <v/>
      </c>
      <c r="AB41" s="111" t="str">
        <f aca="false">IF(AC41&gt;0,O41,"")</f>
        <v/>
      </c>
      <c r="AC41" s="112"/>
      <c r="AD41" s="112"/>
      <c r="AE41" s="113" t="str">
        <f aca="false">IF(AC41&gt;0,P41,"")</f>
        <v/>
      </c>
      <c r="AF41" s="114" t="str">
        <f aca="false">IF(AE41=6,AA41*AB41*AC41*AD41*(AE41/1000)*0.222*1,IF(AE41&gt;6,"",IF(AE41&lt;6,"")))</f>
        <v/>
      </c>
      <c r="AG41" s="107" t="str">
        <f aca="false">IF(AE41=8,AA41*AB41*AC41*AD41*(AE41/1000)*0.395*1,IF(AE41&gt;8,"",IF(AE41&lt;8,"")))</f>
        <v/>
      </c>
      <c r="AH41" s="107" t="str">
        <f aca="false">IF(AE41=10,AA41*AB41*AC41*AD41*(AE41/1000)*0.617*1,IF(AE41&gt;10,"",IF(AE41&lt;10,"")))</f>
        <v/>
      </c>
      <c r="AI41" s="107" t="str">
        <f aca="false">IF(AE41=12,AA41*AB41*AC41*AD41*(AE41/1000)*0.888*1,IF(AE41&gt;12,"",IF(AE41&lt;12,"")))</f>
        <v/>
      </c>
      <c r="AJ41" s="107" t="str">
        <f aca="false">IF(AE41=16,AA41*AB41*AC41*AD41*(AE41/1000)*1.578*1,IF(AE41&gt;16,"",IF(AE41&lt;16,"")))</f>
        <v/>
      </c>
      <c r="AK41" s="107" t="str">
        <f aca="false">IF(AE41=20,AA41*AB41*AC41*AD41*(AE41/1000)*2.466*1,IF(AE41&gt;20,"",IF(AE41&lt;20,"")))</f>
        <v/>
      </c>
      <c r="AL41" s="107" t="str">
        <f aca="false">IF(AE41=25,AA41*AB41*AC41*AD41*(AE41/1000)*3.853*1,IF(AE41&gt;25,"",IF(AE41&lt;25,"")))</f>
        <v/>
      </c>
      <c r="AM41" s="115" t="str">
        <f aca="false">IF(AE41=32,AA41*AB41*AC41*AD41*(AE41/1000)*6.313*1,IF(AE41&gt;32,"",IF(AE41&lt;32,"")))</f>
        <v/>
      </c>
      <c r="AN41" s="128"/>
      <c r="AO41" s="117" t="s">
        <v>178</v>
      </c>
      <c r="AP41" s="118" t="n">
        <f aca="false">SUM(R41:Y41)+SUM(AN41)</f>
        <v>9.3062</v>
      </c>
      <c r="AQ41" s="118" t="n">
        <f aca="false">SUM(AF41:AM41)</f>
        <v>0</v>
      </c>
      <c r="AR41" s="118"/>
      <c r="AS41" s="119"/>
      <c r="AT41" s="119" t="s">
        <v>162</v>
      </c>
    </row>
    <row r="42" customFormat="false" ht="13.5" hidden="false" customHeight="false" outlineLevel="0" collapsed="false">
      <c r="A42" s="120"/>
      <c r="B42" s="121" t="s">
        <v>320</v>
      </c>
      <c r="C42" s="110" t="n">
        <v>1</v>
      </c>
      <c r="D42" s="122" t="n">
        <v>0.24</v>
      </c>
      <c r="E42" s="122" t="n">
        <v>0.5</v>
      </c>
      <c r="F42" s="122" t="n">
        <f aca="false">0.3739/(0.24*0.5)</f>
        <v>3.11583333333333</v>
      </c>
      <c r="G42" s="123" t="n">
        <f aca="false">C42*D42*E42*F42</f>
        <v>0.3739</v>
      </c>
      <c r="H42" s="101"/>
      <c r="I42" s="123" t="n">
        <f aca="false">C42*F42*2*E42</f>
        <v>3.11583333333333</v>
      </c>
      <c r="J42" s="101"/>
      <c r="K42" s="124"/>
      <c r="L42" s="125"/>
      <c r="M42" s="125"/>
      <c r="N42" s="126"/>
      <c r="O42" s="126"/>
      <c r="P42" s="126"/>
      <c r="Q42" s="127"/>
      <c r="R42" s="105" t="str">
        <f aca="false">IF(P42=6,N42*O42*Q42*0.222*1,IF(P42&gt;6,"",IF(P42&lt;6,"")))</f>
        <v/>
      </c>
      <c r="S42" s="106" t="str">
        <f aca="false">IF(P42=8,N42*O42*Q42*0.395*1,IF(P42&gt;8,"",IF(P42&lt;8,"")))</f>
        <v/>
      </c>
      <c r="T42" s="106" t="str">
        <f aca="false">IF(P42=10,N42*O42*Q42*0.617*1,IF(P42&gt;10,"",IF(P42&lt;10,"")))</f>
        <v/>
      </c>
      <c r="U42" s="106" t="str">
        <f aca="false">IF(P42=12,N42*O42*Q42*0.888*1,IF(P42&gt;12,"",IF(P42&lt;12,"")))</f>
        <v/>
      </c>
      <c r="V42" s="107" t="str">
        <f aca="false">IF(P42=16,N42*O42*Q42*1.578*1,IF(P42&gt;16,"",IF(P42&lt;16,"")))</f>
        <v/>
      </c>
      <c r="W42" s="106" t="str">
        <f aca="false">IF(P42=20,N42*O42*Q42*2.466*1,IF(P42&gt;20,"",IF(P42&lt;20,"")))</f>
        <v/>
      </c>
      <c r="X42" s="106" t="str">
        <f aca="false">IF(P42=25,N42*O42*Q42*3.853*1,IF(P42&gt;25,"",IF(P42&lt;25,"")))</f>
        <v/>
      </c>
      <c r="Y42" s="108" t="str">
        <f aca="false">IF(P42=32,N42*O42*Q42*6.313*1,IF(P42&gt;32,"",IF(P42&lt;32,"")))</f>
        <v/>
      </c>
      <c r="Z42" s="109"/>
      <c r="AA42" s="110" t="str">
        <f aca="false">IF(AC42&gt;0,N42,"")</f>
        <v/>
      </c>
      <c r="AB42" s="111" t="str">
        <f aca="false">IF(AC42&gt;0,O42,"")</f>
        <v/>
      </c>
      <c r="AC42" s="112"/>
      <c r="AD42" s="112"/>
      <c r="AE42" s="113" t="str">
        <f aca="false">IF(AC42&gt;0,P42,"")</f>
        <v/>
      </c>
      <c r="AF42" s="114" t="str">
        <f aca="false">IF(AE42=6,AA42*AB42*AC42*AD42*(AE42/1000)*0.222*1,IF(AE42&gt;6,"",IF(AE42&lt;6,"")))</f>
        <v/>
      </c>
      <c r="AG42" s="107" t="str">
        <f aca="false">IF(AE42=8,AA42*AB42*AC42*AD42*(AE42/1000)*0.395*1,IF(AE42&gt;8,"",IF(AE42&lt;8,"")))</f>
        <v/>
      </c>
      <c r="AH42" s="107" t="str">
        <f aca="false">IF(AE42=10,AA42*AB42*AC42*AD42*(AE42/1000)*0.617*1,IF(AE42&gt;10,"",IF(AE42&lt;10,"")))</f>
        <v/>
      </c>
      <c r="AI42" s="107" t="str">
        <f aca="false">IF(AE42=12,AA42*AB42*AC42*AD42*(AE42/1000)*0.888*1,IF(AE42&gt;12,"",IF(AE42&lt;12,"")))</f>
        <v/>
      </c>
      <c r="AJ42" s="107" t="str">
        <f aca="false">IF(AE42=16,AA42*AB42*AC42*AD42*(AE42/1000)*1.578*1,IF(AE42&gt;16,"",IF(AE42&lt;16,"")))</f>
        <v/>
      </c>
      <c r="AK42" s="107" t="str">
        <f aca="false">IF(AE42=20,AA42*AB42*AC42*AD42*(AE42/1000)*2.466*1,IF(AE42&gt;20,"",IF(AE42&lt;20,"")))</f>
        <v/>
      </c>
      <c r="AL42" s="107" t="str">
        <f aca="false">IF(AE42=25,AA42*AB42*AC42*AD42*(AE42/1000)*3.853*1,IF(AE42&gt;25,"",IF(AE42&lt;25,"")))</f>
        <v/>
      </c>
      <c r="AM42" s="115" t="str">
        <f aca="false">IF(AE42=32,AA42*AB42*AC42*AD42*(AE42/1000)*6.313*1,IF(AE42&gt;32,"",IF(AE42&lt;32,"")))</f>
        <v/>
      </c>
      <c r="AN42" s="128"/>
      <c r="AO42" s="117" t="s">
        <v>178</v>
      </c>
      <c r="AP42" s="118" t="n">
        <f aca="false">SUM(R42:Y42)+SUM(AN42)</f>
        <v>0</v>
      </c>
      <c r="AQ42" s="118" t="n">
        <f aca="false">SUM(AF42:AM42)</f>
        <v>0</v>
      </c>
      <c r="AR42" s="118" t="n">
        <v>0.3739</v>
      </c>
      <c r="AS42" s="119" t="s">
        <v>321</v>
      </c>
      <c r="AT42" s="119" t="s">
        <v>209</v>
      </c>
    </row>
    <row r="43" customFormat="false" ht="13.5" hidden="false" customHeight="false" outlineLevel="0" collapsed="false">
      <c r="A43" s="129"/>
      <c r="B43" s="172"/>
      <c r="C43" s="110"/>
      <c r="D43" s="122"/>
      <c r="E43" s="122"/>
      <c r="F43" s="173"/>
      <c r="G43" s="123"/>
      <c r="H43" s="101"/>
      <c r="I43" s="123"/>
      <c r="J43" s="101"/>
      <c r="K43" s="124" t="s">
        <v>305</v>
      </c>
      <c r="L43" s="125"/>
      <c r="M43" s="125"/>
      <c r="N43" s="126" t="n">
        <f aca="false">$C$42</f>
        <v>1</v>
      </c>
      <c r="O43" s="126" t="n">
        <v>3</v>
      </c>
      <c r="P43" s="126" t="n">
        <v>16</v>
      </c>
      <c r="Q43" s="127" t="n">
        <f aca="false">3.4271+2*50*16/1000</f>
        <v>5.0271</v>
      </c>
      <c r="R43" s="105" t="str">
        <f aca="false">IF(P43=6,N43*O43*Q43*0.222*1,IF(P43&gt;6,"",IF(P43&lt;6,"")))</f>
        <v/>
      </c>
      <c r="S43" s="106" t="str">
        <f aca="false">IF(P43=8,N43*O43*Q43*0.395*1,IF(P43&gt;8,"",IF(P43&lt;8,"")))</f>
        <v/>
      </c>
      <c r="T43" s="106" t="str">
        <f aca="false">IF(P43=10,N43*O43*Q43*0.617*1,IF(P43&gt;10,"",IF(P43&lt;10,"")))</f>
        <v/>
      </c>
      <c r="U43" s="106" t="str">
        <f aca="false">IF(P43=12,N43*O43*Q43*0.888*1,IF(P43&gt;12,"",IF(P43&lt;12,"")))</f>
        <v/>
      </c>
      <c r="V43" s="107" t="n">
        <f aca="false">IF(P43=16,N43*O43*Q43*1.578*1,IF(P43&gt;16,"",IF(P43&lt;16,"")))</f>
        <v>23.7982914</v>
      </c>
      <c r="W43" s="106" t="str">
        <f aca="false">IF(P43=20,N43*O43*Q43*2.466*1,IF(P43&gt;20,"",IF(P43&lt;20,"")))</f>
        <v/>
      </c>
      <c r="X43" s="106" t="str">
        <f aca="false">IF(P43=25,N43*O43*Q43*3.853*1,IF(P43&gt;25,"",IF(P43&lt;25,"")))</f>
        <v/>
      </c>
      <c r="Y43" s="108" t="str">
        <f aca="false">IF(P43=32,N43*O43*Q43*6.313*1,IF(P43&gt;32,"",IF(P43&lt;32,"")))</f>
        <v/>
      </c>
      <c r="Z43" s="109"/>
      <c r="AA43" s="110" t="str">
        <f aca="false">IF(AC43&gt;0,N43,"")</f>
        <v/>
      </c>
      <c r="AB43" s="111" t="str">
        <f aca="false">IF(AC43&gt;0,O43,"")</f>
        <v/>
      </c>
      <c r="AC43" s="112"/>
      <c r="AD43" s="112"/>
      <c r="AE43" s="113" t="str">
        <f aca="false">IF(AC43&gt;0,P43,"")</f>
        <v/>
      </c>
      <c r="AF43" s="114" t="str">
        <f aca="false">IF(AE43=6,AA43*AB43*AC43*AD43*(AE43/1000)*0.222*1,IF(AE43&gt;6,"",IF(AE43&lt;6,"")))</f>
        <v/>
      </c>
      <c r="AG43" s="107" t="str">
        <f aca="false">IF(AE43=8,AA43*AB43*AC43*AD43*(AE43/1000)*0.395*1,IF(AE43&gt;8,"",IF(AE43&lt;8,"")))</f>
        <v/>
      </c>
      <c r="AH43" s="107" t="str">
        <f aca="false">IF(AE43=10,AA43*AB43*AC43*AD43*(AE43/1000)*0.617*1,IF(AE43&gt;10,"",IF(AE43&lt;10,"")))</f>
        <v/>
      </c>
      <c r="AI43" s="107" t="str">
        <f aca="false">IF(AE43=12,AA43*AB43*AC43*AD43*(AE43/1000)*0.888*1,IF(AE43&gt;12,"",IF(AE43&lt;12,"")))</f>
        <v/>
      </c>
      <c r="AJ43" s="107" t="str">
        <f aca="false">IF(AE43=16,AA43*AB43*AC43*AD43*(AE43/1000)*1.578*1,IF(AE43&gt;16,"",IF(AE43&lt;16,"")))</f>
        <v/>
      </c>
      <c r="AK43" s="107" t="str">
        <f aca="false">IF(AE43=20,AA43*AB43*AC43*AD43*(AE43/1000)*2.466*1,IF(AE43&gt;20,"",IF(AE43&lt;20,"")))</f>
        <v/>
      </c>
      <c r="AL43" s="107" t="str">
        <f aca="false">IF(AE43=25,AA43*AB43*AC43*AD43*(AE43/1000)*3.853*1,IF(AE43&gt;25,"",IF(AE43&lt;25,"")))</f>
        <v/>
      </c>
      <c r="AM43" s="115" t="str">
        <f aca="false">IF(AE43=32,AA43*AB43*AC43*AD43*(AE43/1000)*6.313*1,IF(AE43&gt;32,"",IF(AE43&lt;32,"")))</f>
        <v/>
      </c>
      <c r="AN43" s="128"/>
      <c r="AO43" s="117" t="s">
        <v>178</v>
      </c>
      <c r="AP43" s="118" t="n">
        <f aca="false">SUM(R43:Y43)+SUM(AN43)</f>
        <v>23.7982914</v>
      </c>
      <c r="AQ43" s="118" t="n">
        <f aca="false">SUM(AF43:AM43)</f>
        <v>0</v>
      </c>
      <c r="AR43" s="118"/>
      <c r="AS43" s="119"/>
      <c r="AT43" s="119" t="s">
        <v>162</v>
      </c>
    </row>
    <row r="44" customFormat="false" ht="13.5" hidden="false" customHeight="false" outlineLevel="0" collapsed="false">
      <c r="A44" s="129"/>
      <c r="B44" s="172"/>
      <c r="C44" s="110"/>
      <c r="D44" s="122"/>
      <c r="E44" s="122"/>
      <c r="F44" s="173"/>
      <c r="G44" s="123"/>
      <c r="H44" s="101"/>
      <c r="I44" s="123"/>
      <c r="J44" s="101"/>
      <c r="K44" s="124" t="s">
        <v>306</v>
      </c>
      <c r="L44" s="125"/>
      <c r="M44" s="125"/>
      <c r="N44" s="126" t="n">
        <f aca="false">$C$42</f>
        <v>1</v>
      </c>
      <c r="O44" s="126" t="n">
        <v>3</v>
      </c>
      <c r="P44" s="126" t="n">
        <v>16</v>
      </c>
      <c r="Q44" s="127" t="n">
        <f aca="false">3.4271+2*50*16/1000</f>
        <v>5.0271</v>
      </c>
      <c r="R44" s="105" t="str">
        <f aca="false">IF(P44=6,N44*O44*Q44*0.222*1,IF(P44&gt;6,"",IF(P44&lt;6,"")))</f>
        <v/>
      </c>
      <c r="S44" s="106" t="str">
        <f aca="false">IF(P44=8,N44*O44*Q44*0.395*1,IF(P44&gt;8,"",IF(P44&lt;8,"")))</f>
        <v/>
      </c>
      <c r="T44" s="106" t="str">
        <f aca="false">IF(P44=10,N44*O44*Q44*0.617*1,IF(P44&gt;10,"",IF(P44&lt;10,"")))</f>
        <v/>
      </c>
      <c r="U44" s="106" t="str">
        <f aca="false">IF(P44=12,N44*O44*Q44*0.888*1,IF(P44&gt;12,"",IF(P44&lt;12,"")))</f>
        <v/>
      </c>
      <c r="V44" s="107" t="n">
        <f aca="false">IF(P44=16,N44*O44*Q44*1.578*1,IF(P44&gt;16,"",IF(P44&lt;16,"")))</f>
        <v>23.7982914</v>
      </c>
      <c r="W44" s="106" t="str">
        <f aca="false">IF(P44=20,N44*O44*Q44*2.466*1,IF(P44&gt;20,"",IF(P44&lt;20,"")))</f>
        <v/>
      </c>
      <c r="X44" s="106" t="str">
        <f aca="false">IF(P44=25,N44*O44*Q44*3.853*1,IF(P44&gt;25,"",IF(P44&lt;25,"")))</f>
        <v/>
      </c>
      <c r="Y44" s="108" t="str">
        <f aca="false">IF(P44=32,N44*O44*Q44*6.313*1,IF(P44&gt;32,"",IF(P44&lt;32,"")))</f>
        <v/>
      </c>
      <c r="Z44" s="109"/>
      <c r="AA44" s="110" t="str">
        <f aca="false">IF(AC44&gt;0,N44,"")</f>
        <v/>
      </c>
      <c r="AB44" s="111" t="str">
        <f aca="false">IF(AC44&gt;0,O44,"")</f>
        <v/>
      </c>
      <c r="AC44" s="112"/>
      <c r="AD44" s="112"/>
      <c r="AE44" s="113" t="str">
        <f aca="false">IF(AC44&gt;0,P44,"")</f>
        <v/>
      </c>
      <c r="AF44" s="114" t="str">
        <f aca="false">IF(AE44=6,AA44*AB44*AC44*AD44*(AE44/1000)*0.222*1,IF(AE44&gt;6,"",IF(AE44&lt;6,"")))</f>
        <v/>
      </c>
      <c r="AG44" s="107" t="str">
        <f aca="false">IF(AE44=8,AA44*AB44*AC44*AD44*(AE44/1000)*0.395*1,IF(AE44&gt;8,"",IF(AE44&lt;8,"")))</f>
        <v/>
      </c>
      <c r="AH44" s="107" t="str">
        <f aca="false">IF(AE44=10,AA44*AB44*AC44*AD44*(AE44/1000)*0.617*1,IF(AE44&gt;10,"",IF(AE44&lt;10,"")))</f>
        <v/>
      </c>
      <c r="AI44" s="107" t="str">
        <f aca="false">IF(AE44=12,AA44*AB44*AC44*AD44*(AE44/1000)*0.888*1,IF(AE44&gt;12,"",IF(AE44&lt;12,"")))</f>
        <v/>
      </c>
      <c r="AJ44" s="107" t="str">
        <f aca="false">IF(AE44=16,AA44*AB44*AC44*AD44*(AE44/1000)*1.578*1,IF(AE44&gt;16,"",IF(AE44&lt;16,"")))</f>
        <v/>
      </c>
      <c r="AK44" s="107" t="str">
        <f aca="false">IF(AE44=20,AA44*AB44*AC44*AD44*(AE44/1000)*2.466*1,IF(AE44&gt;20,"",IF(AE44&lt;20,"")))</f>
        <v/>
      </c>
      <c r="AL44" s="107" t="str">
        <f aca="false">IF(AE44=25,AA44*AB44*AC44*AD44*(AE44/1000)*3.853*1,IF(AE44&gt;25,"",IF(AE44&lt;25,"")))</f>
        <v/>
      </c>
      <c r="AM44" s="115" t="str">
        <f aca="false">IF(AE44=32,AA44*AB44*AC44*AD44*(AE44/1000)*6.313*1,IF(AE44&gt;32,"",IF(AE44&lt;32,"")))</f>
        <v/>
      </c>
      <c r="AN44" s="128"/>
      <c r="AO44" s="117" t="s">
        <v>178</v>
      </c>
      <c r="AP44" s="118" t="n">
        <f aca="false">SUM(R44:Y44)+SUM(AN44)</f>
        <v>23.7982914</v>
      </c>
      <c r="AQ44" s="118" t="n">
        <f aca="false">SUM(AF44:AM44)</f>
        <v>0</v>
      </c>
      <c r="AR44" s="118"/>
      <c r="AS44" s="119"/>
      <c r="AT44" s="119" t="s">
        <v>162</v>
      </c>
    </row>
    <row r="45" customFormat="false" ht="13.5" hidden="false" customHeight="false" outlineLevel="0" collapsed="false">
      <c r="A45" s="129"/>
      <c r="B45" s="172"/>
      <c r="C45" s="110"/>
      <c r="D45" s="122"/>
      <c r="E45" s="122"/>
      <c r="F45" s="173"/>
      <c r="G45" s="123"/>
      <c r="H45" s="101"/>
      <c r="I45" s="123"/>
      <c r="J45" s="101"/>
      <c r="K45" s="124" t="s">
        <v>307</v>
      </c>
      <c r="L45" s="125" t="n">
        <f aca="false">$F$42</f>
        <v>3.11583333333333</v>
      </c>
      <c r="M45" s="125" t="n">
        <v>0.15</v>
      </c>
      <c r="N45" s="126" t="n">
        <f aca="false">$C$42</f>
        <v>1</v>
      </c>
      <c r="O45" s="126" t="n">
        <f aca="false">CEILING(L45/M45,1)+1</f>
        <v>22</v>
      </c>
      <c r="P45" s="126" t="n">
        <v>8</v>
      </c>
      <c r="Q45" s="127" t="n">
        <f aca="false">2*($D$42-2*0.05)+2*($E$42-2*0.05)+20*8/1000</f>
        <v>1.24</v>
      </c>
      <c r="R45" s="105" t="str">
        <f aca="false">IF(P45=6,N45*O45*Q45*0.222*1,IF(P45&gt;6,"",IF(P45&lt;6,"")))</f>
        <v/>
      </c>
      <c r="S45" s="106" t="n">
        <f aca="false">IF(P45=8,N45*O45*Q45*0.395*1,IF(P45&gt;8,"",IF(P45&lt;8,"")))</f>
        <v>10.7756</v>
      </c>
      <c r="T45" s="106" t="str">
        <f aca="false">IF(P45=10,N45*O45*Q45*0.617*1,IF(P45&gt;10,"",IF(P45&lt;10,"")))</f>
        <v/>
      </c>
      <c r="U45" s="106" t="str">
        <f aca="false">IF(P45=12,N45*O45*Q45*0.888*1,IF(P45&gt;12,"",IF(P45&lt;12,"")))</f>
        <v/>
      </c>
      <c r="V45" s="107" t="str">
        <f aca="false">IF(P45=16,N45*O45*Q45*1.578*1,IF(P45&gt;16,"",IF(P45&lt;16,"")))</f>
        <v/>
      </c>
      <c r="W45" s="106" t="str">
        <f aca="false">IF(P45=20,N45*O45*Q45*2.466*1,IF(P45&gt;20,"",IF(P45&lt;20,"")))</f>
        <v/>
      </c>
      <c r="X45" s="106" t="str">
        <f aca="false">IF(P45=25,N45*O45*Q45*3.853*1,IF(P45&gt;25,"",IF(P45&lt;25,"")))</f>
        <v/>
      </c>
      <c r="Y45" s="108" t="str">
        <f aca="false">IF(P45=32,N45*O45*Q45*6.313*1,IF(P45&gt;32,"",IF(P45&lt;32,"")))</f>
        <v/>
      </c>
      <c r="Z45" s="109"/>
      <c r="AA45" s="110" t="str">
        <f aca="false">IF(AC45&gt;0,N45,"")</f>
        <v/>
      </c>
      <c r="AB45" s="111" t="str">
        <f aca="false">IF(AC45&gt;0,O45,"")</f>
        <v/>
      </c>
      <c r="AC45" s="112"/>
      <c r="AD45" s="112"/>
      <c r="AE45" s="113" t="str">
        <f aca="false">IF(AC45&gt;0,P45,"")</f>
        <v/>
      </c>
      <c r="AF45" s="114" t="str">
        <f aca="false">IF(AE45=6,AA45*AB45*AC45*AD45*(AE45/1000)*0.222*1,IF(AE45&gt;6,"",IF(AE45&lt;6,"")))</f>
        <v/>
      </c>
      <c r="AG45" s="107" t="str">
        <f aca="false">IF(AE45=8,AA45*AB45*AC45*AD45*(AE45/1000)*0.395*1,IF(AE45&gt;8,"",IF(AE45&lt;8,"")))</f>
        <v/>
      </c>
      <c r="AH45" s="107" t="str">
        <f aca="false">IF(AE45=10,AA45*AB45*AC45*AD45*(AE45/1000)*0.617*1,IF(AE45&gt;10,"",IF(AE45&lt;10,"")))</f>
        <v/>
      </c>
      <c r="AI45" s="107" t="str">
        <f aca="false">IF(AE45=12,AA45*AB45*AC45*AD45*(AE45/1000)*0.888*1,IF(AE45&gt;12,"",IF(AE45&lt;12,"")))</f>
        <v/>
      </c>
      <c r="AJ45" s="107" t="str">
        <f aca="false">IF(AE45=16,AA45*AB45*AC45*AD45*(AE45/1000)*1.578*1,IF(AE45&gt;16,"",IF(AE45&lt;16,"")))</f>
        <v/>
      </c>
      <c r="AK45" s="107" t="str">
        <f aca="false">IF(AE45=20,AA45*AB45*AC45*AD45*(AE45/1000)*2.466*1,IF(AE45&gt;20,"",IF(AE45&lt;20,"")))</f>
        <v/>
      </c>
      <c r="AL45" s="107" t="str">
        <f aca="false">IF(AE45=25,AA45*AB45*AC45*AD45*(AE45/1000)*3.853*1,IF(AE45&gt;25,"",IF(AE45&lt;25,"")))</f>
        <v/>
      </c>
      <c r="AM45" s="115" t="str">
        <f aca="false">IF(AE45=32,AA45*AB45*AC45*AD45*(AE45/1000)*6.313*1,IF(AE45&gt;32,"",IF(AE45&lt;32,"")))</f>
        <v/>
      </c>
      <c r="AN45" s="128"/>
      <c r="AO45" s="117" t="s">
        <v>178</v>
      </c>
      <c r="AP45" s="118" t="n">
        <f aca="false">SUM(R45:Y45)+SUM(AN45)</f>
        <v>10.7756</v>
      </c>
      <c r="AQ45" s="118" t="n">
        <f aca="false">SUM(AF45:AM45)</f>
        <v>0</v>
      </c>
      <c r="AR45" s="118"/>
      <c r="AS45" s="119"/>
      <c r="AT45" s="119" t="s">
        <v>162</v>
      </c>
    </row>
    <row r="46" customFormat="false" ht="13.5" hidden="false" customHeight="false" outlineLevel="0" collapsed="false">
      <c r="A46" s="120"/>
      <c r="B46" s="121" t="s">
        <v>322</v>
      </c>
      <c r="C46" s="110" t="n">
        <v>1</v>
      </c>
      <c r="D46" s="122" t="n">
        <v>0.24</v>
      </c>
      <c r="E46" s="122" t="n">
        <v>0.5</v>
      </c>
      <c r="F46" s="122" t="n">
        <f aca="false">0.2055/(0.24*0.5)</f>
        <v>1.7125</v>
      </c>
      <c r="G46" s="123" t="n">
        <f aca="false">C46*D46*E46*F46</f>
        <v>0.2055</v>
      </c>
      <c r="H46" s="101"/>
      <c r="I46" s="123" t="n">
        <f aca="false">C46*F46*2*E46</f>
        <v>1.7125</v>
      </c>
      <c r="J46" s="101"/>
      <c r="K46" s="124"/>
      <c r="L46" s="125"/>
      <c r="M46" s="125"/>
      <c r="N46" s="126"/>
      <c r="O46" s="126"/>
      <c r="P46" s="126"/>
      <c r="Q46" s="127"/>
      <c r="R46" s="105" t="str">
        <f aca="false">IF(P46=6,N46*O46*Q46*0.222*1,IF(P46&gt;6,"",IF(P46&lt;6,"")))</f>
        <v/>
      </c>
      <c r="S46" s="106" t="str">
        <f aca="false">IF(P46=8,N46*O46*Q46*0.395*1,IF(P46&gt;8,"",IF(P46&lt;8,"")))</f>
        <v/>
      </c>
      <c r="T46" s="106" t="str">
        <f aca="false">IF(P46=10,N46*O46*Q46*0.617*1,IF(P46&gt;10,"",IF(P46&lt;10,"")))</f>
        <v/>
      </c>
      <c r="U46" s="106" t="str">
        <f aca="false">IF(P46=12,N46*O46*Q46*0.888*1,IF(P46&gt;12,"",IF(P46&lt;12,"")))</f>
        <v/>
      </c>
      <c r="V46" s="107" t="str">
        <f aca="false">IF(P46=16,N46*O46*Q46*1.578*1,IF(P46&gt;16,"",IF(P46&lt;16,"")))</f>
        <v/>
      </c>
      <c r="W46" s="106" t="str">
        <f aca="false">IF(P46=20,N46*O46*Q46*2.466*1,IF(P46&gt;20,"",IF(P46&lt;20,"")))</f>
        <v/>
      </c>
      <c r="X46" s="106" t="str">
        <f aca="false">IF(P46=25,N46*O46*Q46*3.853*1,IF(P46&gt;25,"",IF(P46&lt;25,"")))</f>
        <v/>
      </c>
      <c r="Y46" s="108" t="str">
        <f aca="false">IF(P46=32,N46*O46*Q46*6.313*1,IF(P46&gt;32,"",IF(P46&lt;32,"")))</f>
        <v/>
      </c>
      <c r="Z46" s="109"/>
      <c r="AA46" s="110" t="str">
        <f aca="false">IF(AC46&gt;0,N46,"")</f>
        <v/>
      </c>
      <c r="AB46" s="111" t="str">
        <f aca="false">IF(AC46&gt;0,O46,"")</f>
        <v/>
      </c>
      <c r="AC46" s="112"/>
      <c r="AD46" s="112"/>
      <c r="AE46" s="113" t="str">
        <f aca="false">IF(AC46&gt;0,P46,"")</f>
        <v/>
      </c>
      <c r="AF46" s="114" t="str">
        <f aca="false">IF(AE46=6,AA46*AB46*AC46*AD46*(AE46/1000)*0.222*1,IF(AE46&gt;6,"",IF(AE46&lt;6,"")))</f>
        <v/>
      </c>
      <c r="AG46" s="107" t="str">
        <f aca="false">IF(AE46=8,AA46*AB46*AC46*AD46*(AE46/1000)*0.395*1,IF(AE46&gt;8,"",IF(AE46&lt;8,"")))</f>
        <v/>
      </c>
      <c r="AH46" s="107" t="str">
        <f aca="false">IF(AE46=10,AA46*AB46*AC46*AD46*(AE46/1000)*0.617*1,IF(AE46&gt;10,"",IF(AE46&lt;10,"")))</f>
        <v/>
      </c>
      <c r="AI46" s="107" t="str">
        <f aca="false">IF(AE46=12,AA46*AB46*AC46*AD46*(AE46/1000)*0.888*1,IF(AE46&gt;12,"",IF(AE46&lt;12,"")))</f>
        <v/>
      </c>
      <c r="AJ46" s="107" t="str">
        <f aca="false">IF(AE46=16,AA46*AB46*AC46*AD46*(AE46/1000)*1.578*1,IF(AE46&gt;16,"",IF(AE46&lt;16,"")))</f>
        <v/>
      </c>
      <c r="AK46" s="107" t="str">
        <f aca="false">IF(AE46=20,AA46*AB46*AC46*AD46*(AE46/1000)*2.466*1,IF(AE46&gt;20,"",IF(AE46&lt;20,"")))</f>
        <v/>
      </c>
      <c r="AL46" s="107" t="str">
        <f aca="false">IF(AE46=25,AA46*AB46*AC46*AD46*(AE46/1000)*3.853*1,IF(AE46&gt;25,"",IF(AE46&lt;25,"")))</f>
        <v/>
      </c>
      <c r="AM46" s="115" t="str">
        <f aca="false">IF(AE46=32,AA46*AB46*AC46*AD46*(AE46/1000)*6.313*1,IF(AE46&gt;32,"",IF(AE46&lt;32,"")))</f>
        <v/>
      </c>
      <c r="AN46" s="128"/>
      <c r="AO46" s="117" t="s">
        <v>178</v>
      </c>
      <c r="AP46" s="118" t="n">
        <f aca="false">SUM(R46:Y46)+SUM(AN46)</f>
        <v>0</v>
      </c>
      <c r="AQ46" s="118" t="n">
        <f aca="false">SUM(AF46:AM46)</f>
        <v>0</v>
      </c>
      <c r="AR46" s="118" t="n">
        <v>0.2055</v>
      </c>
      <c r="AS46" s="119" t="s">
        <v>323</v>
      </c>
      <c r="AT46" s="119" t="s">
        <v>209</v>
      </c>
    </row>
    <row r="47" customFormat="false" ht="13.5" hidden="false" customHeight="false" outlineLevel="0" collapsed="false">
      <c r="A47" s="129"/>
      <c r="B47" s="172"/>
      <c r="C47" s="110"/>
      <c r="D47" s="122"/>
      <c r="E47" s="122"/>
      <c r="F47" s="173"/>
      <c r="G47" s="123"/>
      <c r="H47" s="101"/>
      <c r="I47" s="123"/>
      <c r="J47" s="101"/>
      <c r="K47" s="124" t="s">
        <v>305</v>
      </c>
      <c r="L47" s="125"/>
      <c r="M47" s="125"/>
      <c r="N47" s="126" t="n">
        <f aca="false">$C$46</f>
        <v>1</v>
      </c>
      <c r="O47" s="126" t="n">
        <v>3</v>
      </c>
      <c r="P47" s="126" t="n">
        <v>16</v>
      </c>
      <c r="Q47" s="127" t="n">
        <f aca="false">1.7234+2*50*16/1000</f>
        <v>3.3234</v>
      </c>
      <c r="R47" s="105" t="str">
        <f aca="false">IF(P47=6,N47*O47*Q47*0.222*1,IF(P47&gt;6,"",IF(P47&lt;6,"")))</f>
        <v/>
      </c>
      <c r="S47" s="106" t="str">
        <f aca="false">IF(P47=8,N47*O47*Q47*0.395*1,IF(P47&gt;8,"",IF(P47&lt;8,"")))</f>
        <v/>
      </c>
      <c r="T47" s="106" t="str">
        <f aca="false">IF(P47=10,N47*O47*Q47*0.617*1,IF(P47&gt;10,"",IF(P47&lt;10,"")))</f>
        <v/>
      </c>
      <c r="U47" s="106" t="str">
        <f aca="false">IF(P47=12,N47*O47*Q47*0.888*1,IF(P47&gt;12,"",IF(P47&lt;12,"")))</f>
        <v/>
      </c>
      <c r="V47" s="107" t="n">
        <f aca="false">IF(P47=16,N47*O47*Q47*1.578*1,IF(P47&gt;16,"",IF(P47&lt;16,"")))</f>
        <v>15.7329756</v>
      </c>
      <c r="W47" s="106" t="str">
        <f aca="false">IF(P47=20,N47*O47*Q47*2.466*1,IF(P47&gt;20,"",IF(P47&lt;20,"")))</f>
        <v/>
      </c>
      <c r="X47" s="106" t="str">
        <f aca="false">IF(P47=25,N47*O47*Q47*3.853*1,IF(P47&gt;25,"",IF(P47&lt;25,"")))</f>
        <v/>
      </c>
      <c r="Y47" s="108" t="str">
        <f aca="false">IF(P47=32,N47*O47*Q47*6.313*1,IF(P47&gt;32,"",IF(P47&lt;32,"")))</f>
        <v/>
      </c>
      <c r="Z47" s="109"/>
      <c r="AA47" s="110" t="str">
        <f aca="false">IF(AC47&gt;0,N47,"")</f>
        <v/>
      </c>
      <c r="AB47" s="111" t="str">
        <f aca="false">IF(AC47&gt;0,O47,"")</f>
        <v/>
      </c>
      <c r="AC47" s="112"/>
      <c r="AD47" s="112"/>
      <c r="AE47" s="113" t="str">
        <f aca="false">IF(AC47&gt;0,P47,"")</f>
        <v/>
      </c>
      <c r="AF47" s="114" t="str">
        <f aca="false">IF(AE47=6,AA47*AB47*AC47*AD47*(AE47/1000)*0.222*1,IF(AE47&gt;6,"",IF(AE47&lt;6,"")))</f>
        <v/>
      </c>
      <c r="AG47" s="107" t="str">
        <f aca="false">IF(AE47=8,AA47*AB47*AC47*AD47*(AE47/1000)*0.395*1,IF(AE47&gt;8,"",IF(AE47&lt;8,"")))</f>
        <v/>
      </c>
      <c r="AH47" s="107" t="str">
        <f aca="false">IF(AE47=10,AA47*AB47*AC47*AD47*(AE47/1000)*0.617*1,IF(AE47&gt;10,"",IF(AE47&lt;10,"")))</f>
        <v/>
      </c>
      <c r="AI47" s="107" t="str">
        <f aca="false">IF(AE47=12,AA47*AB47*AC47*AD47*(AE47/1000)*0.888*1,IF(AE47&gt;12,"",IF(AE47&lt;12,"")))</f>
        <v/>
      </c>
      <c r="AJ47" s="107" t="str">
        <f aca="false">IF(AE47=16,AA47*AB47*AC47*AD47*(AE47/1000)*1.578*1,IF(AE47&gt;16,"",IF(AE47&lt;16,"")))</f>
        <v/>
      </c>
      <c r="AK47" s="107" t="str">
        <f aca="false">IF(AE47=20,AA47*AB47*AC47*AD47*(AE47/1000)*2.466*1,IF(AE47&gt;20,"",IF(AE47&lt;20,"")))</f>
        <v/>
      </c>
      <c r="AL47" s="107" t="str">
        <f aca="false">IF(AE47=25,AA47*AB47*AC47*AD47*(AE47/1000)*3.853*1,IF(AE47&gt;25,"",IF(AE47&lt;25,"")))</f>
        <v/>
      </c>
      <c r="AM47" s="115" t="str">
        <f aca="false">IF(AE47=32,AA47*AB47*AC47*AD47*(AE47/1000)*6.313*1,IF(AE47&gt;32,"",IF(AE47&lt;32,"")))</f>
        <v/>
      </c>
      <c r="AN47" s="128"/>
      <c r="AO47" s="117" t="s">
        <v>178</v>
      </c>
      <c r="AP47" s="118" t="n">
        <f aca="false">SUM(R47:Y47)+SUM(AN47)</f>
        <v>15.7329756</v>
      </c>
      <c r="AQ47" s="118" t="n">
        <f aca="false">SUM(AF47:AM47)</f>
        <v>0</v>
      </c>
      <c r="AR47" s="118"/>
      <c r="AS47" s="119"/>
      <c r="AT47" s="119" t="s">
        <v>162</v>
      </c>
    </row>
    <row r="48" customFormat="false" ht="13.5" hidden="false" customHeight="false" outlineLevel="0" collapsed="false">
      <c r="A48" s="129"/>
      <c r="B48" s="172"/>
      <c r="C48" s="110"/>
      <c r="D48" s="122"/>
      <c r="E48" s="122"/>
      <c r="F48" s="173"/>
      <c r="G48" s="123"/>
      <c r="H48" s="101"/>
      <c r="I48" s="123"/>
      <c r="J48" s="101"/>
      <c r="K48" s="124" t="s">
        <v>306</v>
      </c>
      <c r="L48" s="125"/>
      <c r="M48" s="125"/>
      <c r="N48" s="126" t="n">
        <f aca="false">$C$46</f>
        <v>1</v>
      </c>
      <c r="O48" s="126" t="n">
        <v>3</v>
      </c>
      <c r="P48" s="126" t="n">
        <v>16</v>
      </c>
      <c r="Q48" s="127" t="n">
        <f aca="false">1.7234+2*50*16/1000</f>
        <v>3.3234</v>
      </c>
      <c r="R48" s="105" t="str">
        <f aca="false">IF(P48=6,N48*O48*Q48*0.222*1,IF(P48&gt;6,"",IF(P48&lt;6,"")))</f>
        <v/>
      </c>
      <c r="S48" s="106" t="str">
        <f aca="false">IF(P48=8,N48*O48*Q48*0.395*1,IF(P48&gt;8,"",IF(P48&lt;8,"")))</f>
        <v/>
      </c>
      <c r="T48" s="106" t="str">
        <f aca="false">IF(P48=10,N48*O48*Q48*0.617*1,IF(P48&gt;10,"",IF(P48&lt;10,"")))</f>
        <v/>
      </c>
      <c r="U48" s="106" t="str">
        <f aca="false">IF(P48=12,N48*O48*Q48*0.888*1,IF(P48&gt;12,"",IF(P48&lt;12,"")))</f>
        <v/>
      </c>
      <c r="V48" s="107" t="n">
        <f aca="false">IF(P48=16,N48*O48*Q48*1.578*1,IF(P48&gt;16,"",IF(P48&lt;16,"")))</f>
        <v>15.7329756</v>
      </c>
      <c r="W48" s="106" t="str">
        <f aca="false">IF(P48=20,N48*O48*Q48*2.466*1,IF(P48&gt;20,"",IF(P48&lt;20,"")))</f>
        <v/>
      </c>
      <c r="X48" s="106" t="str">
        <f aca="false">IF(P48=25,N48*O48*Q48*3.853*1,IF(P48&gt;25,"",IF(P48&lt;25,"")))</f>
        <v/>
      </c>
      <c r="Y48" s="108" t="str">
        <f aca="false">IF(P48=32,N48*O48*Q48*6.313*1,IF(P48&gt;32,"",IF(P48&lt;32,"")))</f>
        <v/>
      </c>
      <c r="Z48" s="109"/>
      <c r="AA48" s="110" t="str">
        <f aca="false">IF(AC48&gt;0,N48,"")</f>
        <v/>
      </c>
      <c r="AB48" s="111" t="str">
        <f aca="false">IF(AC48&gt;0,O48,"")</f>
        <v/>
      </c>
      <c r="AC48" s="112"/>
      <c r="AD48" s="112"/>
      <c r="AE48" s="113" t="str">
        <f aca="false">IF(AC48&gt;0,P48,"")</f>
        <v/>
      </c>
      <c r="AF48" s="114" t="str">
        <f aca="false">IF(AE48=6,AA48*AB48*AC48*AD48*(AE48/1000)*0.222*1,IF(AE48&gt;6,"",IF(AE48&lt;6,"")))</f>
        <v/>
      </c>
      <c r="AG48" s="107" t="str">
        <f aca="false">IF(AE48=8,AA48*AB48*AC48*AD48*(AE48/1000)*0.395*1,IF(AE48&gt;8,"",IF(AE48&lt;8,"")))</f>
        <v/>
      </c>
      <c r="AH48" s="107" t="str">
        <f aca="false">IF(AE48=10,AA48*AB48*AC48*AD48*(AE48/1000)*0.617*1,IF(AE48&gt;10,"",IF(AE48&lt;10,"")))</f>
        <v/>
      </c>
      <c r="AI48" s="107" t="str">
        <f aca="false">IF(AE48=12,AA48*AB48*AC48*AD48*(AE48/1000)*0.888*1,IF(AE48&gt;12,"",IF(AE48&lt;12,"")))</f>
        <v/>
      </c>
      <c r="AJ48" s="107" t="str">
        <f aca="false">IF(AE48=16,AA48*AB48*AC48*AD48*(AE48/1000)*1.578*1,IF(AE48&gt;16,"",IF(AE48&lt;16,"")))</f>
        <v/>
      </c>
      <c r="AK48" s="107" t="str">
        <f aca="false">IF(AE48=20,AA48*AB48*AC48*AD48*(AE48/1000)*2.466*1,IF(AE48&gt;20,"",IF(AE48&lt;20,"")))</f>
        <v/>
      </c>
      <c r="AL48" s="107" t="str">
        <f aca="false">IF(AE48=25,AA48*AB48*AC48*AD48*(AE48/1000)*3.853*1,IF(AE48&gt;25,"",IF(AE48&lt;25,"")))</f>
        <v/>
      </c>
      <c r="AM48" s="115" t="str">
        <f aca="false">IF(AE48=32,AA48*AB48*AC48*AD48*(AE48/1000)*6.313*1,IF(AE48&gt;32,"",IF(AE48&lt;32,"")))</f>
        <v/>
      </c>
      <c r="AN48" s="128"/>
      <c r="AO48" s="117" t="s">
        <v>178</v>
      </c>
      <c r="AP48" s="118" t="n">
        <f aca="false">SUM(R48:Y48)+SUM(AN48)</f>
        <v>15.7329756</v>
      </c>
      <c r="AQ48" s="118" t="n">
        <f aca="false">SUM(AF48:AM48)</f>
        <v>0</v>
      </c>
      <c r="AR48" s="118"/>
      <c r="AS48" s="119"/>
      <c r="AT48" s="119" t="s">
        <v>162</v>
      </c>
    </row>
    <row r="49" customFormat="false" ht="13.5" hidden="false" customHeight="false" outlineLevel="0" collapsed="false">
      <c r="A49" s="129"/>
      <c r="B49" s="172"/>
      <c r="C49" s="110"/>
      <c r="D49" s="122"/>
      <c r="E49" s="122"/>
      <c r="F49" s="173"/>
      <c r="G49" s="123"/>
      <c r="H49" s="101"/>
      <c r="I49" s="123"/>
      <c r="J49" s="101"/>
      <c r="K49" s="124" t="s">
        <v>307</v>
      </c>
      <c r="L49" s="125" t="n">
        <f aca="false">$F$46</f>
        <v>1.7125</v>
      </c>
      <c r="M49" s="125" t="n">
        <v>0.15</v>
      </c>
      <c r="N49" s="126" t="n">
        <f aca="false">$C$46</f>
        <v>1</v>
      </c>
      <c r="O49" s="126" t="n">
        <f aca="false">CEILING(L49/M49,1)+1</f>
        <v>13</v>
      </c>
      <c r="P49" s="126" t="n">
        <v>8</v>
      </c>
      <c r="Q49" s="127" t="n">
        <f aca="false">2*($D$46-2*0.05)+2*($E$46-2*0.05)+20*8/1000</f>
        <v>1.24</v>
      </c>
      <c r="R49" s="105" t="str">
        <f aca="false">IF(P49=6,N49*O49*Q49*0.222*1,IF(P49&gt;6,"",IF(P49&lt;6,"")))</f>
        <v/>
      </c>
      <c r="S49" s="106" t="n">
        <f aca="false">IF(P49=8,N49*O49*Q49*0.395*1,IF(P49&gt;8,"",IF(P49&lt;8,"")))</f>
        <v>6.3674</v>
      </c>
      <c r="T49" s="106" t="str">
        <f aca="false">IF(P49=10,N49*O49*Q49*0.617*1,IF(P49&gt;10,"",IF(P49&lt;10,"")))</f>
        <v/>
      </c>
      <c r="U49" s="106" t="str">
        <f aca="false">IF(P49=12,N49*O49*Q49*0.888*1,IF(P49&gt;12,"",IF(P49&lt;12,"")))</f>
        <v/>
      </c>
      <c r="V49" s="107" t="str">
        <f aca="false">IF(P49=16,N49*O49*Q49*1.578*1,IF(P49&gt;16,"",IF(P49&lt;16,"")))</f>
        <v/>
      </c>
      <c r="W49" s="106" t="str">
        <f aca="false">IF(P49=20,N49*O49*Q49*2.466*1,IF(P49&gt;20,"",IF(P49&lt;20,"")))</f>
        <v/>
      </c>
      <c r="X49" s="106" t="str">
        <f aca="false">IF(P49=25,N49*O49*Q49*3.853*1,IF(P49&gt;25,"",IF(P49&lt;25,"")))</f>
        <v/>
      </c>
      <c r="Y49" s="108" t="str">
        <f aca="false">IF(P49=32,N49*O49*Q49*6.313*1,IF(P49&gt;32,"",IF(P49&lt;32,"")))</f>
        <v/>
      </c>
      <c r="Z49" s="109"/>
      <c r="AA49" s="110" t="str">
        <f aca="false">IF(AC49&gt;0,N49,"")</f>
        <v/>
      </c>
      <c r="AB49" s="111" t="str">
        <f aca="false">IF(AC49&gt;0,O49,"")</f>
        <v/>
      </c>
      <c r="AC49" s="112"/>
      <c r="AD49" s="112"/>
      <c r="AE49" s="113" t="str">
        <f aca="false">IF(AC49&gt;0,P49,"")</f>
        <v/>
      </c>
      <c r="AF49" s="114" t="str">
        <f aca="false">IF(AE49=6,AA49*AB49*AC49*AD49*(AE49/1000)*0.222*1,IF(AE49&gt;6,"",IF(AE49&lt;6,"")))</f>
        <v/>
      </c>
      <c r="AG49" s="107" t="str">
        <f aca="false">IF(AE49=8,AA49*AB49*AC49*AD49*(AE49/1000)*0.395*1,IF(AE49&gt;8,"",IF(AE49&lt;8,"")))</f>
        <v/>
      </c>
      <c r="AH49" s="107" t="str">
        <f aca="false">IF(AE49=10,AA49*AB49*AC49*AD49*(AE49/1000)*0.617*1,IF(AE49&gt;10,"",IF(AE49&lt;10,"")))</f>
        <v/>
      </c>
      <c r="AI49" s="107" t="str">
        <f aca="false">IF(AE49=12,AA49*AB49*AC49*AD49*(AE49/1000)*0.888*1,IF(AE49&gt;12,"",IF(AE49&lt;12,"")))</f>
        <v/>
      </c>
      <c r="AJ49" s="107" t="str">
        <f aca="false">IF(AE49=16,AA49*AB49*AC49*AD49*(AE49/1000)*1.578*1,IF(AE49&gt;16,"",IF(AE49&lt;16,"")))</f>
        <v/>
      </c>
      <c r="AK49" s="107" t="str">
        <f aca="false">IF(AE49=20,AA49*AB49*AC49*AD49*(AE49/1000)*2.466*1,IF(AE49&gt;20,"",IF(AE49&lt;20,"")))</f>
        <v/>
      </c>
      <c r="AL49" s="107" t="str">
        <f aca="false">IF(AE49=25,AA49*AB49*AC49*AD49*(AE49/1000)*3.853*1,IF(AE49&gt;25,"",IF(AE49&lt;25,"")))</f>
        <v/>
      </c>
      <c r="AM49" s="115" t="str">
        <f aca="false">IF(AE49=32,AA49*AB49*AC49*AD49*(AE49/1000)*6.313*1,IF(AE49&gt;32,"",IF(AE49&lt;32,"")))</f>
        <v/>
      </c>
      <c r="AN49" s="128"/>
      <c r="AO49" s="117" t="s">
        <v>178</v>
      </c>
      <c r="AP49" s="118" t="n">
        <f aca="false">SUM(R49:Y49)+SUM(AN49)</f>
        <v>6.3674</v>
      </c>
      <c r="AQ49" s="118" t="n">
        <f aca="false">SUM(AF49:AM49)</f>
        <v>0</v>
      </c>
      <c r="AR49" s="118"/>
      <c r="AS49" s="119"/>
      <c r="AT49" s="119" t="s">
        <v>162</v>
      </c>
    </row>
    <row r="50" customFormat="false" ht="13.5" hidden="false" customHeight="false" outlineLevel="0" collapsed="false">
      <c r="A50" s="120"/>
      <c r="B50" s="121" t="s">
        <v>324</v>
      </c>
      <c r="C50" s="110" t="n">
        <v>1</v>
      </c>
      <c r="D50" s="122" t="n">
        <v>0.24</v>
      </c>
      <c r="E50" s="122" t="n">
        <v>0.5</v>
      </c>
      <c r="F50" s="122" t="n">
        <f aca="false">0.8456/(0.24*0.5)</f>
        <v>7.04666666666667</v>
      </c>
      <c r="G50" s="123" t="n">
        <f aca="false">C50*D50*E50*F50</f>
        <v>0.8456</v>
      </c>
      <c r="H50" s="101"/>
      <c r="I50" s="123" t="n">
        <f aca="false">C50*F50*2*E50</f>
        <v>7.04666666666667</v>
      </c>
      <c r="J50" s="101"/>
      <c r="K50" s="124"/>
      <c r="L50" s="125"/>
      <c r="M50" s="125"/>
      <c r="N50" s="126"/>
      <c r="O50" s="126"/>
      <c r="P50" s="126"/>
      <c r="Q50" s="127"/>
      <c r="R50" s="105" t="str">
        <f aca="false">IF(P50=6,N50*O50*Q50*0.222*1,IF(P50&gt;6,"",IF(P50&lt;6,"")))</f>
        <v/>
      </c>
      <c r="S50" s="106" t="str">
        <f aca="false">IF(P50=8,N50*O50*Q50*0.395*1,IF(P50&gt;8,"",IF(P50&lt;8,"")))</f>
        <v/>
      </c>
      <c r="T50" s="106" t="str">
        <f aca="false">IF(P50=10,N50*O50*Q50*0.617*1,IF(P50&gt;10,"",IF(P50&lt;10,"")))</f>
        <v/>
      </c>
      <c r="U50" s="106" t="str">
        <f aca="false">IF(P50=12,N50*O50*Q50*0.888*1,IF(P50&gt;12,"",IF(P50&lt;12,"")))</f>
        <v/>
      </c>
      <c r="V50" s="107" t="str">
        <f aca="false">IF(P50=16,N50*O50*Q50*1.578*1,IF(P50&gt;16,"",IF(P50&lt;16,"")))</f>
        <v/>
      </c>
      <c r="W50" s="106" t="str">
        <f aca="false">IF(P50=20,N50*O50*Q50*2.466*1,IF(P50&gt;20,"",IF(P50&lt;20,"")))</f>
        <v/>
      </c>
      <c r="X50" s="106" t="str">
        <f aca="false">IF(P50=25,N50*O50*Q50*3.853*1,IF(P50&gt;25,"",IF(P50&lt;25,"")))</f>
        <v/>
      </c>
      <c r="Y50" s="108" t="str">
        <f aca="false">IF(P50=32,N50*O50*Q50*6.313*1,IF(P50&gt;32,"",IF(P50&lt;32,"")))</f>
        <v/>
      </c>
      <c r="Z50" s="109"/>
      <c r="AA50" s="110" t="str">
        <f aca="false">IF(AC50&gt;0,N50,"")</f>
        <v/>
      </c>
      <c r="AB50" s="111" t="str">
        <f aca="false">IF(AC50&gt;0,O50,"")</f>
        <v/>
      </c>
      <c r="AC50" s="112"/>
      <c r="AD50" s="112"/>
      <c r="AE50" s="113" t="str">
        <f aca="false">IF(AC50&gt;0,P50,"")</f>
        <v/>
      </c>
      <c r="AF50" s="114" t="str">
        <f aca="false">IF(AE50=6,AA50*AB50*AC50*AD50*(AE50/1000)*0.222*1,IF(AE50&gt;6,"",IF(AE50&lt;6,"")))</f>
        <v/>
      </c>
      <c r="AG50" s="107" t="str">
        <f aca="false">IF(AE50=8,AA50*AB50*AC50*AD50*(AE50/1000)*0.395*1,IF(AE50&gt;8,"",IF(AE50&lt;8,"")))</f>
        <v/>
      </c>
      <c r="AH50" s="107" t="str">
        <f aca="false">IF(AE50=10,AA50*AB50*AC50*AD50*(AE50/1000)*0.617*1,IF(AE50&gt;10,"",IF(AE50&lt;10,"")))</f>
        <v/>
      </c>
      <c r="AI50" s="107" t="str">
        <f aca="false">IF(AE50=12,AA50*AB50*AC50*AD50*(AE50/1000)*0.888*1,IF(AE50&gt;12,"",IF(AE50&lt;12,"")))</f>
        <v/>
      </c>
      <c r="AJ50" s="107" t="str">
        <f aca="false">IF(AE50=16,AA50*AB50*AC50*AD50*(AE50/1000)*1.578*1,IF(AE50&gt;16,"",IF(AE50&lt;16,"")))</f>
        <v/>
      </c>
      <c r="AK50" s="107" t="str">
        <f aca="false">IF(AE50=20,AA50*AB50*AC50*AD50*(AE50/1000)*2.466*1,IF(AE50&gt;20,"",IF(AE50&lt;20,"")))</f>
        <v/>
      </c>
      <c r="AL50" s="107" t="str">
        <f aca="false">IF(AE50=25,AA50*AB50*AC50*AD50*(AE50/1000)*3.853*1,IF(AE50&gt;25,"",IF(AE50&lt;25,"")))</f>
        <v/>
      </c>
      <c r="AM50" s="115" t="str">
        <f aca="false">IF(AE50=32,AA50*AB50*AC50*AD50*(AE50/1000)*6.313*1,IF(AE50&gt;32,"",IF(AE50&lt;32,"")))</f>
        <v/>
      </c>
      <c r="AN50" s="128"/>
      <c r="AO50" s="117" t="s">
        <v>178</v>
      </c>
      <c r="AP50" s="118" t="n">
        <f aca="false">SUM(R50:Y50)+SUM(AN50)</f>
        <v>0</v>
      </c>
      <c r="AQ50" s="118" t="n">
        <f aca="false">SUM(AF50:AM50)</f>
        <v>0</v>
      </c>
      <c r="AR50" s="118" t="n">
        <v>0.8456</v>
      </c>
      <c r="AS50" s="119" t="s">
        <v>325</v>
      </c>
      <c r="AT50" s="119" t="s">
        <v>209</v>
      </c>
    </row>
    <row r="51" customFormat="false" ht="13.5" hidden="false" customHeight="false" outlineLevel="0" collapsed="false">
      <c r="A51" s="129"/>
      <c r="B51" s="172"/>
      <c r="C51" s="110"/>
      <c r="D51" s="122"/>
      <c r="E51" s="122"/>
      <c r="F51" s="173"/>
      <c r="G51" s="123"/>
      <c r="H51" s="101"/>
      <c r="I51" s="123"/>
      <c r="J51" s="101"/>
      <c r="K51" s="124" t="s">
        <v>305</v>
      </c>
      <c r="L51" s="125"/>
      <c r="M51" s="125"/>
      <c r="N51" s="126" t="n">
        <f aca="false">$C$50</f>
        <v>1</v>
      </c>
      <c r="O51" s="126" t="n">
        <v>3</v>
      </c>
      <c r="P51" s="126" t="n">
        <v>16</v>
      </c>
      <c r="Q51" s="127" t="n">
        <f aca="false">7.5463+2*50*16/1000</f>
        <v>9.1463</v>
      </c>
      <c r="R51" s="105" t="str">
        <f aca="false">IF(P51=6,N51*O51*Q51*0.222*1,IF(P51&gt;6,"",IF(P51&lt;6,"")))</f>
        <v/>
      </c>
      <c r="S51" s="106" t="str">
        <f aca="false">IF(P51=8,N51*O51*Q51*0.395*1,IF(P51&gt;8,"",IF(P51&lt;8,"")))</f>
        <v/>
      </c>
      <c r="T51" s="106" t="str">
        <f aca="false">IF(P51=10,N51*O51*Q51*0.617*1,IF(P51&gt;10,"",IF(P51&lt;10,"")))</f>
        <v/>
      </c>
      <c r="U51" s="106" t="str">
        <f aca="false">IF(P51=12,N51*O51*Q51*0.888*1,IF(P51&gt;12,"",IF(P51&lt;12,"")))</f>
        <v/>
      </c>
      <c r="V51" s="107" t="n">
        <f aca="false">IF(P51=16,N51*O51*Q51*1.578*1,IF(P51&gt;16,"",IF(P51&lt;16,"")))</f>
        <v>43.2985842</v>
      </c>
      <c r="W51" s="106" t="str">
        <f aca="false">IF(P51=20,N51*O51*Q51*2.466*1,IF(P51&gt;20,"",IF(P51&lt;20,"")))</f>
        <v/>
      </c>
      <c r="X51" s="106" t="str">
        <f aca="false">IF(P51=25,N51*O51*Q51*3.853*1,IF(P51&gt;25,"",IF(P51&lt;25,"")))</f>
        <v/>
      </c>
      <c r="Y51" s="108" t="str">
        <f aca="false">IF(P51=32,N51*O51*Q51*6.313*1,IF(P51&gt;32,"",IF(P51&lt;32,"")))</f>
        <v/>
      </c>
      <c r="Z51" s="109"/>
      <c r="AA51" s="110" t="str">
        <f aca="false">IF(AC51&gt;0,N51,"")</f>
        <v/>
      </c>
      <c r="AB51" s="111" t="str">
        <f aca="false">IF(AC51&gt;0,O51,"")</f>
        <v/>
      </c>
      <c r="AC51" s="112"/>
      <c r="AD51" s="112"/>
      <c r="AE51" s="113" t="str">
        <f aca="false">IF(AC51&gt;0,P51,"")</f>
        <v/>
      </c>
      <c r="AF51" s="114" t="str">
        <f aca="false">IF(AE51=6,AA51*AB51*AC51*AD51*(AE51/1000)*0.222*1,IF(AE51&gt;6,"",IF(AE51&lt;6,"")))</f>
        <v/>
      </c>
      <c r="AG51" s="107" t="str">
        <f aca="false">IF(AE51=8,AA51*AB51*AC51*AD51*(AE51/1000)*0.395*1,IF(AE51&gt;8,"",IF(AE51&lt;8,"")))</f>
        <v/>
      </c>
      <c r="AH51" s="107" t="str">
        <f aca="false">IF(AE51=10,AA51*AB51*AC51*AD51*(AE51/1000)*0.617*1,IF(AE51&gt;10,"",IF(AE51&lt;10,"")))</f>
        <v/>
      </c>
      <c r="AI51" s="107" t="str">
        <f aca="false">IF(AE51=12,AA51*AB51*AC51*AD51*(AE51/1000)*0.888*1,IF(AE51&gt;12,"",IF(AE51&lt;12,"")))</f>
        <v/>
      </c>
      <c r="AJ51" s="107" t="str">
        <f aca="false">IF(AE51=16,AA51*AB51*AC51*AD51*(AE51/1000)*1.578*1,IF(AE51&gt;16,"",IF(AE51&lt;16,"")))</f>
        <v/>
      </c>
      <c r="AK51" s="107" t="str">
        <f aca="false">IF(AE51=20,AA51*AB51*AC51*AD51*(AE51/1000)*2.466*1,IF(AE51&gt;20,"",IF(AE51&lt;20,"")))</f>
        <v/>
      </c>
      <c r="AL51" s="107" t="str">
        <f aca="false">IF(AE51=25,AA51*AB51*AC51*AD51*(AE51/1000)*3.853*1,IF(AE51&gt;25,"",IF(AE51&lt;25,"")))</f>
        <v/>
      </c>
      <c r="AM51" s="115" t="str">
        <f aca="false">IF(AE51=32,AA51*AB51*AC51*AD51*(AE51/1000)*6.313*1,IF(AE51&gt;32,"",IF(AE51&lt;32,"")))</f>
        <v/>
      </c>
      <c r="AN51" s="128"/>
      <c r="AO51" s="117" t="s">
        <v>178</v>
      </c>
      <c r="AP51" s="118" t="n">
        <f aca="false">SUM(R51:Y51)+SUM(AN51)</f>
        <v>43.2985842</v>
      </c>
      <c r="AQ51" s="118" t="n">
        <f aca="false">SUM(AF51:AM51)</f>
        <v>0</v>
      </c>
      <c r="AR51" s="118"/>
      <c r="AS51" s="119"/>
      <c r="AT51" s="119" t="s">
        <v>162</v>
      </c>
    </row>
    <row r="52" customFormat="false" ht="13.5" hidden="false" customHeight="false" outlineLevel="0" collapsed="false">
      <c r="A52" s="129"/>
      <c r="B52" s="172"/>
      <c r="C52" s="110"/>
      <c r="D52" s="122"/>
      <c r="E52" s="122"/>
      <c r="F52" s="173"/>
      <c r="G52" s="123"/>
      <c r="H52" s="101"/>
      <c r="I52" s="123"/>
      <c r="J52" s="101"/>
      <c r="K52" s="124" t="s">
        <v>306</v>
      </c>
      <c r="L52" s="125"/>
      <c r="M52" s="125"/>
      <c r="N52" s="126" t="n">
        <f aca="false">$C$50</f>
        <v>1</v>
      </c>
      <c r="O52" s="126" t="n">
        <v>3</v>
      </c>
      <c r="P52" s="126" t="n">
        <v>16</v>
      </c>
      <c r="Q52" s="127" t="n">
        <f aca="false">7.5463+2*50*16/1000</f>
        <v>9.1463</v>
      </c>
      <c r="R52" s="105" t="str">
        <f aca="false">IF(P52=6,N52*O52*Q52*0.222*1,IF(P52&gt;6,"",IF(P52&lt;6,"")))</f>
        <v/>
      </c>
      <c r="S52" s="106" t="str">
        <f aca="false">IF(P52=8,N52*O52*Q52*0.395*1,IF(P52&gt;8,"",IF(P52&lt;8,"")))</f>
        <v/>
      </c>
      <c r="T52" s="106" t="str">
        <f aca="false">IF(P52=10,N52*O52*Q52*0.617*1,IF(P52&gt;10,"",IF(P52&lt;10,"")))</f>
        <v/>
      </c>
      <c r="U52" s="106" t="str">
        <f aca="false">IF(P52=12,N52*O52*Q52*0.888*1,IF(P52&gt;12,"",IF(P52&lt;12,"")))</f>
        <v/>
      </c>
      <c r="V52" s="107" t="n">
        <f aca="false">IF(P52=16,N52*O52*Q52*1.578*1,IF(P52&gt;16,"",IF(P52&lt;16,"")))</f>
        <v>43.2985842</v>
      </c>
      <c r="W52" s="106" t="str">
        <f aca="false">IF(P52=20,N52*O52*Q52*2.466*1,IF(P52&gt;20,"",IF(P52&lt;20,"")))</f>
        <v/>
      </c>
      <c r="X52" s="106" t="str">
        <f aca="false">IF(P52=25,N52*O52*Q52*3.853*1,IF(P52&gt;25,"",IF(P52&lt;25,"")))</f>
        <v/>
      </c>
      <c r="Y52" s="108" t="str">
        <f aca="false">IF(P52=32,N52*O52*Q52*6.313*1,IF(P52&gt;32,"",IF(P52&lt;32,"")))</f>
        <v/>
      </c>
      <c r="Z52" s="109"/>
      <c r="AA52" s="110" t="str">
        <f aca="false">IF(AC52&gt;0,N52,"")</f>
        <v/>
      </c>
      <c r="AB52" s="111" t="str">
        <f aca="false">IF(AC52&gt;0,O52,"")</f>
        <v/>
      </c>
      <c r="AC52" s="112"/>
      <c r="AD52" s="112"/>
      <c r="AE52" s="113" t="str">
        <f aca="false">IF(AC52&gt;0,P52,"")</f>
        <v/>
      </c>
      <c r="AF52" s="114" t="str">
        <f aca="false">IF(AE52=6,AA52*AB52*AC52*AD52*(AE52/1000)*0.222*1,IF(AE52&gt;6,"",IF(AE52&lt;6,"")))</f>
        <v/>
      </c>
      <c r="AG52" s="107" t="str">
        <f aca="false">IF(AE52=8,AA52*AB52*AC52*AD52*(AE52/1000)*0.395*1,IF(AE52&gt;8,"",IF(AE52&lt;8,"")))</f>
        <v/>
      </c>
      <c r="AH52" s="107" t="str">
        <f aca="false">IF(AE52=10,AA52*AB52*AC52*AD52*(AE52/1000)*0.617*1,IF(AE52&gt;10,"",IF(AE52&lt;10,"")))</f>
        <v/>
      </c>
      <c r="AI52" s="107" t="str">
        <f aca="false">IF(AE52=12,AA52*AB52*AC52*AD52*(AE52/1000)*0.888*1,IF(AE52&gt;12,"",IF(AE52&lt;12,"")))</f>
        <v/>
      </c>
      <c r="AJ52" s="107" t="str">
        <f aca="false">IF(AE52=16,AA52*AB52*AC52*AD52*(AE52/1000)*1.578*1,IF(AE52&gt;16,"",IF(AE52&lt;16,"")))</f>
        <v/>
      </c>
      <c r="AK52" s="107" t="str">
        <f aca="false">IF(AE52=20,AA52*AB52*AC52*AD52*(AE52/1000)*2.466*1,IF(AE52&gt;20,"",IF(AE52&lt;20,"")))</f>
        <v/>
      </c>
      <c r="AL52" s="107" t="str">
        <f aca="false">IF(AE52=25,AA52*AB52*AC52*AD52*(AE52/1000)*3.853*1,IF(AE52&gt;25,"",IF(AE52&lt;25,"")))</f>
        <v/>
      </c>
      <c r="AM52" s="115" t="str">
        <f aca="false">IF(AE52=32,AA52*AB52*AC52*AD52*(AE52/1000)*6.313*1,IF(AE52&gt;32,"",IF(AE52&lt;32,"")))</f>
        <v/>
      </c>
      <c r="AN52" s="128"/>
      <c r="AO52" s="117" t="s">
        <v>178</v>
      </c>
      <c r="AP52" s="118" t="n">
        <f aca="false">SUM(R52:Y52)+SUM(AN52)</f>
        <v>43.2985842</v>
      </c>
      <c r="AQ52" s="118" t="n">
        <f aca="false">SUM(AF52:AM52)</f>
        <v>0</v>
      </c>
      <c r="AR52" s="118"/>
      <c r="AS52" s="119"/>
      <c r="AT52" s="119" t="s">
        <v>162</v>
      </c>
    </row>
    <row r="53" customFormat="false" ht="13.5" hidden="false" customHeight="false" outlineLevel="0" collapsed="false">
      <c r="A53" s="129"/>
      <c r="B53" s="172"/>
      <c r="C53" s="110"/>
      <c r="D53" s="122"/>
      <c r="E53" s="122"/>
      <c r="F53" s="173"/>
      <c r="G53" s="123"/>
      <c r="H53" s="101"/>
      <c r="I53" s="123"/>
      <c r="J53" s="101"/>
      <c r="K53" s="124" t="s">
        <v>307</v>
      </c>
      <c r="L53" s="125" t="n">
        <f aca="false">$F$50</f>
        <v>7.04666666666667</v>
      </c>
      <c r="M53" s="125" t="n">
        <v>0.15</v>
      </c>
      <c r="N53" s="126" t="n">
        <f aca="false">$C$50</f>
        <v>1</v>
      </c>
      <c r="O53" s="126" t="n">
        <f aca="false">CEILING(L53/M53,1)+1</f>
        <v>48</v>
      </c>
      <c r="P53" s="126" t="n">
        <v>8</v>
      </c>
      <c r="Q53" s="127" t="n">
        <f aca="false">2*($D$50-2*0.05)+2*($E$50-2*0.05)+20*8/1000</f>
        <v>1.24</v>
      </c>
      <c r="R53" s="105" t="str">
        <f aca="false">IF(P53=6,N53*O53*Q53*0.222*1,IF(P53&gt;6,"",IF(P53&lt;6,"")))</f>
        <v/>
      </c>
      <c r="S53" s="106" t="n">
        <f aca="false">IF(P53=8,N53*O53*Q53*0.395*1,IF(P53&gt;8,"",IF(P53&lt;8,"")))</f>
        <v>23.5104</v>
      </c>
      <c r="T53" s="106" t="str">
        <f aca="false">IF(P53=10,N53*O53*Q53*0.617*1,IF(P53&gt;10,"",IF(P53&lt;10,"")))</f>
        <v/>
      </c>
      <c r="U53" s="106" t="str">
        <f aca="false">IF(P53=12,N53*O53*Q53*0.888*1,IF(P53&gt;12,"",IF(P53&lt;12,"")))</f>
        <v/>
      </c>
      <c r="V53" s="107" t="str">
        <f aca="false">IF(P53=16,N53*O53*Q53*1.578*1,IF(P53&gt;16,"",IF(P53&lt;16,"")))</f>
        <v/>
      </c>
      <c r="W53" s="106" t="str">
        <f aca="false">IF(P53=20,N53*O53*Q53*2.466*1,IF(P53&gt;20,"",IF(P53&lt;20,"")))</f>
        <v/>
      </c>
      <c r="X53" s="106" t="str">
        <f aca="false">IF(P53=25,N53*O53*Q53*3.853*1,IF(P53&gt;25,"",IF(P53&lt;25,"")))</f>
        <v/>
      </c>
      <c r="Y53" s="108" t="str">
        <f aca="false">IF(P53=32,N53*O53*Q53*6.313*1,IF(P53&gt;32,"",IF(P53&lt;32,"")))</f>
        <v/>
      </c>
      <c r="Z53" s="109"/>
      <c r="AA53" s="110" t="str">
        <f aca="false">IF(AC53&gt;0,N53,"")</f>
        <v/>
      </c>
      <c r="AB53" s="111" t="str">
        <f aca="false">IF(AC53&gt;0,O53,"")</f>
        <v/>
      </c>
      <c r="AC53" s="112"/>
      <c r="AD53" s="112"/>
      <c r="AE53" s="113" t="str">
        <f aca="false">IF(AC53&gt;0,P53,"")</f>
        <v/>
      </c>
      <c r="AF53" s="114" t="str">
        <f aca="false">IF(AE53=6,AA53*AB53*AC53*AD53*(AE53/1000)*0.222*1,IF(AE53&gt;6,"",IF(AE53&lt;6,"")))</f>
        <v/>
      </c>
      <c r="AG53" s="107" t="str">
        <f aca="false">IF(AE53=8,AA53*AB53*AC53*AD53*(AE53/1000)*0.395*1,IF(AE53&gt;8,"",IF(AE53&lt;8,"")))</f>
        <v/>
      </c>
      <c r="AH53" s="107" t="str">
        <f aca="false">IF(AE53=10,AA53*AB53*AC53*AD53*(AE53/1000)*0.617*1,IF(AE53&gt;10,"",IF(AE53&lt;10,"")))</f>
        <v/>
      </c>
      <c r="AI53" s="107" t="str">
        <f aca="false">IF(AE53=12,AA53*AB53*AC53*AD53*(AE53/1000)*0.888*1,IF(AE53&gt;12,"",IF(AE53&lt;12,"")))</f>
        <v/>
      </c>
      <c r="AJ53" s="107" t="str">
        <f aca="false">IF(AE53=16,AA53*AB53*AC53*AD53*(AE53/1000)*1.578*1,IF(AE53&gt;16,"",IF(AE53&lt;16,"")))</f>
        <v/>
      </c>
      <c r="AK53" s="107" t="str">
        <f aca="false">IF(AE53=20,AA53*AB53*AC53*AD53*(AE53/1000)*2.466*1,IF(AE53&gt;20,"",IF(AE53&lt;20,"")))</f>
        <v/>
      </c>
      <c r="AL53" s="107" t="str">
        <f aca="false">IF(AE53=25,AA53*AB53*AC53*AD53*(AE53/1000)*3.853*1,IF(AE53&gt;25,"",IF(AE53&lt;25,"")))</f>
        <v/>
      </c>
      <c r="AM53" s="115" t="str">
        <f aca="false">IF(AE53=32,AA53*AB53*AC53*AD53*(AE53/1000)*6.313*1,IF(AE53&gt;32,"",IF(AE53&lt;32,"")))</f>
        <v/>
      </c>
      <c r="AN53" s="128"/>
      <c r="AO53" s="117" t="s">
        <v>178</v>
      </c>
      <c r="AP53" s="118" t="n">
        <f aca="false">SUM(R53:Y53)+SUM(AN53)</f>
        <v>23.5104</v>
      </c>
      <c r="AQ53" s="118" t="n">
        <f aca="false">SUM(AF53:AM53)</f>
        <v>0</v>
      </c>
      <c r="AR53" s="118"/>
      <c r="AS53" s="119"/>
      <c r="AT53" s="119" t="s">
        <v>162</v>
      </c>
    </row>
    <row r="54" customFormat="false" ht="13.5" hidden="false" customHeight="false" outlineLevel="0" collapsed="false">
      <c r="A54" s="120"/>
      <c r="B54" s="121" t="s">
        <v>326</v>
      </c>
      <c r="C54" s="110" t="n">
        <v>1</v>
      </c>
      <c r="D54" s="122" t="n">
        <v>0.24</v>
      </c>
      <c r="E54" s="122" t="n">
        <v>0.5</v>
      </c>
      <c r="F54" s="122" t="n">
        <f aca="false">0.3628/(0.24*0.5)</f>
        <v>3.02333333333333</v>
      </c>
      <c r="G54" s="123" t="n">
        <f aca="false">C54*D54*E54*F54</f>
        <v>0.3628</v>
      </c>
      <c r="H54" s="101"/>
      <c r="I54" s="123" t="n">
        <f aca="false">C54*F54*2*E54</f>
        <v>3.02333333333333</v>
      </c>
      <c r="J54" s="101"/>
      <c r="K54" s="124"/>
      <c r="L54" s="125"/>
      <c r="M54" s="125"/>
      <c r="N54" s="126"/>
      <c r="O54" s="126"/>
      <c r="P54" s="126"/>
      <c r="Q54" s="127"/>
      <c r="R54" s="105" t="str">
        <f aca="false">IF(P54=6,N54*O54*Q54*0.222*1,IF(P54&gt;6,"",IF(P54&lt;6,"")))</f>
        <v/>
      </c>
      <c r="S54" s="106" t="str">
        <f aca="false">IF(P54=8,N54*O54*Q54*0.395*1,IF(P54&gt;8,"",IF(P54&lt;8,"")))</f>
        <v/>
      </c>
      <c r="T54" s="106" t="str">
        <f aca="false">IF(P54=10,N54*O54*Q54*0.617*1,IF(P54&gt;10,"",IF(P54&lt;10,"")))</f>
        <v/>
      </c>
      <c r="U54" s="106" t="str">
        <f aca="false">IF(P54=12,N54*O54*Q54*0.888*1,IF(P54&gt;12,"",IF(P54&lt;12,"")))</f>
        <v/>
      </c>
      <c r="V54" s="107" t="str">
        <f aca="false">IF(P54=16,N54*O54*Q54*1.578*1,IF(P54&gt;16,"",IF(P54&lt;16,"")))</f>
        <v/>
      </c>
      <c r="W54" s="106" t="str">
        <f aca="false">IF(P54=20,N54*O54*Q54*2.466*1,IF(P54&gt;20,"",IF(P54&lt;20,"")))</f>
        <v/>
      </c>
      <c r="X54" s="106" t="str">
        <f aca="false">IF(P54=25,N54*O54*Q54*3.853*1,IF(P54&gt;25,"",IF(P54&lt;25,"")))</f>
        <v/>
      </c>
      <c r="Y54" s="108" t="str">
        <f aca="false">IF(P54=32,N54*O54*Q54*6.313*1,IF(P54&gt;32,"",IF(P54&lt;32,"")))</f>
        <v/>
      </c>
      <c r="Z54" s="109"/>
      <c r="AA54" s="110" t="str">
        <f aca="false">IF(AC54&gt;0,N54,"")</f>
        <v/>
      </c>
      <c r="AB54" s="111" t="str">
        <f aca="false">IF(AC54&gt;0,O54,"")</f>
        <v/>
      </c>
      <c r="AC54" s="112"/>
      <c r="AD54" s="112"/>
      <c r="AE54" s="113" t="str">
        <f aca="false">IF(AC54&gt;0,P54,"")</f>
        <v/>
      </c>
      <c r="AF54" s="114" t="str">
        <f aca="false">IF(AE54=6,AA54*AB54*AC54*AD54*(AE54/1000)*0.222*1,IF(AE54&gt;6,"",IF(AE54&lt;6,"")))</f>
        <v/>
      </c>
      <c r="AG54" s="107" t="str">
        <f aca="false">IF(AE54=8,AA54*AB54*AC54*AD54*(AE54/1000)*0.395*1,IF(AE54&gt;8,"",IF(AE54&lt;8,"")))</f>
        <v/>
      </c>
      <c r="AH54" s="107" t="str">
        <f aca="false">IF(AE54=10,AA54*AB54*AC54*AD54*(AE54/1000)*0.617*1,IF(AE54&gt;10,"",IF(AE54&lt;10,"")))</f>
        <v/>
      </c>
      <c r="AI54" s="107" t="str">
        <f aca="false">IF(AE54=12,AA54*AB54*AC54*AD54*(AE54/1000)*0.888*1,IF(AE54&gt;12,"",IF(AE54&lt;12,"")))</f>
        <v/>
      </c>
      <c r="AJ54" s="107" t="str">
        <f aca="false">IF(AE54=16,AA54*AB54*AC54*AD54*(AE54/1000)*1.578*1,IF(AE54&gt;16,"",IF(AE54&lt;16,"")))</f>
        <v/>
      </c>
      <c r="AK54" s="107" t="str">
        <f aca="false">IF(AE54=20,AA54*AB54*AC54*AD54*(AE54/1000)*2.466*1,IF(AE54&gt;20,"",IF(AE54&lt;20,"")))</f>
        <v/>
      </c>
      <c r="AL54" s="107" t="str">
        <f aca="false">IF(AE54=25,AA54*AB54*AC54*AD54*(AE54/1000)*3.853*1,IF(AE54&gt;25,"",IF(AE54&lt;25,"")))</f>
        <v/>
      </c>
      <c r="AM54" s="115" t="str">
        <f aca="false">IF(AE54=32,AA54*AB54*AC54*AD54*(AE54/1000)*6.313*1,IF(AE54&gt;32,"",IF(AE54&lt;32,"")))</f>
        <v/>
      </c>
      <c r="AN54" s="128"/>
      <c r="AO54" s="117" t="s">
        <v>178</v>
      </c>
      <c r="AP54" s="118" t="n">
        <f aca="false">SUM(R54:Y54)+SUM(AN54)</f>
        <v>0</v>
      </c>
      <c r="AQ54" s="118" t="n">
        <f aca="false">SUM(AF54:AM54)</f>
        <v>0</v>
      </c>
      <c r="AR54" s="118" t="n">
        <v>0.3628</v>
      </c>
      <c r="AS54" s="119" t="s">
        <v>327</v>
      </c>
      <c r="AT54" s="119" t="s">
        <v>209</v>
      </c>
    </row>
    <row r="55" customFormat="false" ht="13.5" hidden="false" customHeight="false" outlineLevel="0" collapsed="false">
      <c r="A55" s="129"/>
      <c r="B55" s="172"/>
      <c r="C55" s="110"/>
      <c r="D55" s="122"/>
      <c r="E55" s="122"/>
      <c r="F55" s="173"/>
      <c r="G55" s="123"/>
      <c r="H55" s="101"/>
      <c r="I55" s="123"/>
      <c r="J55" s="101"/>
      <c r="K55" s="124" t="s">
        <v>305</v>
      </c>
      <c r="L55" s="125"/>
      <c r="M55" s="125"/>
      <c r="N55" s="126" t="n">
        <f aca="false">$C$54</f>
        <v>1</v>
      </c>
      <c r="O55" s="126" t="n">
        <v>3</v>
      </c>
      <c r="P55" s="126" t="n">
        <v>16</v>
      </c>
      <c r="Q55" s="127" t="n">
        <f aca="false">3.3342+2*50*16/1000</f>
        <v>4.9342</v>
      </c>
      <c r="R55" s="105" t="str">
        <f aca="false">IF(P55=6,N55*O55*Q55*0.222*1,IF(P55&gt;6,"",IF(P55&lt;6,"")))</f>
        <v/>
      </c>
      <c r="S55" s="106" t="str">
        <f aca="false">IF(P55=8,N55*O55*Q55*0.395*1,IF(P55&gt;8,"",IF(P55&lt;8,"")))</f>
        <v/>
      </c>
      <c r="T55" s="106" t="str">
        <f aca="false">IF(P55=10,N55*O55*Q55*0.617*1,IF(P55&gt;10,"",IF(P55&lt;10,"")))</f>
        <v/>
      </c>
      <c r="U55" s="106" t="str">
        <f aca="false">IF(P55=12,N55*O55*Q55*0.888*1,IF(P55&gt;12,"",IF(P55&lt;12,"")))</f>
        <v/>
      </c>
      <c r="V55" s="107" t="n">
        <f aca="false">IF(P55=16,N55*O55*Q55*1.578*1,IF(P55&gt;16,"",IF(P55&lt;16,"")))</f>
        <v>23.3585028</v>
      </c>
      <c r="W55" s="106" t="str">
        <f aca="false">IF(P55=20,N55*O55*Q55*2.466*1,IF(P55&gt;20,"",IF(P55&lt;20,"")))</f>
        <v/>
      </c>
      <c r="X55" s="106" t="str">
        <f aca="false">IF(P55=25,N55*O55*Q55*3.853*1,IF(P55&gt;25,"",IF(P55&lt;25,"")))</f>
        <v/>
      </c>
      <c r="Y55" s="108" t="str">
        <f aca="false">IF(P55=32,N55*O55*Q55*6.313*1,IF(P55&gt;32,"",IF(P55&lt;32,"")))</f>
        <v/>
      </c>
      <c r="Z55" s="109"/>
      <c r="AA55" s="110" t="str">
        <f aca="false">IF(AC55&gt;0,N55,"")</f>
        <v/>
      </c>
      <c r="AB55" s="111" t="str">
        <f aca="false">IF(AC55&gt;0,O55,"")</f>
        <v/>
      </c>
      <c r="AC55" s="112"/>
      <c r="AD55" s="112"/>
      <c r="AE55" s="113" t="str">
        <f aca="false">IF(AC55&gt;0,P55,"")</f>
        <v/>
      </c>
      <c r="AF55" s="114" t="str">
        <f aca="false">IF(AE55=6,AA55*AB55*AC55*AD55*(AE55/1000)*0.222*1,IF(AE55&gt;6,"",IF(AE55&lt;6,"")))</f>
        <v/>
      </c>
      <c r="AG55" s="107" t="str">
        <f aca="false">IF(AE55=8,AA55*AB55*AC55*AD55*(AE55/1000)*0.395*1,IF(AE55&gt;8,"",IF(AE55&lt;8,"")))</f>
        <v/>
      </c>
      <c r="AH55" s="107" t="str">
        <f aca="false">IF(AE55=10,AA55*AB55*AC55*AD55*(AE55/1000)*0.617*1,IF(AE55&gt;10,"",IF(AE55&lt;10,"")))</f>
        <v/>
      </c>
      <c r="AI55" s="107" t="str">
        <f aca="false">IF(AE55=12,AA55*AB55*AC55*AD55*(AE55/1000)*0.888*1,IF(AE55&gt;12,"",IF(AE55&lt;12,"")))</f>
        <v/>
      </c>
      <c r="AJ55" s="107" t="str">
        <f aca="false">IF(AE55=16,AA55*AB55*AC55*AD55*(AE55/1000)*1.578*1,IF(AE55&gt;16,"",IF(AE55&lt;16,"")))</f>
        <v/>
      </c>
      <c r="AK55" s="107" t="str">
        <f aca="false">IF(AE55=20,AA55*AB55*AC55*AD55*(AE55/1000)*2.466*1,IF(AE55&gt;20,"",IF(AE55&lt;20,"")))</f>
        <v/>
      </c>
      <c r="AL55" s="107" t="str">
        <f aca="false">IF(AE55=25,AA55*AB55*AC55*AD55*(AE55/1000)*3.853*1,IF(AE55&gt;25,"",IF(AE55&lt;25,"")))</f>
        <v/>
      </c>
      <c r="AM55" s="115" t="str">
        <f aca="false">IF(AE55=32,AA55*AB55*AC55*AD55*(AE55/1000)*6.313*1,IF(AE55&gt;32,"",IF(AE55&lt;32,"")))</f>
        <v/>
      </c>
      <c r="AN55" s="128"/>
      <c r="AO55" s="117" t="s">
        <v>178</v>
      </c>
      <c r="AP55" s="118" t="n">
        <f aca="false">SUM(R55:Y55)+SUM(AN55)</f>
        <v>23.3585028</v>
      </c>
      <c r="AQ55" s="118" t="n">
        <f aca="false">SUM(AF55:AM55)</f>
        <v>0</v>
      </c>
      <c r="AR55" s="118"/>
      <c r="AS55" s="119"/>
      <c r="AT55" s="119" t="s">
        <v>162</v>
      </c>
    </row>
    <row r="56" customFormat="false" ht="13.5" hidden="false" customHeight="false" outlineLevel="0" collapsed="false">
      <c r="A56" s="129"/>
      <c r="B56" s="172"/>
      <c r="C56" s="110"/>
      <c r="D56" s="122"/>
      <c r="E56" s="122"/>
      <c r="F56" s="173"/>
      <c r="G56" s="123"/>
      <c r="H56" s="101"/>
      <c r="I56" s="123"/>
      <c r="J56" s="101"/>
      <c r="K56" s="124" t="s">
        <v>306</v>
      </c>
      <c r="L56" s="125"/>
      <c r="M56" s="125"/>
      <c r="N56" s="126" t="n">
        <f aca="false">$C$54</f>
        <v>1</v>
      </c>
      <c r="O56" s="126" t="n">
        <v>3</v>
      </c>
      <c r="P56" s="126" t="n">
        <v>16</v>
      </c>
      <c r="Q56" s="127" t="n">
        <f aca="false">3.3342+2*50*16/1000</f>
        <v>4.9342</v>
      </c>
      <c r="R56" s="105" t="str">
        <f aca="false">IF(P56=6,N56*O56*Q56*0.222*1,IF(P56&gt;6,"",IF(P56&lt;6,"")))</f>
        <v/>
      </c>
      <c r="S56" s="106" t="str">
        <f aca="false">IF(P56=8,N56*O56*Q56*0.395*1,IF(P56&gt;8,"",IF(P56&lt;8,"")))</f>
        <v/>
      </c>
      <c r="T56" s="106" t="str">
        <f aca="false">IF(P56=10,N56*O56*Q56*0.617*1,IF(P56&gt;10,"",IF(P56&lt;10,"")))</f>
        <v/>
      </c>
      <c r="U56" s="106" t="str">
        <f aca="false">IF(P56=12,N56*O56*Q56*0.888*1,IF(P56&gt;12,"",IF(P56&lt;12,"")))</f>
        <v/>
      </c>
      <c r="V56" s="107" t="n">
        <f aca="false">IF(P56=16,N56*O56*Q56*1.578*1,IF(P56&gt;16,"",IF(P56&lt;16,"")))</f>
        <v>23.3585028</v>
      </c>
      <c r="W56" s="106" t="str">
        <f aca="false">IF(P56=20,N56*O56*Q56*2.466*1,IF(P56&gt;20,"",IF(P56&lt;20,"")))</f>
        <v/>
      </c>
      <c r="X56" s="106" t="str">
        <f aca="false">IF(P56=25,N56*O56*Q56*3.853*1,IF(P56&gt;25,"",IF(P56&lt;25,"")))</f>
        <v/>
      </c>
      <c r="Y56" s="108" t="str">
        <f aca="false">IF(P56=32,N56*O56*Q56*6.313*1,IF(P56&gt;32,"",IF(P56&lt;32,"")))</f>
        <v/>
      </c>
      <c r="Z56" s="109"/>
      <c r="AA56" s="110" t="str">
        <f aca="false">IF(AC56&gt;0,N56,"")</f>
        <v/>
      </c>
      <c r="AB56" s="111" t="str">
        <f aca="false">IF(AC56&gt;0,O56,"")</f>
        <v/>
      </c>
      <c r="AC56" s="112"/>
      <c r="AD56" s="112"/>
      <c r="AE56" s="113" t="str">
        <f aca="false">IF(AC56&gt;0,P56,"")</f>
        <v/>
      </c>
      <c r="AF56" s="114" t="str">
        <f aca="false">IF(AE56=6,AA56*AB56*AC56*AD56*(AE56/1000)*0.222*1,IF(AE56&gt;6,"",IF(AE56&lt;6,"")))</f>
        <v/>
      </c>
      <c r="AG56" s="107" t="str">
        <f aca="false">IF(AE56=8,AA56*AB56*AC56*AD56*(AE56/1000)*0.395*1,IF(AE56&gt;8,"",IF(AE56&lt;8,"")))</f>
        <v/>
      </c>
      <c r="AH56" s="107" t="str">
        <f aca="false">IF(AE56=10,AA56*AB56*AC56*AD56*(AE56/1000)*0.617*1,IF(AE56&gt;10,"",IF(AE56&lt;10,"")))</f>
        <v/>
      </c>
      <c r="AI56" s="107" t="str">
        <f aca="false">IF(AE56=12,AA56*AB56*AC56*AD56*(AE56/1000)*0.888*1,IF(AE56&gt;12,"",IF(AE56&lt;12,"")))</f>
        <v/>
      </c>
      <c r="AJ56" s="107" t="str">
        <f aca="false">IF(AE56=16,AA56*AB56*AC56*AD56*(AE56/1000)*1.578*1,IF(AE56&gt;16,"",IF(AE56&lt;16,"")))</f>
        <v/>
      </c>
      <c r="AK56" s="107" t="str">
        <f aca="false">IF(AE56=20,AA56*AB56*AC56*AD56*(AE56/1000)*2.466*1,IF(AE56&gt;20,"",IF(AE56&lt;20,"")))</f>
        <v/>
      </c>
      <c r="AL56" s="107" t="str">
        <f aca="false">IF(AE56=25,AA56*AB56*AC56*AD56*(AE56/1000)*3.853*1,IF(AE56&gt;25,"",IF(AE56&lt;25,"")))</f>
        <v/>
      </c>
      <c r="AM56" s="115" t="str">
        <f aca="false">IF(AE56=32,AA56*AB56*AC56*AD56*(AE56/1000)*6.313*1,IF(AE56&gt;32,"",IF(AE56&lt;32,"")))</f>
        <v/>
      </c>
      <c r="AN56" s="128"/>
      <c r="AO56" s="117" t="s">
        <v>178</v>
      </c>
      <c r="AP56" s="118" t="n">
        <f aca="false">SUM(R56:Y56)+SUM(AN56)</f>
        <v>23.3585028</v>
      </c>
      <c r="AQ56" s="118" t="n">
        <f aca="false">SUM(AF56:AM56)</f>
        <v>0</v>
      </c>
      <c r="AR56" s="118"/>
      <c r="AS56" s="119"/>
      <c r="AT56" s="119" t="s">
        <v>162</v>
      </c>
    </row>
    <row r="57" customFormat="false" ht="13.5" hidden="false" customHeight="false" outlineLevel="0" collapsed="false">
      <c r="A57" s="129"/>
      <c r="B57" s="172"/>
      <c r="C57" s="110"/>
      <c r="D57" s="122"/>
      <c r="E57" s="122"/>
      <c r="F57" s="173"/>
      <c r="G57" s="123"/>
      <c r="H57" s="101"/>
      <c r="I57" s="123"/>
      <c r="J57" s="101"/>
      <c r="K57" s="124" t="s">
        <v>307</v>
      </c>
      <c r="L57" s="125" t="n">
        <f aca="false">$F$54</f>
        <v>3.02333333333333</v>
      </c>
      <c r="M57" s="125" t="n">
        <v>0.15</v>
      </c>
      <c r="N57" s="126" t="n">
        <f aca="false">$C$54</f>
        <v>1</v>
      </c>
      <c r="O57" s="126" t="n">
        <f aca="false">CEILING(L57/M57,1)+1</f>
        <v>22</v>
      </c>
      <c r="P57" s="126" t="n">
        <v>8</v>
      </c>
      <c r="Q57" s="127" t="n">
        <f aca="false">2*($D$54-2*0.05)+2*($E$54-2*0.05)+20*8/1000</f>
        <v>1.24</v>
      </c>
      <c r="R57" s="105" t="str">
        <f aca="false">IF(P57=6,N57*O57*Q57*0.222*1,IF(P57&gt;6,"",IF(P57&lt;6,"")))</f>
        <v/>
      </c>
      <c r="S57" s="106" t="n">
        <f aca="false">IF(P57=8,N57*O57*Q57*0.395*1,IF(P57&gt;8,"",IF(P57&lt;8,"")))</f>
        <v>10.7756</v>
      </c>
      <c r="T57" s="106" t="str">
        <f aca="false">IF(P57=10,N57*O57*Q57*0.617*1,IF(P57&gt;10,"",IF(P57&lt;10,"")))</f>
        <v/>
      </c>
      <c r="U57" s="106" t="str">
        <f aca="false">IF(P57=12,N57*O57*Q57*0.888*1,IF(P57&gt;12,"",IF(P57&lt;12,"")))</f>
        <v/>
      </c>
      <c r="V57" s="107" t="str">
        <f aca="false">IF(P57=16,N57*O57*Q57*1.578*1,IF(P57&gt;16,"",IF(P57&lt;16,"")))</f>
        <v/>
      </c>
      <c r="W57" s="106" t="str">
        <f aca="false">IF(P57=20,N57*O57*Q57*2.466*1,IF(P57&gt;20,"",IF(P57&lt;20,"")))</f>
        <v/>
      </c>
      <c r="X57" s="106" t="str">
        <f aca="false">IF(P57=25,N57*O57*Q57*3.853*1,IF(P57&gt;25,"",IF(P57&lt;25,"")))</f>
        <v/>
      </c>
      <c r="Y57" s="108" t="str">
        <f aca="false">IF(P57=32,N57*O57*Q57*6.313*1,IF(P57&gt;32,"",IF(P57&lt;32,"")))</f>
        <v/>
      </c>
      <c r="Z57" s="109"/>
      <c r="AA57" s="110" t="str">
        <f aca="false">IF(AC57&gt;0,N57,"")</f>
        <v/>
      </c>
      <c r="AB57" s="111" t="str">
        <f aca="false">IF(AC57&gt;0,O57,"")</f>
        <v/>
      </c>
      <c r="AC57" s="112"/>
      <c r="AD57" s="112"/>
      <c r="AE57" s="113" t="str">
        <f aca="false">IF(AC57&gt;0,P57,"")</f>
        <v/>
      </c>
      <c r="AF57" s="114" t="str">
        <f aca="false">IF(AE57=6,AA57*AB57*AC57*AD57*(AE57/1000)*0.222*1,IF(AE57&gt;6,"",IF(AE57&lt;6,"")))</f>
        <v/>
      </c>
      <c r="AG57" s="107" t="str">
        <f aca="false">IF(AE57=8,AA57*AB57*AC57*AD57*(AE57/1000)*0.395*1,IF(AE57&gt;8,"",IF(AE57&lt;8,"")))</f>
        <v/>
      </c>
      <c r="AH57" s="107" t="str">
        <f aca="false">IF(AE57=10,AA57*AB57*AC57*AD57*(AE57/1000)*0.617*1,IF(AE57&gt;10,"",IF(AE57&lt;10,"")))</f>
        <v/>
      </c>
      <c r="AI57" s="107" t="str">
        <f aca="false">IF(AE57=12,AA57*AB57*AC57*AD57*(AE57/1000)*0.888*1,IF(AE57&gt;12,"",IF(AE57&lt;12,"")))</f>
        <v/>
      </c>
      <c r="AJ57" s="107" t="str">
        <f aca="false">IF(AE57=16,AA57*AB57*AC57*AD57*(AE57/1000)*1.578*1,IF(AE57&gt;16,"",IF(AE57&lt;16,"")))</f>
        <v/>
      </c>
      <c r="AK57" s="107" t="str">
        <f aca="false">IF(AE57=20,AA57*AB57*AC57*AD57*(AE57/1000)*2.466*1,IF(AE57&gt;20,"",IF(AE57&lt;20,"")))</f>
        <v/>
      </c>
      <c r="AL57" s="107" t="str">
        <f aca="false">IF(AE57=25,AA57*AB57*AC57*AD57*(AE57/1000)*3.853*1,IF(AE57&gt;25,"",IF(AE57&lt;25,"")))</f>
        <v/>
      </c>
      <c r="AM57" s="115" t="str">
        <f aca="false">IF(AE57=32,AA57*AB57*AC57*AD57*(AE57/1000)*6.313*1,IF(AE57&gt;32,"",IF(AE57&lt;32,"")))</f>
        <v/>
      </c>
      <c r="AN57" s="128"/>
      <c r="AO57" s="117" t="s">
        <v>178</v>
      </c>
      <c r="AP57" s="118" t="n">
        <f aca="false">SUM(R57:Y57)+SUM(AN57)</f>
        <v>10.7756</v>
      </c>
      <c r="AQ57" s="118" t="n">
        <f aca="false">SUM(AF57:AM57)</f>
        <v>0</v>
      </c>
      <c r="AR57" s="118"/>
      <c r="AS57" s="119"/>
      <c r="AT57" s="119" t="s">
        <v>162</v>
      </c>
    </row>
    <row r="58" customFormat="false" ht="13.5" hidden="false" customHeight="false" outlineLevel="0" collapsed="false">
      <c r="A58" s="129"/>
      <c r="B58" s="130"/>
      <c r="C58" s="110"/>
      <c r="D58" s="122"/>
      <c r="E58" s="122"/>
      <c r="F58" s="122"/>
      <c r="G58" s="123"/>
      <c r="H58" s="101"/>
      <c r="I58" s="123"/>
      <c r="J58" s="101"/>
      <c r="K58" s="124"/>
      <c r="L58" s="125"/>
      <c r="M58" s="125"/>
      <c r="N58" s="126"/>
      <c r="O58" s="126"/>
      <c r="P58" s="126"/>
      <c r="Q58" s="127"/>
      <c r="R58" s="105"/>
      <c r="S58" s="106"/>
      <c r="T58" s="106"/>
      <c r="U58" s="106"/>
      <c r="V58" s="107"/>
      <c r="W58" s="106"/>
      <c r="X58" s="106"/>
      <c r="Y58" s="108"/>
      <c r="Z58" s="109"/>
      <c r="AA58" s="110"/>
      <c r="AB58" s="111"/>
      <c r="AC58" s="112"/>
      <c r="AD58" s="112"/>
      <c r="AE58" s="113"/>
      <c r="AF58" s="114"/>
      <c r="AG58" s="107"/>
      <c r="AH58" s="107"/>
      <c r="AI58" s="107"/>
      <c r="AJ58" s="107"/>
      <c r="AK58" s="107"/>
      <c r="AL58" s="107"/>
      <c r="AM58" s="115"/>
      <c r="AO58" s="117"/>
      <c r="AP58" s="118"/>
      <c r="AQ58" s="118"/>
      <c r="AR58" s="118"/>
      <c r="AS58" s="119"/>
      <c r="AT58" s="119"/>
    </row>
    <row r="59" s="55" customFormat="true" ht="13.5" hidden="false" customHeight="false" outlineLevel="0" collapsed="false">
      <c r="A59" s="131"/>
      <c r="B59" s="132"/>
      <c r="C59" s="133" t="s">
        <v>196</v>
      </c>
      <c r="D59" s="133"/>
      <c r="E59" s="133"/>
      <c r="F59" s="133"/>
      <c r="G59" s="134" t="n">
        <f aca="false">SUM(G6:G57)</f>
        <v>7.1224</v>
      </c>
      <c r="H59" s="135"/>
      <c r="I59" s="136"/>
      <c r="J59" s="137"/>
      <c r="K59" s="137"/>
      <c r="L59" s="137"/>
      <c r="M59" s="137"/>
      <c r="N59" s="138"/>
      <c r="O59" s="139" t="s">
        <v>197</v>
      </c>
      <c r="P59" s="139"/>
      <c r="Q59" s="139"/>
      <c r="R59" s="140" t="n">
        <f aca="false">SUM(R6:R57)</f>
        <v>0</v>
      </c>
      <c r="S59" s="140" t="n">
        <f aca="false">SUM(S6:S57)</f>
        <v>222.6378</v>
      </c>
      <c r="T59" s="140" t="n">
        <f aca="false">SUM(T6:T57)</f>
        <v>0</v>
      </c>
      <c r="U59" s="140" t="n">
        <f aca="false">SUM(U6:U57)</f>
        <v>0</v>
      </c>
      <c r="V59" s="140" t="n">
        <f aca="false">SUM(V6:V57)</f>
        <v>617.3580996</v>
      </c>
      <c r="W59" s="140" t="n">
        <f aca="false">SUM(W6:W57)</f>
        <v>324.0324</v>
      </c>
      <c r="X59" s="140" t="n">
        <f aca="false">SUM(X6:X57)</f>
        <v>0</v>
      </c>
      <c r="Y59" s="140" t="n">
        <f aca="false">SUM(Y6:Y57)</f>
        <v>0</v>
      </c>
      <c r="Z59" s="141"/>
      <c r="AA59" s="142"/>
      <c r="AB59" s="143" t="s">
        <v>197</v>
      </c>
      <c r="AC59" s="143"/>
      <c r="AD59" s="143"/>
      <c r="AE59" s="143"/>
      <c r="AF59" s="140" t="n">
        <f aca="false">SUM(AF6:AF57)</f>
        <v>0</v>
      </c>
      <c r="AG59" s="140" t="n">
        <f aca="false">SUM(AG6:AG57)</f>
        <v>0</v>
      </c>
      <c r="AH59" s="140" t="n">
        <f aca="false">SUM(AH6:AH57)</f>
        <v>0</v>
      </c>
      <c r="AI59" s="140" t="n">
        <f aca="false">SUM(AI6:AI57)</f>
        <v>0</v>
      </c>
      <c r="AJ59" s="140" t="n">
        <f aca="false">SUM(AJ6:AJ57)</f>
        <v>0</v>
      </c>
      <c r="AK59" s="140" t="n">
        <f aca="false">SUM(AK6:AK57)</f>
        <v>0</v>
      </c>
      <c r="AL59" s="140" t="n">
        <f aca="false">SUM(AL6:AL57)</f>
        <v>0</v>
      </c>
      <c r="AM59" s="140" t="n">
        <f aca="false">SUM(AM6:AM57)</f>
        <v>0</v>
      </c>
      <c r="AN59" s="144" t="n">
        <f aca="false">SUM(AN6:AN57)</f>
        <v>0</v>
      </c>
      <c r="AO59" s="117"/>
      <c r="AP59" s="118"/>
      <c r="AQ59" s="118"/>
      <c r="AR59" s="118"/>
      <c r="AS59" s="119"/>
      <c r="AT59" s="119"/>
    </row>
    <row r="60" s="55" customFormat="true" ht="13.5" hidden="false" customHeight="false" outlineLevel="0" collapsed="false">
      <c r="A60" s="131" t="s">
        <v>198</v>
      </c>
      <c r="B60" s="95"/>
      <c r="C60" s="145" t="s">
        <v>199</v>
      </c>
      <c r="D60" s="145"/>
      <c r="E60" s="145"/>
      <c r="F60" s="145"/>
      <c r="G60" s="146" t="n">
        <f aca="false">SUM(I6:I57)</f>
        <v>53.26</v>
      </c>
      <c r="H60" s="147"/>
      <c r="I60" s="136"/>
      <c r="J60" s="148"/>
      <c r="K60" s="137"/>
      <c r="L60" s="137"/>
      <c r="M60" s="137"/>
      <c r="N60" s="138"/>
      <c r="O60" s="149" t="s">
        <v>200</v>
      </c>
      <c r="P60" s="149"/>
      <c r="Q60" s="149"/>
      <c r="R60" s="150" t="n">
        <f aca="false">SUM(R59:Y59)+AN59</f>
        <v>1164.0282996</v>
      </c>
      <c r="S60" s="150"/>
      <c r="T60" s="150"/>
      <c r="U60" s="150"/>
      <c r="V60" s="150"/>
      <c r="W60" s="150"/>
      <c r="X60" s="150"/>
      <c r="Y60" s="150"/>
      <c r="Z60" s="151"/>
      <c r="AA60" s="152"/>
      <c r="AB60" s="153" t="s">
        <v>200</v>
      </c>
      <c r="AC60" s="153"/>
      <c r="AD60" s="153"/>
      <c r="AE60" s="153"/>
      <c r="AF60" s="150" t="n">
        <f aca="false">SUM(AF59:AM59)</f>
        <v>0</v>
      </c>
      <c r="AG60" s="150"/>
      <c r="AH60" s="150"/>
      <c r="AI60" s="150"/>
      <c r="AJ60" s="150"/>
      <c r="AK60" s="150"/>
      <c r="AL60" s="150"/>
      <c r="AM60" s="150"/>
      <c r="AN60" s="154"/>
      <c r="AO60" s="117"/>
      <c r="AP60" s="118"/>
      <c r="AQ60" s="118"/>
      <c r="AR60" s="118"/>
      <c r="AS60" s="119"/>
      <c r="AT60" s="119"/>
    </row>
    <row r="61" s="55" customFormat="true" ht="13.5" hidden="false" customHeight="false" outlineLevel="0" collapsed="false">
      <c r="A61" s="155"/>
      <c r="B61" s="156"/>
      <c r="C61" s="157" t="s">
        <v>201</v>
      </c>
      <c r="D61" s="157"/>
      <c r="E61" s="157"/>
      <c r="F61" s="157"/>
      <c r="G61" s="158" t="n">
        <f aca="false">IF(G59&gt;0,G60/G59,0)</f>
        <v>7.47781646635965</v>
      </c>
      <c r="H61" s="159"/>
      <c r="I61" s="160"/>
      <c r="J61" s="160"/>
      <c r="K61" s="160"/>
      <c r="L61" s="160"/>
      <c r="M61" s="160"/>
      <c r="N61" s="161"/>
      <c r="O61" s="162" t="s">
        <v>202</v>
      </c>
      <c r="P61" s="162"/>
      <c r="Q61" s="162"/>
      <c r="R61" s="163" t="n">
        <f aca="false">IF(G59&gt;0,R60/G59,0)</f>
        <v>163.43203128159</v>
      </c>
      <c r="S61" s="164"/>
      <c r="T61" s="165"/>
      <c r="U61" s="165"/>
      <c r="V61" s="165"/>
      <c r="W61" s="165"/>
      <c r="X61" s="165"/>
      <c r="Y61" s="166"/>
      <c r="Z61" s="141"/>
      <c r="AA61" s="167"/>
      <c r="AB61" s="168" t="s">
        <v>203</v>
      </c>
      <c r="AC61" s="168"/>
      <c r="AD61" s="168"/>
      <c r="AE61" s="168"/>
      <c r="AF61" s="163" t="n">
        <f aca="false">IF(G59&gt;0,AF60/G59,0)</f>
        <v>0</v>
      </c>
      <c r="AG61" s="164"/>
      <c r="AH61" s="165"/>
      <c r="AI61" s="165"/>
      <c r="AJ61" s="169" t="s">
        <v>204</v>
      </c>
      <c r="AK61" s="169"/>
      <c r="AL61" s="169"/>
      <c r="AM61" s="170" t="n">
        <f aca="false">IF(R60&gt;0,AF60/R60,0)</f>
        <v>0</v>
      </c>
      <c r="AN61" s="44"/>
      <c r="AO61" s="117"/>
      <c r="AP61" s="118"/>
      <c r="AQ61" s="118"/>
      <c r="AR61" s="118"/>
      <c r="AS61" s="119"/>
      <c r="AT61" s="119"/>
    </row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59:F59"/>
    <mergeCell ref="O59:Q59"/>
    <mergeCell ref="AB59:AE59"/>
    <mergeCell ref="C60:F60"/>
    <mergeCell ref="O60:Q60"/>
    <mergeCell ref="R60:Y60"/>
    <mergeCell ref="AB60:AE60"/>
    <mergeCell ref="AF60:AM60"/>
    <mergeCell ref="C61:F61"/>
    <mergeCell ref="O61:Q61"/>
    <mergeCell ref="AB61:AE61"/>
    <mergeCell ref="AJ61:AL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8.43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/>
      <c r="E5" s="82" t="s">
        <v>328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9.4" hidden="false" customHeight="false" outlineLevel="0" collapsed="false">
      <c r="A6" s="96"/>
      <c r="B6" s="97" t="s">
        <v>329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330</v>
      </c>
      <c r="C7" s="110" t="n">
        <v>4</v>
      </c>
      <c r="D7" s="122"/>
      <c r="E7" s="122" t="n">
        <v>1.2</v>
      </c>
      <c r="F7" s="122" t="n">
        <v>4.5</v>
      </c>
      <c r="G7" s="123" t="n">
        <f aca="false">C7*PI()*E7^2/4*F7</f>
        <v>20.3575203952619</v>
      </c>
      <c r="H7" s="101"/>
      <c r="I7" s="123"/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170</v>
      </c>
      <c r="AP7" s="118" t="n">
        <f aca="false">SUM(R7:Y7)+SUM(AN7)</f>
        <v>0</v>
      </c>
      <c r="AQ7" s="118" t="n">
        <f aca="false">SUM(AF7:AM7)</f>
        <v>0</v>
      </c>
      <c r="AR7" s="118" t="n">
        <v>20.3574</v>
      </c>
      <c r="AS7" s="119" t="s">
        <v>331</v>
      </c>
      <c r="AT7" s="119" t="s">
        <v>209</v>
      </c>
    </row>
    <row r="8" customFormat="false" ht="13.5" hidden="false" customHeight="false" outlineLevel="0" collapsed="false">
      <c r="A8" s="129"/>
      <c r="B8" s="130"/>
      <c r="C8" s="110"/>
      <c r="D8" s="122"/>
      <c r="E8" s="122"/>
      <c r="F8" s="122"/>
      <c r="G8" s="123"/>
      <c r="H8" s="101"/>
      <c r="I8" s="123"/>
      <c r="J8" s="101"/>
      <c r="K8" s="124"/>
      <c r="L8" s="125"/>
      <c r="M8" s="125"/>
      <c r="N8" s="126"/>
      <c r="O8" s="126"/>
      <c r="P8" s="126"/>
      <c r="Q8" s="127"/>
      <c r="R8" s="105"/>
      <c r="S8" s="106"/>
      <c r="T8" s="106"/>
      <c r="U8" s="106"/>
      <c r="V8" s="107"/>
      <c r="W8" s="106"/>
      <c r="X8" s="106"/>
      <c r="Y8" s="108"/>
      <c r="Z8" s="109"/>
      <c r="AA8" s="110"/>
      <c r="AB8" s="111"/>
      <c r="AC8" s="112"/>
      <c r="AD8" s="112"/>
      <c r="AE8" s="113"/>
      <c r="AF8" s="114"/>
      <c r="AG8" s="107"/>
      <c r="AH8" s="107"/>
      <c r="AI8" s="107"/>
      <c r="AJ8" s="107"/>
      <c r="AK8" s="107"/>
      <c r="AL8" s="107"/>
      <c r="AM8" s="115"/>
      <c r="AO8" s="117"/>
      <c r="AP8" s="118"/>
      <c r="AQ8" s="118"/>
      <c r="AR8" s="118"/>
      <c r="AS8" s="119"/>
      <c r="AT8" s="119"/>
    </row>
    <row r="9" customFormat="false" ht="13.5" hidden="false" customHeight="false" outlineLevel="0" collapsed="false">
      <c r="A9" s="131"/>
      <c r="B9" s="132"/>
      <c r="C9" s="133" t="s">
        <v>196</v>
      </c>
      <c r="D9" s="133"/>
      <c r="E9" s="133"/>
      <c r="F9" s="133"/>
      <c r="G9" s="134" t="n">
        <f aca="false">SUM(G6:G7)</f>
        <v>20.3575203952619</v>
      </c>
      <c r="H9" s="135"/>
      <c r="I9" s="136"/>
      <c r="J9" s="137"/>
      <c r="K9" s="137"/>
      <c r="L9" s="137"/>
      <c r="M9" s="137"/>
      <c r="N9" s="138"/>
      <c r="O9" s="139" t="s">
        <v>197</v>
      </c>
      <c r="P9" s="139"/>
      <c r="Q9" s="139"/>
      <c r="R9" s="140" t="n">
        <f aca="false">SUM(R6:R7)</f>
        <v>0</v>
      </c>
      <c r="S9" s="140" t="n">
        <f aca="false">SUM(S6:S7)</f>
        <v>0</v>
      </c>
      <c r="T9" s="140" t="n">
        <f aca="false">SUM(T6:T7)</f>
        <v>0</v>
      </c>
      <c r="U9" s="140" t="n">
        <f aca="false">SUM(U6:U7)</f>
        <v>0</v>
      </c>
      <c r="V9" s="140" t="n">
        <f aca="false">SUM(V6:V7)</f>
        <v>0</v>
      </c>
      <c r="W9" s="140" t="n">
        <f aca="false">SUM(W6:W7)</f>
        <v>0</v>
      </c>
      <c r="X9" s="140" t="n">
        <f aca="false">SUM(X6:X7)</f>
        <v>0</v>
      </c>
      <c r="Y9" s="140" t="n">
        <f aca="false">SUM(Y6:Y7)</f>
        <v>0</v>
      </c>
      <c r="Z9" s="141"/>
      <c r="AA9" s="142"/>
      <c r="AB9" s="143" t="s">
        <v>197</v>
      </c>
      <c r="AC9" s="143"/>
      <c r="AD9" s="143"/>
      <c r="AE9" s="143"/>
      <c r="AF9" s="140" t="n">
        <f aca="false">SUM(AF6:AF7)</f>
        <v>0</v>
      </c>
      <c r="AG9" s="140" t="n">
        <f aca="false">SUM(AG6:AG7)</f>
        <v>0</v>
      </c>
      <c r="AH9" s="140" t="n">
        <f aca="false">SUM(AH6:AH7)</f>
        <v>0</v>
      </c>
      <c r="AI9" s="140" t="n">
        <f aca="false">SUM(AI6:AI7)</f>
        <v>0</v>
      </c>
      <c r="AJ9" s="140" t="n">
        <f aca="false">SUM(AJ6:AJ7)</f>
        <v>0</v>
      </c>
      <c r="AK9" s="140" t="n">
        <f aca="false">SUM(AK6:AK7)</f>
        <v>0</v>
      </c>
      <c r="AL9" s="140" t="n">
        <f aca="false">SUM(AL6:AL7)</f>
        <v>0</v>
      </c>
      <c r="AM9" s="140" t="n">
        <f aca="false">SUM(AM6:AM7)</f>
        <v>0</v>
      </c>
      <c r="AN9" s="144" t="n">
        <f aca="false">SUM(AN6:AN7)</f>
        <v>0</v>
      </c>
      <c r="AO9" s="117"/>
      <c r="AP9" s="118"/>
      <c r="AQ9" s="118"/>
      <c r="AR9" s="118"/>
      <c r="AS9" s="119"/>
      <c r="AT9" s="119"/>
    </row>
    <row r="10" customFormat="false" ht="13.5" hidden="false" customHeight="false" outlineLevel="0" collapsed="false">
      <c r="A10" s="131" t="s">
        <v>198</v>
      </c>
      <c r="B10" s="95"/>
      <c r="C10" s="145" t="s">
        <v>199</v>
      </c>
      <c r="D10" s="145"/>
      <c r="E10" s="145"/>
      <c r="F10" s="145"/>
      <c r="G10" s="146" t="n">
        <f aca="false">SUM(I6:I7)</f>
        <v>0</v>
      </c>
      <c r="H10" s="147"/>
      <c r="I10" s="136"/>
      <c r="J10" s="148"/>
      <c r="K10" s="137"/>
      <c r="L10" s="137"/>
      <c r="M10" s="137"/>
      <c r="N10" s="138"/>
      <c r="O10" s="149" t="s">
        <v>200</v>
      </c>
      <c r="P10" s="149"/>
      <c r="Q10" s="149"/>
      <c r="R10" s="150" t="n">
        <f aca="false">SUM(R9:Y9)+AN9</f>
        <v>0</v>
      </c>
      <c r="S10" s="150"/>
      <c r="T10" s="150"/>
      <c r="U10" s="150"/>
      <c r="V10" s="150"/>
      <c r="W10" s="150"/>
      <c r="X10" s="150"/>
      <c r="Y10" s="150"/>
      <c r="Z10" s="151"/>
      <c r="AA10" s="152"/>
      <c r="AB10" s="153" t="s">
        <v>200</v>
      </c>
      <c r="AC10" s="153"/>
      <c r="AD10" s="153"/>
      <c r="AE10" s="153"/>
      <c r="AF10" s="150" t="n">
        <f aca="false">SUM(AF9:AM9)</f>
        <v>0</v>
      </c>
      <c r="AG10" s="150"/>
      <c r="AH10" s="150"/>
      <c r="AI10" s="150"/>
      <c r="AJ10" s="150"/>
      <c r="AK10" s="150"/>
      <c r="AL10" s="150"/>
      <c r="AM10" s="150"/>
      <c r="AN10" s="154"/>
      <c r="AO10" s="117"/>
      <c r="AP10" s="118"/>
      <c r="AQ10" s="118"/>
      <c r="AR10" s="118"/>
      <c r="AS10" s="119"/>
      <c r="AT10" s="119"/>
    </row>
    <row r="11" customFormat="false" ht="13.5" hidden="false" customHeight="false" outlineLevel="0" collapsed="false">
      <c r="A11" s="155"/>
      <c r="B11" s="156"/>
      <c r="C11" s="157" t="s">
        <v>201</v>
      </c>
      <c r="D11" s="157"/>
      <c r="E11" s="157"/>
      <c r="F11" s="157"/>
      <c r="G11" s="158" t="n">
        <f aca="false">IF(G9&gt;0,G10/G9,0)</f>
        <v>0</v>
      </c>
      <c r="H11" s="159"/>
      <c r="I11" s="160"/>
      <c r="J11" s="160"/>
      <c r="K11" s="160"/>
      <c r="L11" s="160"/>
      <c r="M11" s="160"/>
      <c r="N11" s="161"/>
      <c r="O11" s="162" t="s">
        <v>202</v>
      </c>
      <c r="P11" s="162"/>
      <c r="Q11" s="162"/>
      <c r="R11" s="163" t="n">
        <f aca="false">IF(G9&gt;0,R10/G9,0)</f>
        <v>0</v>
      </c>
      <c r="S11" s="164"/>
      <c r="T11" s="165"/>
      <c r="U11" s="165"/>
      <c r="V11" s="165"/>
      <c r="W11" s="165"/>
      <c r="X11" s="165"/>
      <c r="Y11" s="166"/>
      <c r="Z11" s="141"/>
      <c r="AA11" s="167"/>
      <c r="AB11" s="168" t="s">
        <v>203</v>
      </c>
      <c r="AC11" s="168"/>
      <c r="AD11" s="168"/>
      <c r="AE11" s="168"/>
      <c r="AF11" s="163" t="n">
        <f aca="false">IF(G9&gt;0,AF10/G9,0)</f>
        <v>0</v>
      </c>
      <c r="AG11" s="164"/>
      <c r="AH11" s="165"/>
      <c r="AI11" s="165"/>
      <c r="AJ11" s="169" t="s">
        <v>204</v>
      </c>
      <c r="AK11" s="169"/>
      <c r="AL11" s="169"/>
      <c r="AM11" s="170" t="n">
        <f aca="false">IF(R10&gt;0,AF10/R10,0)</f>
        <v>0</v>
      </c>
      <c r="AN11" s="44"/>
      <c r="AO11" s="117"/>
      <c r="AP11" s="118"/>
      <c r="AQ11" s="118"/>
      <c r="AR11" s="118"/>
      <c r="AS11" s="119"/>
      <c r="AT11" s="119"/>
    </row>
    <row r="19" s="55" customFormat="true" ht="13.5" hidden="false" customHeight="false" outlineLevel="0" collapsed="false"/>
    <row r="20" s="55" customFormat="true" ht="13.5" hidden="false" customHeight="false" outlineLevel="0" collapsed="false"/>
    <row r="21" s="55" customFormat="true" ht="13.5" hidden="false" customHeight="false" outlineLevel="0" collapsed="false"/>
    <row r="24" s="55" customFormat="true" ht="13.5" hidden="false" customHeight="false" outlineLevel="0" collapsed="false"/>
    <row r="25" s="95" customFormat="true" ht="13.5" hidden="false" customHeight="false" outlineLevel="0" collapsed="false"/>
    <row r="26" s="116" customFormat="true" ht="13.5" hidden="false" customHeight="false" outlineLevel="0" collapsed="false"/>
    <row r="51" s="55" customFormat="true" ht="13.5" hidden="false" customHeight="false" outlineLevel="0" collapsed="false"/>
    <row r="52" s="55" customFormat="true" ht="13.5" hidden="false" customHeight="false" outlineLevel="0" collapsed="false"/>
    <row r="53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9:F9"/>
    <mergeCell ref="O9:Q9"/>
    <mergeCell ref="AB9:AE9"/>
    <mergeCell ref="C10:F10"/>
    <mergeCell ref="O10:Q10"/>
    <mergeCell ref="R10:Y10"/>
    <mergeCell ref="AB10:AE10"/>
    <mergeCell ref="AF10:AM10"/>
    <mergeCell ref="C11:F11"/>
    <mergeCell ref="O11:Q11"/>
    <mergeCell ref="AB11:AE11"/>
    <mergeCell ref="AJ11:AL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82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8.43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3.5" hidden="false" customHeight="false" outlineLevel="0" collapsed="false">
      <c r="A6" s="96"/>
      <c r="B6" s="97" t="s">
        <v>332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333</v>
      </c>
      <c r="C7" s="110" t="n">
        <v>1</v>
      </c>
      <c r="D7" s="122"/>
      <c r="E7" s="122" t="n">
        <v>24.8001</v>
      </c>
      <c r="F7" s="122" t="n">
        <v>0.2</v>
      </c>
      <c r="G7" s="123" t="n">
        <f aca="false">C7*E7*F7</f>
        <v>4.96002</v>
      </c>
      <c r="H7" s="101"/>
      <c r="I7" s="123" t="n">
        <f aca="false">C7*E7</f>
        <v>24.8001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160</v>
      </c>
      <c r="AP7" s="118" t="n">
        <f aca="false">SUM(R7:Y7)+SUM(AN7)</f>
        <v>0</v>
      </c>
      <c r="AQ7" s="118" t="n">
        <f aca="false">SUM(AF7:AM7)</f>
        <v>0</v>
      </c>
      <c r="AR7" s="118" t="n">
        <v>4.96</v>
      </c>
      <c r="AS7" s="119" t="s">
        <v>334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335</v>
      </c>
      <c r="L8" s="125"/>
      <c r="M8" s="125"/>
      <c r="N8" s="126" t="n">
        <f aca="false">$C$7</f>
        <v>1</v>
      </c>
      <c r="O8" s="126" t="n">
        <v>2</v>
      </c>
      <c r="P8" s="126" t="n">
        <v>12</v>
      </c>
      <c r="Q8" s="127" t="n">
        <f aca="false">$E$7/0.15</f>
        <v>165.334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n">
        <f aca="false">IF(P8=12,N8*O8*Q8*0.888*1,IF(P8&gt;12,"",IF(P8&lt;12,"")))</f>
        <v>293.633184</v>
      </c>
      <c r="V8" s="107" t="str">
        <f aca="false">IF(P8=16,N8*O8*Q8*1.578*1,IF(P8&gt;16,"",IF(P8&lt;16,"")))</f>
        <v/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160</v>
      </c>
      <c r="AP8" s="118" t="n">
        <f aca="false">SUM(R8:Y8)+SUM(AN8)</f>
        <v>293.633184</v>
      </c>
      <c r="AQ8" s="118" t="n">
        <f aca="false">SUM(AF8:AM8)</f>
        <v>0</v>
      </c>
      <c r="AR8" s="118"/>
      <c r="AS8" s="119"/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336</v>
      </c>
      <c r="L9" s="125"/>
      <c r="M9" s="125"/>
      <c r="N9" s="126" t="n">
        <f aca="false">$C$7</f>
        <v>1</v>
      </c>
      <c r="O9" s="126" t="n">
        <v>2</v>
      </c>
      <c r="P9" s="126" t="n">
        <v>12</v>
      </c>
      <c r="Q9" s="127" t="n">
        <f aca="false">$E$7/0.15</f>
        <v>165.334</v>
      </c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str">
        <f aca="false">IF(P9=10,N9*O9*Q9*0.617*1,IF(P9&gt;10,"",IF(P9&lt;10,"")))</f>
        <v/>
      </c>
      <c r="U9" s="106" t="n">
        <f aca="false">IF(P9=12,N9*O9*Q9*0.888*1,IF(P9&gt;12,"",IF(P9&lt;12,"")))</f>
        <v>293.633184</v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160</v>
      </c>
      <c r="AP9" s="118" t="n">
        <f aca="false">SUM(R9:Y9)+SUM(AN9)</f>
        <v>293.633184</v>
      </c>
      <c r="AQ9" s="118" t="n">
        <f aca="false">SUM(AF9:AM9)</f>
        <v>0</v>
      </c>
      <c r="AR9" s="118"/>
      <c r="AS9" s="119"/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337</v>
      </c>
      <c r="L10" s="125" t="n">
        <v>24.68</v>
      </c>
      <c r="M10" s="125" t="n">
        <v>0.15</v>
      </c>
      <c r="N10" s="126" t="n">
        <f aca="false">$C$7</f>
        <v>1</v>
      </c>
      <c r="O10" s="126" t="n">
        <f aca="false">CEILING(L10/M10,1)+1</f>
        <v>166</v>
      </c>
      <c r="P10" s="126" t="n">
        <v>12</v>
      </c>
      <c r="Q10" s="127" t="n">
        <f aca="false">50*12/1000</f>
        <v>0.6</v>
      </c>
      <c r="R10" s="105" t="str">
        <f aca="false">IF(P10=6,N10*O10*Q10*0.222*1,IF(P10&gt;6,"",IF(P10&lt;6,"")))</f>
        <v/>
      </c>
      <c r="S10" s="106" t="str">
        <f aca="false">IF(P10=8,N10*O10*Q10*0.395*1,IF(P10&gt;8,"",IF(P10&lt;8,"")))</f>
        <v/>
      </c>
      <c r="T10" s="106" t="str">
        <f aca="false">IF(P10=10,N10*O10*Q10*0.617*1,IF(P10&gt;10,"",IF(P10&lt;10,"")))</f>
        <v/>
      </c>
      <c r="U10" s="106" t="n">
        <f aca="false">IF(P10=12,N10*O10*Q10*0.888*1,IF(P10&gt;12,"",IF(P10&lt;12,"")))</f>
        <v>88.4448</v>
      </c>
      <c r="V10" s="107" t="str">
        <f aca="false">IF(P10=16,N10*O10*Q10*1.578*1,IF(P10&gt;16,"",IF(P10&lt;16,"")))</f>
        <v/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160</v>
      </c>
      <c r="AP10" s="118" t="n">
        <f aca="false">SUM(R10:Y10)+SUM(AN10)</f>
        <v>88.4448</v>
      </c>
      <c r="AQ10" s="118" t="n">
        <f aca="false">SUM(AF10:AM10)</f>
        <v>0</v>
      </c>
      <c r="AR10" s="118"/>
      <c r="AS10" s="119" t="s">
        <v>338</v>
      </c>
      <c r="AT10" s="119" t="s">
        <v>162</v>
      </c>
    </row>
    <row r="11" customFormat="false" ht="13.5" hidden="false" customHeight="false" outlineLevel="0" collapsed="false">
      <c r="A11" s="129"/>
      <c r="B11" s="172"/>
      <c r="C11" s="110"/>
      <c r="D11" s="122"/>
      <c r="E11" s="122"/>
      <c r="F11" s="173"/>
      <c r="G11" s="123"/>
      <c r="H11" s="101"/>
      <c r="I11" s="123"/>
      <c r="J11" s="101"/>
      <c r="K11" s="124" t="s">
        <v>339</v>
      </c>
      <c r="L11" s="125" t="n">
        <v>24.68</v>
      </c>
      <c r="M11" s="125" t="n">
        <v>0.15</v>
      </c>
      <c r="N11" s="126" t="n">
        <f aca="false">$C$7</f>
        <v>1</v>
      </c>
      <c r="O11" s="126" t="n">
        <f aca="false">CEILING(L11/M11,1)+1</f>
        <v>166</v>
      </c>
      <c r="P11" s="126" t="n">
        <v>12</v>
      </c>
      <c r="Q11" s="127" t="n">
        <f aca="false">10*12/1000</f>
        <v>0.12</v>
      </c>
      <c r="R11" s="105" t="str">
        <f aca="false">IF(P11=6,N11*O11*Q11*0.222*1,IF(P11&gt;6,"",IF(P11&lt;6,"")))</f>
        <v/>
      </c>
      <c r="S11" s="106" t="str">
        <f aca="false">IF(P11=8,N11*O11*Q11*0.395*1,IF(P11&gt;8,"",IF(P11&lt;8,"")))</f>
        <v/>
      </c>
      <c r="T11" s="106" t="str">
        <f aca="false">IF(P11=10,N11*O11*Q11*0.617*1,IF(P11&gt;10,"",IF(P11&lt;10,"")))</f>
        <v/>
      </c>
      <c r="U11" s="106" t="n">
        <f aca="false">IF(P11=12,N11*O11*Q11*0.888*1,IF(P11&gt;12,"",IF(P11&lt;12,"")))</f>
        <v>17.68896</v>
      </c>
      <c r="V11" s="107" t="str">
        <f aca="false">IF(P11=16,N11*O11*Q11*1.578*1,IF(P11&gt;16,"",IF(P11&lt;16,"")))</f>
        <v/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160</v>
      </c>
      <c r="AP11" s="118" t="n">
        <f aca="false">SUM(R11:Y11)+SUM(AN11)</f>
        <v>17.68896</v>
      </c>
      <c r="AQ11" s="118" t="n">
        <f aca="false">SUM(AF11:AM11)</f>
        <v>0</v>
      </c>
      <c r="AR11" s="118"/>
      <c r="AS11" s="119" t="s">
        <v>340</v>
      </c>
      <c r="AT11" s="119" t="s">
        <v>341</v>
      </c>
    </row>
    <row r="12" customFormat="false" ht="13.5" hidden="false" customHeight="false" outlineLevel="0" collapsed="false">
      <c r="A12" s="129"/>
      <c r="B12" s="130"/>
      <c r="C12" s="110"/>
      <c r="D12" s="122"/>
      <c r="E12" s="122"/>
      <c r="F12" s="122"/>
      <c r="G12" s="123"/>
      <c r="H12" s="101"/>
      <c r="I12" s="123"/>
      <c r="J12" s="101"/>
      <c r="K12" s="124"/>
      <c r="L12" s="125"/>
      <c r="M12" s="125"/>
      <c r="N12" s="126"/>
      <c r="O12" s="126"/>
      <c r="P12" s="126"/>
      <c r="Q12" s="127"/>
      <c r="R12" s="105"/>
      <c r="S12" s="106"/>
      <c r="T12" s="106"/>
      <c r="U12" s="106"/>
      <c r="V12" s="107"/>
      <c r="W12" s="106"/>
      <c r="X12" s="106"/>
      <c r="Y12" s="108"/>
      <c r="Z12" s="109"/>
      <c r="AA12" s="110"/>
      <c r="AB12" s="111"/>
      <c r="AC12" s="112"/>
      <c r="AD12" s="112"/>
      <c r="AE12" s="113"/>
      <c r="AF12" s="114"/>
      <c r="AG12" s="107"/>
      <c r="AH12" s="107"/>
      <c r="AI12" s="107"/>
      <c r="AJ12" s="107"/>
      <c r="AK12" s="107"/>
      <c r="AL12" s="107"/>
      <c r="AM12" s="115"/>
      <c r="AO12" s="117"/>
      <c r="AP12" s="118"/>
      <c r="AQ12" s="118"/>
      <c r="AR12" s="118"/>
      <c r="AS12" s="119"/>
      <c r="AT12" s="119"/>
    </row>
    <row r="13" customFormat="false" ht="13.5" hidden="false" customHeight="false" outlineLevel="0" collapsed="false">
      <c r="A13" s="120"/>
      <c r="B13" s="121" t="s">
        <v>342</v>
      </c>
      <c r="C13" s="110" t="n">
        <v>1</v>
      </c>
      <c r="D13" s="122"/>
      <c r="E13" s="122" t="n">
        <v>26.1218</v>
      </c>
      <c r="F13" s="122" t="n">
        <v>0.2</v>
      </c>
      <c r="G13" s="123" t="n">
        <f aca="false">C13*E13*F13</f>
        <v>5.22436</v>
      </c>
      <c r="H13" s="101"/>
      <c r="I13" s="123" t="n">
        <f aca="false">C13*E13</f>
        <v>26.1218</v>
      </c>
      <c r="J13" s="101"/>
      <c r="K13" s="124"/>
      <c r="L13" s="125"/>
      <c r="M13" s="125"/>
      <c r="N13" s="126"/>
      <c r="O13" s="126"/>
      <c r="P13" s="126"/>
      <c r="Q13" s="127"/>
      <c r="R13" s="105" t="str">
        <f aca="false">IF(P13=6,N13*O13*Q13*0.222*1,IF(P13&gt;6,"",IF(P13&lt;6,"")))</f>
        <v/>
      </c>
      <c r="S13" s="106" t="str">
        <f aca="false">IF(P13=8,N13*O13*Q13*0.395*1,IF(P13&gt;8,"",IF(P13&lt;8,"")))</f>
        <v/>
      </c>
      <c r="T13" s="106" t="str">
        <f aca="false">IF(P13=10,N13*O13*Q13*0.617*1,IF(P13&gt;10,"",IF(P13&lt;10,"")))</f>
        <v/>
      </c>
      <c r="U13" s="106" t="str">
        <f aca="false">IF(P13=12,N13*O13*Q13*0.888*1,IF(P13&gt;12,"",IF(P13&lt;12,"")))</f>
        <v/>
      </c>
      <c r="V13" s="107" t="str">
        <f aca="false">IF(P13=16,N13*O13*Q13*1.578*1,IF(P13&gt;16,"",IF(P13&lt;16,"")))</f>
        <v/>
      </c>
      <c r="W13" s="106" t="str">
        <f aca="false">IF(P13=20,N13*O13*Q13*2.466*1,IF(P13&gt;20,"",IF(P13&lt;20,"")))</f>
        <v/>
      </c>
      <c r="X13" s="106" t="str">
        <f aca="false">IF(P13=25,N13*O13*Q13*3.853*1,IF(P13&gt;25,"",IF(P13&lt;25,"")))</f>
        <v/>
      </c>
      <c r="Y13" s="108" t="str">
        <f aca="false">IF(P13=32,N13*O13*Q13*6.313*1,IF(P13&gt;32,"",IF(P13&lt;32,"")))</f>
        <v/>
      </c>
      <c r="Z13" s="109"/>
      <c r="AA13" s="110" t="str">
        <f aca="false">IF(AC13&gt;0,N13,"")</f>
        <v/>
      </c>
      <c r="AB13" s="111" t="str">
        <f aca="false">IF(AC13&gt;0,O13,"")</f>
        <v/>
      </c>
      <c r="AC13" s="112"/>
      <c r="AD13" s="112"/>
      <c r="AE13" s="113" t="str">
        <f aca="false">IF(AC13&gt;0,P13,"")</f>
        <v/>
      </c>
      <c r="AF13" s="114" t="str">
        <f aca="false">IF(AE13=6,AA13*AB13*AC13*AD13*(AE13/1000)*0.222*1,IF(AE13&gt;6,"",IF(AE13&lt;6,"")))</f>
        <v/>
      </c>
      <c r="AG13" s="107" t="str">
        <f aca="false">IF(AE13=8,AA13*AB13*AC13*AD13*(AE13/1000)*0.395*1,IF(AE13&gt;8,"",IF(AE13&lt;8,"")))</f>
        <v/>
      </c>
      <c r="AH13" s="107" t="str">
        <f aca="false">IF(AE13=10,AA13*AB13*AC13*AD13*(AE13/1000)*0.617*1,IF(AE13&gt;10,"",IF(AE13&lt;10,"")))</f>
        <v/>
      </c>
      <c r="AI13" s="107" t="str">
        <f aca="false">IF(AE13=12,AA13*AB13*AC13*AD13*(AE13/1000)*0.888*1,IF(AE13&gt;12,"",IF(AE13&lt;12,"")))</f>
        <v/>
      </c>
      <c r="AJ13" s="107" t="str">
        <f aca="false">IF(AE13=16,AA13*AB13*AC13*AD13*(AE13/1000)*1.578*1,IF(AE13&gt;16,"",IF(AE13&lt;16,"")))</f>
        <v/>
      </c>
      <c r="AK13" s="107" t="str">
        <f aca="false">IF(AE13=20,AA13*AB13*AC13*AD13*(AE13/1000)*2.466*1,IF(AE13&gt;20,"",IF(AE13&lt;20,"")))</f>
        <v/>
      </c>
      <c r="AL13" s="107" t="str">
        <f aca="false">IF(AE13=25,AA13*AB13*AC13*AD13*(AE13/1000)*3.853*1,IF(AE13&gt;25,"",IF(AE13&lt;25,"")))</f>
        <v/>
      </c>
      <c r="AM13" s="115" t="str">
        <f aca="false">IF(AE13=32,AA13*AB13*AC13*AD13*(AE13/1000)*6.313*1,IF(AE13&gt;32,"",IF(AE13&lt;32,"")))</f>
        <v/>
      </c>
      <c r="AN13" s="128"/>
      <c r="AO13" s="117" t="s">
        <v>160</v>
      </c>
      <c r="AP13" s="118" t="n">
        <f aca="false">SUM(R13:Y13)+SUM(AN13)</f>
        <v>0</v>
      </c>
      <c r="AQ13" s="118" t="n">
        <f aca="false">SUM(AF13:AM13)</f>
        <v>0</v>
      </c>
      <c r="AR13" s="118" t="n">
        <v>5.2244</v>
      </c>
      <c r="AS13" s="119" t="s">
        <v>343</v>
      </c>
      <c r="AT13" s="119" t="s">
        <v>209</v>
      </c>
    </row>
    <row r="14" customFormat="false" ht="13.5" hidden="false" customHeight="false" outlineLevel="0" collapsed="false">
      <c r="A14" s="129"/>
      <c r="B14" s="172"/>
      <c r="C14" s="110"/>
      <c r="D14" s="122"/>
      <c r="E14" s="122"/>
      <c r="F14" s="173"/>
      <c r="G14" s="123"/>
      <c r="H14" s="101"/>
      <c r="I14" s="123"/>
      <c r="J14" s="101"/>
      <c r="K14" s="124" t="s">
        <v>335</v>
      </c>
      <c r="L14" s="125"/>
      <c r="M14" s="125"/>
      <c r="N14" s="126" t="n">
        <f aca="false">$C$13</f>
        <v>1</v>
      </c>
      <c r="O14" s="126" t="n">
        <v>2</v>
      </c>
      <c r="P14" s="126" t="n">
        <v>12</v>
      </c>
      <c r="Q14" s="127" t="n">
        <f aca="false">$E$13/0.15</f>
        <v>174.145333333333</v>
      </c>
      <c r="R14" s="105" t="str">
        <f aca="false">IF(P14=6,N14*O14*Q14*0.222*1,IF(P14&gt;6,"",IF(P14&lt;6,"")))</f>
        <v/>
      </c>
      <c r="S14" s="106" t="str">
        <f aca="false">IF(P14=8,N14*O14*Q14*0.395*1,IF(P14&gt;8,"",IF(P14&lt;8,"")))</f>
        <v/>
      </c>
      <c r="T14" s="106" t="str">
        <f aca="false">IF(P14=10,N14*O14*Q14*0.617*1,IF(P14&gt;10,"",IF(P14&lt;10,"")))</f>
        <v/>
      </c>
      <c r="U14" s="106" t="n">
        <f aca="false">IF(P14=12,N14*O14*Q14*0.888*1,IF(P14&gt;12,"",IF(P14&lt;12,"")))</f>
        <v>309.282112</v>
      </c>
      <c r="V14" s="107" t="str">
        <f aca="false">IF(P14=16,N14*O14*Q14*1.578*1,IF(P14&gt;16,"",IF(P14&lt;16,"")))</f>
        <v/>
      </c>
      <c r="W14" s="106" t="str">
        <f aca="false">IF(P14=20,N14*O14*Q14*2.466*1,IF(P14&gt;20,"",IF(P14&lt;20,"")))</f>
        <v/>
      </c>
      <c r="X14" s="106" t="str">
        <f aca="false">IF(P14=25,N14*O14*Q14*3.853*1,IF(P14&gt;25,"",IF(P14&lt;25,"")))</f>
        <v/>
      </c>
      <c r="Y14" s="108" t="str">
        <f aca="false">IF(P14=32,N14*O14*Q14*6.313*1,IF(P14&gt;32,"",IF(P14&lt;32,"")))</f>
        <v/>
      </c>
      <c r="Z14" s="109"/>
      <c r="AA14" s="110" t="str">
        <f aca="false">IF(AC14&gt;0,N14,"")</f>
        <v/>
      </c>
      <c r="AB14" s="111" t="str">
        <f aca="false">IF(AC14&gt;0,O14,"")</f>
        <v/>
      </c>
      <c r="AC14" s="112"/>
      <c r="AD14" s="112"/>
      <c r="AE14" s="113" t="str">
        <f aca="false">IF(AC14&gt;0,P14,"")</f>
        <v/>
      </c>
      <c r="AF14" s="114" t="str">
        <f aca="false">IF(AE14=6,AA14*AB14*AC14*AD14*(AE14/1000)*0.222*1,IF(AE14&gt;6,"",IF(AE14&lt;6,"")))</f>
        <v/>
      </c>
      <c r="AG14" s="107" t="str">
        <f aca="false">IF(AE14=8,AA14*AB14*AC14*AD14*(AE14/1000)*0.395*1,IF(AE14&gt;8,"",IF(AE14&lt;8,"")))</f>
        <v/>
      </c>
      <c r="AH14" s="107" t="str">
        <f aca="false">IF(AE14=10,AA14*AB14*AC14*AD14*(AE14/1000)*0.617*1,IF(AE14&gt;10,"",IF(AE14&lt;10,"")))</f>
        <v/>
      </c>
      <c r="AI14" s="107" t="str">
        <f aca="false">IF(AE14=12,AA14*AB14*AC14*AD14*(AE14/1000)*0.888*1,IF(AE14&gt;12,"",IF(AE14&lt;12,"")))</f>
        <v/>
      </c>
      <c r="AJ14" s="107" t="str">
        <f aca="false">IF(AE14=16,AA14*AB14*AC14*AD14*(AE14/1000)*1.578*1,IF(AE14&gt;16,"",IF(AE14&lt;16,"")))</f>
        <v/>
      </c>
      <c r="AK14" s="107" t="str">
        <f aca="false">IF(AE14=20,AA14*AB14*AC14*AD14*(AE14/1000)*2.466*1,IF(AE14&gt;20,"",IF(AE14&lt;20,"")))</f>
        <v/>
      </c>
      <c r="AL14" s="107" t="str">
        <f aca="false">IF(AE14=25,AA14*AB14*AC14*AD14*(AE14/1000)*3.853*1,IF(AE14&gt;25,"",IF(AE14&lt;25,"")))</f>
        <v/>
      </c>
      <c r="AM14" s="115" t="str">
        <f aca="false">IF(AE14=32,AA14*AB14*AC14*AD14*(AE14/1000)*6.313*1,IF(AE14&gt;32,"",IF(AE14&lt;32,"")))</f>
        <v/>
      </c>
      <c r="AN14" s="128"/>
      <c r="AO14" s="117" t="s">
        <v>160</v>
      </c>
      <c r="AP14" s="118" t="n">
        <f aca="false">SUM(R14:Y14)+SUM(AN14)</f>
        <v>309.282112</v>
      </c>
      <c r="AQ14" s="118" t="n">
        <f aca="false">SUM(AF14:AM14)</f>
        <v>0</v>
      </c>
      <c r="AR14" s="118"/>
      <c r="AS14" s="119"/>
      <c r="AT14" s="119" t="s">
        <v>162</v>
      </c>
    </row>
    <row r="15" customFormat="false" ht="13.5" hidden="false" customHeight="false" outlineLevel="0" collapsed="false">
      <c r="A15" s="129"/>
      <c r="B15" s="172"/>
      <c r="C15" s="110"/>
      <c r="D15" s="122"/>
      <c r="E15" s="122"/>
      <c r="F15" s="173"/>
      <c r="G15" s="123"/>
      <c r="H15" s="101"/>
      <c r="I15" s="123"/>
      <c r="J15" s="101"/>
      <c r="K15" s="124" t="s">
        <v>336</v>
      </c>
      <c r="L15" s="125"/>
      <c r="M15" s="125"/>
      <c r="N15" s="126" t="n">
        <f aca="false">$C$13</f>
        <v>1</v>
      </c>
      <c r="O15" s="126" t="n">
        <v>2</v>
      </c>
      <c r="P15" s="126" t="n">
        <v>12</v>
      </c>
      <c r="Q15" s="127" t="n">
        <f aca="false">$E$13/0.15</f>
        <v>174.145333333333</v>
      </c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str">
        <f aca="false">IF(P15=10,N15*O15*Q15*0.617*1,IF(P15&gt;10,"",IF(P15&lt;10,"")))</f>
        <v/>
      </c>
      <c r="U15" s="106" t="n">
        <f aca="false">IF(P15=12,N15*O15*Q15*0.888*1,IF(P15&gt;12,"",IF(P15&lt;12,"")))</f>
        <v>309.282112</v>
      </c>
      <c r="V15" s="107" t="str">
        <f aca="false">IF(P15=16,N15*O15*Q15*1.578*1,IF(P15&gt;16,"",IF(P15&lt;16,"")))</f>
        <v/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160</v>
      </c>
      <c r="AP15" s="118" t="n">
        <f aca="false">SUM(R15:Y15)+SUM(AN15)</f>
        <v>309.282112</v>
      </c>
      <c r="AQ15" s="118" t="n">
        <f aca="false">SUM(AF15:AM15)</f>
        <v>0</v>
      </c>
      <c r="AR15" s="118"/>
      <c r="AS15" s="119"/>
      <c r="AT15" s="119" t="s">
        <v>162</v>
      </c>
    </row>
    <row r="16" customFormat="false" ht="13.5" hidden="false" customHeight="false" outlineLevel="0" collapsed="false">
      <c r="A16" s="129"/>
      <c r="B16" s="172"/>
      <c r="C16" s="110"/>
      <c r="D16" s="122"/>
      <c r="E16" s="122"/>
      <c r="F16" s="173"/>
      <c r="G16" s="123"/>
      <c r="H16" s="101"/>
      <c r="I16" s="123"/>
      <c r="J16" s="101"/>
      <c r="K16" s="124" t="s">
        <v>337</v>
      </c>
      <c r="L16" s="125" t="n">
        <v>24.68</v>
      </c>
      <c r="M16" s="125" t="n">
        <v>0.15</v>
      </c>
      <c r="N16" s="126" t="n">
        <f aca="false">$C$13</f>
        <v>1</v>
      </c>
      <c r="O16" s="126" t="n">
        <f aca="false">CEILING(L16/M16,1)+1</f>
        <v>166</v>
      </c>
      <c r="P16" s="126" t="n">
        <v>12</v>
      </c>
      <c r="Q16" s="127" t="n">
        <f aca="false">50*12/1000</f>
        <v>0.6</v>
      </c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str">
        <f aca="false">IF(P16=10,N16*O16*Q16*0.617*1,IF(P16&gt;10,"",IF(P16&lt;10,"")))</f>
        <v/>
      </c>
      <c r="U16" s="106" t="n">
        <f aca="false">IF(P16=12,N16*O16*Q16*0.888*1,IF(P16&gt;12,"",IF(P16&lt;12,"")))</f>
        <v>88.4448</v>
      </c>
      <c r="V16" s="107" t="str">
        <f aca="false">IF(P16=16,N16*O16*Q16*1.578*1,IF(P16&gt;16,"",IF(P16&lt;16,"")))</f>
        <v/>
      </c>
      <c r="W16" s="106" t="str">
        <f aca="false">IF(P16=20,N16*O16*Q16*2.466*1,IF(P16&gt;20,"",IF(P16&lt;20,"")))</f>
        <v/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160</v>
      </c>
      <c r="AP16" s="118" t="n">
        <f aca="false">SUM(R16:Y16)+SUM(AN16)</f>
        <v>88.4448</v>
      </c>
      <c r="AQ16" s="118" t="n">
        <f aca="false">SUM(AF16:AM16)</f>
        <v>0</v>
      </c>
      <c r="AR16" s="118"/>
      <c r="AS16" s="119" t="s">
        <v>338</v>
      </c>
      <c r="AT16" s="119" t="s">
        <v>162</v>
      </c>
    </row>
    <row r="17" s="116" customFormat="true" ht="13.5" hidden="false" customHeight="false" outlineLevel="0" collapsed="false">
      <c r="A17" s="129"/>
      <c r="B17" s="172"/>
      <c r="C17" s="110"/>
      <c r="D17" s="122"/>
      <c r="E17" s="122"/>
      <c r="F17" s="173"/>
      <c r="G17" s="123"/>
      <c r="H17" s="101"/>
      <c r="I17" s="123"/>
      <c r="J17" s="101"/>
      <c r="K17" s="124" t="s">
        <v>339</v>
      </c>
      <c r="L17" s="125" t="n">
        <v>24.68</v>
      </c>
      <c r="M17" s="125" t="n">
        <v>0.15</v>
      </c>
      <c r="N17" s="126" t="n">
        <f aca="false">$C$13</f>
        <v>1</v>
      </c>
      <c r="O17" s="126" t="n">
        <f aca="false">CEILING(L17/M17,1)+1</f>
        <v>166</v>
      </c>
      <c r="P17" s="126" t="n">
        <v>12</v>
      </c>
      <c r="Q17" s="127" t="n">
        <f aca="false">10*12/1000</f>
        <v>0.12</v>
      </c>
      <c r="R17" s="105" t="str">
        <f aca="false">IF(P17=6,N17*O17*Q17*0.222*1,IF(P17&gt;6,"",IF(P17&lt;6,"")))</f>
        <v/>
      </c>
      <c r="S17" s="106" t="str">
        <f aca="false">IF(P17=8,N17*O17*Q17*0.395*1,IF(P17&gt;8,"",IF(P17&lt;8,"")))</f>
        <v/>
      </c>
      <c r="T17" s="106" t="str">
        <f aca="false">IF(P17=10,N17*O17*Q17*0.617*1,IF(P17&gt;10,"",IF(P17&lt;10,"")))</f>
        <v/>
      </c>
      <c r="U17" s="106" t="n">
        <f aca="false">IF(P17=12,N17*O17*Q17*0.888*1,IF(P17&gt;12,"",IF(P17&lt;12,"")))</f>
        <v>17.68896</v>
      </c>
      <c r="V17" s="107" t="str">
        <f aca="false">IF(P17=16,N17*O17*Q17*1.578*1,IF(P17&gt;16,"",IF(P17&lt;16,"")))</f>
        <v/>
      </c>
      <c r="W17" s="106" t="str">
        <f aca="false">IF(P17=20,N17*O17*Q17*2.466*1,IF(P17&gt;20,"",IF(P17&lt;20,"")))</f>
        <v/>
      </c>
      <c r="X17" s="106" t="str">
        <f aca="false">IF(P17=25,N17*O17*Q17*3.853*1,IF(P17&gt;25,"",IF(P17&lt;25,"")))</f>
        <v/>
      </c>
      <c r="Y17" s="108" t="str">
        <f aca="false">IF(P17=32,N17*O17*Q17*6.313*1,IF(P17&gt;32,"",IF(P17&lt;32,"")))</f>
        <v/>
      </c>
      <c r="Z17" s="109"/>
      <c r="AA17" s="110" t="str">
        <f aca="false">IF(AC17&gt;0,N17,"")</f>
        <v/>
      </c>
      <c r="AB17" s="111" t="str">
        <f aca="false">IF(AC17&gt;0,O17,"")</f>
        <v/>
      </c>
      <c r="AC17" s="112"/>
      <c r="AD17" s="112"/>
      <c r="AE17" s="113" t="str">
        <f aca="false">IF(AC17&gt;0,P17,"")</f>
        <v/>
      </c>
      <c r="AF17" s="114" t="str">
        <f aca="false">IF(AE17=6,AA17*AB17*AC17*AD17*(AE17/1000)*0.222*1,IF(AE17&gt;6,"",IF(AE17&lt;6,"")))</f>
        <v/>
      </c>
      <c r="AG17" s="107" t="str">
        <f aca="false">IF(AE17=8,AA17*AB17*AC17*AD17*(AE17/1000)*0.395*1,IF(AE17&gt;8,"",IF(AE17&lt;8,"")))</f>
        <v/>
      </c>
      <c r="AH17" s="107" t="str">
        <f aca="false">IF(AE17=10,AA17*AB17*AC17*AD17*(AE17/1000)*0.617*1,IF(AE17&gt;10,"",IF(AE17&lt;10,"")))</f>
        <v/>
      </c>
      <c r="AI17" s="107" t="str">
        <f aca="false">IF(AE17=12,AA17*AB17*AC17*AD17*(AE17/1000)*0.888*1,IF(AE17&gt;12,"",IF(AE17&lt;12,"")))</f>
        <v/>
      </c>
      <c r="AJ17" s="107" t="str">
        <f aca="false">IF(AE17=16,AA17*AB17*AC17*AD17*(AE17/1000)*1.578*1,IF(AE17&gt;16,"",IF(AE17&lt;16,"")))</f>
        <v/>
      </c>
      <c r="AK17" s="107" t="str">
        <f aca="false">IF(AE17=20,AA17*AB17*AC17*AD17*(AE17/1000)*2.466*1,IF(AE17&gt;20,"",IF(AE17&lt;20,"")))</f>
        <v/>
      </c>
      <c r="AL17" s="107" t="str">
        <f aca="false">IF(AE17=25,AA17*AB17*AC17*AD17*(AE17/1000)*3.853*1,IF(AE17&gt;25,"",IF(AE17&lt;25,"")))</f>
        <v/>
      </c>
      <c r="AM17" s="115" t="str">
        <f aca="false">IF(AE17=32,AA17*AB17*AC17*AD17*(AE17/1000)*6.313*1,IF(AE17&gt;32,"",IF(AE17&lt;32,"")))</f>
        <v/>
      </c>
      <c r="AN17" s="128"/>
      <c r="AO17" s="117" t="s">
        <v>160</v>
      </c>
      <c r="AP17" s="118" t="n">
        <f aca="false">SUM(R17:Y17)+SUM(AN17)</f>
        <v>17.68896</v>
      </c>
      <c r="AQ17" s="118" t="n">
        <f aca="false">SUM(AF17:AM17)</f>
        <v>0</v>
      </c>
      <c r="AR17" s="118"/>
      <c r="AS17" s="119" t="s">
        <v>340</v>
      </c>
      <c r="AT17" s="119" t="s">
        <v>341</v>
      </c>
    </row>
    <row r="18" customFormat="false" ht="13.5" hidden="false" customHeight="false" outlineLevel="0" collapsed="false">
      <c r="A18" s="129"/>
      <c r="B18" s="130"/>
      <c r="C18" s="110"/>
      <c r="D18" s="122"/>
      <c r="E18" s="122"/>
      <c r="F18" s="122"/>
      <c r="G18" s="123"/>
      <c r="H18" s="101"/>
      <c r="I18" s="123"/>
      <c r="J18" s="101"/>
      <c r="K18" s="124"/>
      <c r="L18" s="125"/>
      <c r="M18" s="125"/>
      <c r="N18" s="126"/>
      <c r="O18" s="126"/>
      <c r="P18" s="126"/>
      <c r="Q18" s="127"/>
      <c r="R18" s="105"/>
      <c r="S18" s="106"/>
      <c r="T18" s="106"/>
      <c r="U18" s="106"/>
      <c r="V18" s="107"/>
      <c r="W18" s="106"/>
      <c r="X18" s="106"/>
      <c r="Y18" s="108"/>
      <c r="Z18" s="109"/>
      <c r="AA18" s="110"/>
      <c r="AB18" s="111"/>
      <c r="AC18" s="112"/>
      <c r="AD18" s="112"/>
      <c r="AE18" s="113"/>
      <c r="AF18" s="114"/>
      <c r="AG18" s="107"/>
      <c r="AH18" s="107"/>
      <c r="AI18" s="107"/>
      <c r="AJ18" s="107"/>
      <c r="AK18" s="107"/>
      <c r="AL18" s="107"/>
      <c r="AM18" s="115"/>
      <c r="AO18" s="117"/>
      <c r="AP18" s="118"/>
      <c r="AQ18" s="118"/>
      <c r="AR18" s="118"/>
      <c r="AS18" s="119"/>
      <c r="AT18" s="119"/>
    </row>
    <row r="19" customFormat="false" ht="13.5" hidden="false" customHeight="false" outlineLevel="0" collapsed="false">
      <c r="A19" s="96"/>
      <c r="B19" s="97" t="s">
        <v>344</v>
      </c>
      <c r="C19" s="98"/>
      <c r="D19" s="99"/>
      <c r="E19" s="99"/>
      <c r="F19" s="99"/>
      <c r="G19" s="100"/>
      <c r="H19" s="101"/>
      <c r="I19" s="100"/>
      <c r="J19" s="101"/>
      <c r="K19" s="102"/>
      <c r="L19" s="103"/>
      <c r="M19" s="103"/>
      <c r="N19" s="104"/>
      <c r="O19" s="104"/>
      <c r="P19" s="104"/>
      <c r="Q19" s="100"/>
      <c r="R19" s="105"/>
      <c r="S19" s="106"/>
      <c r="T19" s="106"/>
      <c r="U19" s="106"/>
      <c r="V19" s="107"/>
      <c r="W19" s="106"/>
      <c r="X19" s="106"/>
      <c r="Y19" s="108"/>
      <c r="Z19" s="109"/>
      <c r="AA19" s="110"/>
      <c r="AB19" s="111"/>
      <c r="AC19" s="112"/>
      <c r="AD19" s="112"/>
      <c r="AE19" s="113"/>
      <c r="AF19" s="114"/>
      <c r="AG19" s="107"/>
      <c r="AH19" s="107"/>
      <c r="AI19" s="107"/>
      <c r="AJ19" s="107"/>
      <c r="AK19" s="107"/>
      <c r="AL19" s="107"/>
      <c r="AM19" s="115"/>
      <c r="AO19" s="117"/>
      <c r="AP19" s="118"/>
      <c r="AQ19" s="118"/>
      <c r="AR19" s="118"/>
      <c r="AS19" s="119"/>
      <c r="AT19" s="119"/>
    </row>
    <row r="20" customFormat="false" ht="13.5" hidden="false" customHeight="false" outlineLevel="0" collapsed="false">
      <c r="A20" s="120"/>
      <c r="B20" s="121" t="s">
        <v>345</v>
      </c>
      <c r="C20" s="110" t="n">
        <v>1</v>
      </c>
      <c r="D20" s="122"/>
      <c r="E20" s="122" t="n">
        <v>82.637</v>
      </c>
      <c r="F20" s="122" t="n">
        <v>0.2</v>
      </c>
      <c r="G20" s="123" t="n">
        <f aca="false">C20*E20*F20</f>
        <v>16.5274</v>
      </c>
      <c r="H20" s="101"/>
      <c r="I20" s="123" t="n">
        <f aca="false">C20*E20</f>
        <v>82.637</v>
      </c>
      <c r="J20" s="101"/>
      <c r="K20" s="124"/>
      <c r="L20" s="125"/>
      <c r="M20" s="125"/>
      <c r="N20" s="126"/>
      <c r="O20" s="126"/>
      <c r="P20" s="126"/>
      <c r="Q20" s="127"/>
      <c r="R20" s="105" t="str">
        <f aca="false">IF(P20=6,N20*O20*Q20*0.222*1,IF(P20&gt;6,"",IF(P20&lt;6,"")))</f>
        <v/>
      </c>
      <c r="S20" s="106" t="str">
        <f aca="false">IF(P20=8,N20*O20*Q20*0.395*1,IF(P20&gt;8,"",IF(P20&lt;8,"")))</f>
        <v/>
      </c>
      <c r="T20" s="106" t="str">
        <f aca="false">IF(P20=10,N20*O20*Q20*0.617*1,IF(P20&gt;10,"",IF(P20&lt;10,"")))</f>
        <v/>
      </c>
      <c r="U20" s="106" t="str">
        <f aca="false">IF(P20=12,N20*O20*Q20*0.888*1,IF(P20&gt;12,"",IF(P20&lt;12,"")))</f>
        <v/>
      </c>
      <c r="V20" s="107" t="str">
        <f aca="false">IF(P20=16,N20*O20*Q20*1.578*1,IF(P20&gt;16,"",IF(P20&lt;16,"")))</f>
        <v/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str">
        <f aca="false">IF(AC20&gt;0,N20,"")</f>
        <v/>
      </c>
      <c r="AB20" s="111" t="str">
        <f aca="false">IF(AC20&gt;0,O20,"")</f>
        <v/>
      </c>
      <c r="AC20" s="112"/>
      <c r="AD20" s="112"/>
      <c r="AE20" s="113" t="str">
        <f aca="false">IF(AC20&gt;0,P20,"")</f>
        <v/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str">
        <f aca="false">IF(AE20=12,AA20*AB20*AC20*AD20*(AE20/1000)*0.888*1,IF(AE20&gt;12,"",IF(AE20&lt;12,"")))</f>
        <v/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170</v>
      </c>
      <c r="AP20" s="118" t="n">
        <f aca="false">SUM(R20:Y20)+SUM(AN20)</f>
        <v>0</v>
      </c>
      <c r="AQ20" s="118" t="n">
        <f aca="false">SUM(AF20:AM20)</f>
        <v>0</v>
      </c>
      <c r="AR20" s="118" t="n">
        <v>16.5274</v>
      </c>
      <c r="AS20" s="119" t="s">
        <v>346</v>
      </c>
      <c r="AT20" s="119" t="s">
        <v>209</v>
      </c>
    </row>
    <row r="21" customFormat="false" ht="13.5" hidden="false" customHeight="false" outlineLevel="0" collapsed="false">
      <c r="A21" s="129"/>
      <c r="B21" s="172"/>
      <c r="C21" s="110"/>
      <c r="D21" s="122"/>
      <c r="E21" s="122"/>
      <c r="F21" s="173"/>
      <c r="G21" s="123"/>
      <c r="H21" s="101"/>
      <c r="I21" s="123"/>
      <c r="J21" s="101"/>
      <c r="K21" s="124" t="s">
        <v>347</v>
      </c>
      <c r="L21" s="125"/>
      <c r="M21" s="125"/>
      <c r="N21" s="126" t="n">
        <f aca="false">$C$20</f>
        <v>1</v>
      </c>
      <c r="O21" s="126" t="n">
        <v>2</v>
      </c>
      <c r="P21" s="126" t="n">
        <v>12</v>
      </c>
      <c r="Q21" s="127" t="n">
        <f aca="false">$E$20/0.1</f>
        <v>826.37</v>
      </c>
      <c r="R21" s="105" t="str">
        <f aca="false">IF(P21=6,N21*O21*Q21*0.222*1,IF(P21&gt;6,"",IF(P21&lt;6,"")))</f>
        <v/>
      </c>
      <c r="S21" s="106" t="str">
        <f aca="false">IF(P21=8,N21*O21*Q21*0.395*1,IF(P21&gt;8,"",IF(P21&lt;8,"")))</f>
        <v/>
      </c>
      <c r="T21" s="106" t="str">
        <f aca="false">IF(P21=10,N21*O21*Q21*0.617*1,IF(P21&gt;10,"",IF(P21&lt;10,"")))</f>
        <v/>
      </c>
      <c r="U21" s="106" t="n">
        <f aca="false">IF(P21=12,N21*O21*Q21*0.888*1,IF(P21&gt;12,"",IF(P21&lt;12,"")))</f>
        <v>1467.63312</v>
      </c>
      <c r="V21" s="107" t="str">
        <f aca="false">IF(P21=16,N21*O21*Q21*1.578*1,IF(P21&gt;16,"",IF(P21&lt;16,"")))</f>
        <v/>
      </c>
      <c r="W21" s="106" t="str">
        <f aca="false">IF(P21=20,N21*O21*Q21*2.466*1,IF(P21&gt;20,"",IF(P21&lt;20,"")))</f>
        <v/>
      </c>
      <c r="X21" s="106" t="str">
        <f aca="false">IF(P21=25,N21*O21*Q21*3.853*1,IF(P21&gt;25,"",IF(P21&lt;25,"")))</f>
        <v/>
      </c>
      <c r="Y21" s="108" t="str">
        <f aca="false">IF(P21=32,N21*O21*Q21*6.313*1,IF(P21&gt;32,"",IF(P21&lt;32,"")))</f>
        <v/>
      </c>
      <c r="Z21" s="109"/>
      <c r="AA21" s="110" t="str">
        <f aca="false">IF(AC21&gt;0,N21,"")</f>
        <v/>
      </c>
      <c r="AB21" s="111" t="str">
        <f aca="false">IF(AC21&gt;0,O21,"")</f>
        <v/>
      </c>
      <c r="AC21" s="112"/>
      <c r="AD21" s="112"/>
      <c r="AE21" s="113" t="str">
        <f aca="false">IF(AC21&gt;0,P21,"")</f>
        <v/>
      </c>
      <c r="AF21" s="114" t="str">
        <f aca="false">IF(AE21=6,AA21*AB21*AC21*AD21*(AE21/1000)*0.222*1,IF(AE21&gt;6,"",IF(AE21&lt;6,"")))</f>
        <v/>
      </c>
      <c r="AG21" s="107" t="str">
        <f aca="false">IF(AE21=8,AA21*AB21*AC21*AD21*(AE21/1000)*0.395*1,IF(AE21&gt;8,"",IF(AE21&lt;8,"")))</f>
        <v/>
      </c>
      <c r="AH21" s="107" t="str">
        <f aca="false">IF(AE21=10,AA21*AB21*AC21*AD21*(AE21/1000)*0.617*1,IF(AE21&gt;10,"",IF(AE21&lt;10,"")))</f>
        <v/>
      </c>
      <c r="AI21" s="107" t="str">
        <f aca="false">IF(AE21=12,AA21*AB21*AC21*AD21*(AE21/1000)*0.888*1,IF(AE21&gt;12,"",IF(AE21&lt;12,"")))</f>
        <v/>
      </c>
      <c r="AJ21" s="107" t="str">
        <f aca="false">IF(AE21=16,AA21*AB21*AC21*AD21*(AE21/1000)*1.578*1,IF(AE21&gt;16,"",IF(AE21&lt;16,"")))</f>
        <v/>
      </c>
      <c r="AK21" s="107" t="str">
        <f aca="false">IF(AE21=20,AA21*AB21*AC21*AD21*(AE21/1000)*2.466*1,IF(AE21&gt;20,"",IF(AE21&lt;20,"")))</f>
        <v/>
      </c>
      <c r="AL21" s="107" t="str">
        <f aca="false">IF(AE21=25,AA21*AB21*AC21*AD21*(AE21/1000)*3.853*1,IF(AE21&gt;25,"",IF(AE21&lt;25,"")))</f>
        <v/>
      </c>
      <c r="AM21" s="115" t="str">
        <f aca="false">IF(AE21=32,AA21*AB21*AC21*AD21*(AE21/1000)*6.313*1,IF(AE21&gt;32,"",IF(AE21&lt;32,"")))</f>
        <v/>
      </c>
      <c r="AN21" s="128"/>
      <c r="AO21" s="117" t="s">
        <v>170</v>
      </c>
      <c r="AP21" s="118" t="n">
        <f aca="false">SUM(R21:Y21)+SUM(AN21)</f>
        <v>1467.63312</v>
      </c>
      <c r="AQ21" s="118" t="n">
        <f aca="false">SUM(AF21:AM21)</f>
        <v>0</v>
      </c>
      <c r="AR21" s="118"/>
      <c r="AS21" s="119"/>
      <c r="AT21" s="119" t="s">
        <v>162</v>
      </c>
    </row>
    <row r="22" customFormat="false" ht="13.5" hidden="false" customHeight="false" outlineLevel="0" collapsed="false">
      <c r="A22" s="129"/>
      <c r="B22" s="172"/>
      <c r="C22" s="110"/>
      <c r="D22" s="122"/>
      <c r="E22" s="122"/>
      <c r="F22" s="173"/>
      <c r="G22" s="123"/>
      <c r="H22" s="101"/>
      <c r="I22" s="123"/>
      <c r="J22" s="101"/>
      <c r="K22" s="124" t="s">
        <v>348</v>
      </c>
      <c r="L22" s="125"/>
      <c r="M22" s="125"/>
      <c r="N22" s="126" t="n">
        <f aca="false">$C$20</f>
        <v>1</v>
      </c>
      <c r="O22" s="126" t="n">
        <v>2</v>
      </c>
      <c r="P22" s="126" t="n">
        <v>12</v>
      </c>
      <c r="Q22" s="127" t="n">
        <f aca="false">$E$20/0.1</f>
        <v>826.37</v>
      </c>
      <c r="R22" s="105" t="str">
        <f aca="false">IF(P22=6,N22*O22*Q22*0.222*1,IF(P22&gt;6,"",IF(P22&lt;6,"")))</f>
        <v/>
      </c>
      <c r="S22" s="106" t="str">
        <f aca="false">IF(P22=8,N22*O22*Q22*0.395*1,IF(P22&gt;8,"",IF(P22&lt;8,"")))</f>
        <v/>
      </c>
      <c r="T22" s="106" t="str">
        <f aca="false">IF(P22=10,N22*O22*Q22*0.617*1,IF(P22&gt;10,"",IF(P22&lt;10,"")))</f>
        <v/>
      </c>
      <c r="U22" s="106" t="n">
        <f aca="false">IF(P22=12,N22*O22*Q22*0.888*1,IF(P22&gt;12,"",IF(P22&lt;12,"")))</f>
        <v>1467.63312</v>
      </c>
      <c r="V22" s="107" t="str">
        <f aca="false">IF(P22=16,N22*O22*Q22*1.578*1,IF(P22&gt;16,"",IF(P22&lt;16,"")))</f>
        <v/>
      </c>
      <c r="W22" s="106" t="str">
        <f aca="false">IF(P22=20,N22*O22*Q22*2.466*1,IF(P22&gt;20,"",IF(P22&lt;20,"")))</f>
        <v/>
      </c>
      <c r="X22" s="106" t="str">
        <f aca="false">IF(P22=25,N22*O22*Q22*3.853*1,IF(P22&gt;25,"",IF(P22&lt;25,"")))</f>
        <v/>
      </c>
      <c r="Y22" s="108" t="str">
        <f aca="false">IF(P22=32,N22*O22*Q22*6.313*1,IF(P22&gt;32,"",IF(P22&lt;32,"")))</f>
        <v/>
      </c>
      <c r="Z22" s="109"/>
      <c r="AA22" s="110" t="str">
        <f aca="false">IF(AC22&gt;0,N22,"")</f>
        <v/>
      </c>
      <c r="AB22" s="111" t="str">
        <f aca="false">IF(AC22&gt;0,O22,"")</f>
        <v/>
      </c>
      <c r="AC22" s="112"/>
      <c r="AD22" s="112"/>
      <c r="AE22" s="113" t="str">
        <f aca="false">IF(AC22&gt;0,P22,"")</f>
        <v/>
      </c>
      <c r="AF22" s="114" t="str">
        <f aca="false">IF(AE22=6,AA22*AB22*AC22*AD22*(AE22/1000)*0.222*1,IF(AE22&gt;6,"",IF(AE22&lt;6,"")))</f>
        <v/>
      </c>
      <c r="AG22" s="107" t="str">
        <f aca="false">IF(AE22=8,AA22*AB22*AC22*AD22*(AE22/1000)*0.395*1,IF(AE22&gt;8,"",IF(AE22&lt;8,"")))</f>
        <v/>
      </c>
      <c r="AH22" s="107" t="str">
        <f aca="false">IF(AE22=10,AA22*AB22*AC22*AD22*(AE22/1000)*0.617*1,IF(AE22&gt;10,"",IF(AE22&lt;10,"")))</f>
        <v/>
      </c>
      <c r="AI22" s="107" t="str">
        <f aca="false">IF(AE22=12,AA22*AB22*AC22*AD22*(AE22/1000)*0.888*1,IF(AE22&gt;12,"",IF(AE22&lt;12,"")))</f>
        <v/>
      </c>
      <c r="AJ22" s="107" t="str">
        <f aca="false">IF(AE22=16,AA22*AB22*AC22*AD22*(AE22/1000)*1.578*1,IF(AE22&gt;16,"",IF(AE22&lt;16,"")))</f>
        <v/>
      </c>
      <c r="AK22" s="107" t="str">
        <f aca="false">IF(AE22=20,AA22*AB22*AC22*AD22*(AE22/1000)*2.466*1,IF(AE22&gt;20,"",IF(AE22&lt;20,"")))</f>
        <v/>
      </c>
      <c r="AL22" s="107" t="str">
        <f aca="false">IF(AE22=25,AA22*AB22*AC22*AD22*(AE22/1000)*3.853*1,IF(AE22&gt;25,"",IF(AE22&lt;25,"")))</f>
        <v/>
      </c>
      <c r="AM22" s="115" t="str">
        <f aca="false">IF(AE22=32,AA22*AB22*AC22*AD22*(AE22/1000)*6.313*1,IF(AE22&gt;32,"",IF(AE22&lt;32,"")))</f>
        <v/>
      </c>
      <c r="AN22" s="128"/>
      <c r="AO22" s="117" t="s">
        <v>170</v>
      </c>
      <c r="AP22" s="118" t="n">
        <f aca="false">SUM(R22:Y22)+SUM(AN22)</f>
        <v>1467.63312</v>
      </c>
      <c r="AQ22" s="118" t="n">
        <f aca="false">SUM(AF22:AM22)</f>
        <v>0</v>
      </c>
      <c r="AR22" s="118"/>
      <c r="AS22" s="119"/>
      <c r="AT22" s="119" t="s">
        <v>162</v>
      </c>
    </row>
    <row r="23" customFormat="false" ht="13.5" hidden="false" customHeight="false" outlineLevel="0" collapsed="false">
      <c r="A23" s="129"/>
      <c r="B23" s="172"/>
      <c r="C23" s="110"/>
      <c r="D23" s="122"/>
      <c r="E23" s="122"/>
      <c r="F23" s="173"/>
      <c r="G23" s="123"/>
      <c r="H23" s="101"/>
      <c r="I23" s="123"/>
      <c r="J23" s="101"/>
      <c r="K23" s="124" t="s">
        <v>349</v>
      </c>
      <c r="L23" s="125" t="n">
        <v>70.8952</v>
      </c>
      <c r="M23" s="125" t="n">
        <v>0.1</v>
      </c>
      <c r="N23" s="126" t="n">
        <f aca="false">$C$20</f>
        <v>1</v>
      </c>
      <c r="O23" s="126" t="n">
        <f aca="false">CEILING(L23/M23,1)+1</f>
        <v>710</v>
      </c>
      <c r="P23" s="126" t="n">
        <v>12</v>
      </c>
      <c r="Q23" s="127" t="n">
        <f aca="false">50*12/1000</f>
        <v>0.6</v>
      </c>
      <c r="R23" s="105" t="str">
        <f aca="false">IF(P23=6,N23*O23*Q23*0.222*1,IF(P23&gt;6,"",IF(P23&lt;6,"")))</f>
        <v/>
      </c>
      <c r="S23" s="106" t="str">
        <f aca="false">IF(P23=8,N23*O23*Q23*0.395*1,IF(P23&gt;8,"",IF(P23&lt;8,"")))</f>
        <v/>
      </c>
      <c r="T23" s="106" t="str">
        <f aca="false">IF(P23=10,N23*O23*Q23*0.617*1,IF(P23&gt;10,"",IF(P23&lt;10,"")))</f>
        <v/>
      </c>
      <c r="U23" s="106" t="n">
        <f aca="false">IF(P23=12,N23*O23*Q23*0.888*1,IF(P23&gt;12,"",IF(P23&lt;12,"")))</f>
        <v>378.288</v>
      </c>
      <c r="V23" s="107" t="str">
        <f aca="false">IF(P23=16,N23*O23*Q23*1.578*1,IF(P23&gt;16,"",IF(P23&lt;16,"")))</f>
        <v/>
      </c>
      <c r="W23" s="106" t="str">
        <f aca="false">IF(P23=20,N23*O23*Q23*2.466*1,IF(P23&gt;20,"",IF(P23&lt;20,"")))</f>
        <v/>
      </c>
      <c r="X23" s="106" t="str">
        <f aca="false">IF(P23=25,N23*O23*Q23*3.853*1,IF(P23&gt;25,"",IF(P23&lt;25,"")))</f>
        <v/>
      </c>
      <c r="Y23" s="108" t="str">
        <f aca="false">IF(P23=32,N23*O23*Q23*6.313*1,IF(P23&gt;32,"",IF(P23&lt;32,"")))</f>
        <v/>
      </c>
      <c r="Z23" s="109"/>
      <c r="AA23" s="110" t="str">
        <f aca="false">IF(AC23&gt;0,N23,"")</f>
        <v/>
      </c>
      <c r="AB23" s="111" t="str">
        <f aca="false">IF(AC23&gt;0,O23,"")</f>
        <v/>
      </c>
      <c r="AC23" s="112"/>
      <c r="AD23" s="112"/>
      <c r="AE23" s="113" t="str">
        <f aca="false">IF(AC23&gt;0,P23,"")</f>
        <v/>
      </c>
      <c r="AF23" s="114" t="str">
        <f aca="false">IF(AE23=6,AA23*AB23*AC23*AD23*(AE23/1000)*0.222*1,IF(AE23&gt;6,"",IF(AE23&lt;6,"")))</f>
        <v/>
      </c>
      <c r="AG23" s="107" t="str">
        <f aca="false">IF(AE23=8,AA23*AB23*AC23*AD23*(AE23/1000)*0.395*1,IF(AE23&gt;8,"",IF(AE23&lt;8,"")))</f>
        <v/>
      </c>
      <c r="AH23" s="107" t="str">
        <f aca="false">IF(AE23=10,AA23*AB23*AC23*AD23*(AE23/1000)*0.617*1,IF(AE23&gt;10,"",IF(AE23&lt;10,"")))</f>
        <v/>
      </c>
      <c r="AI23" s="107" t="str">
        <f aca="false">IF(AE23=12,AA23*AB23*AC23*AD23*(AE23/1000)*0.888*1,IF(AE23&gt;12,"",IF(AE23&lt;12,"")))</f>
        <v/>
      </c>
      <c r="AJ23" s="107" t="str">
        <f aca="false">IF(AE23=16,AA23*AB23*AC23*AD23*(AE23/1000)*1.578*1,IF(AE23&gt;16,"",IF(AE23&lt;16,"")))</f>
        <v/>
      </c>
      <c r="AK23" s="107" t="str">
        <f aca="false">IF(AE23=20,AA23*AB23*AC23*AD23*(AE23/1000)*2.466*1,IF(AE23&gt;20,"",IF(AE23&lt;20,"")))</f>
        <v/>
      </c>
      <c r="AL23" s="107" t="str">
        <f aca="false">IF(AE23=25,AA23*AB23*AC23*AD23*(AE23/1000)*3.853*1,IF(AE23&gt;25,"",IF(AE23&lt;25,"")))</f>
        <v/>
      </c>
      <c r="AM23" s="115" t="str">
        <f aca="false">IF(AE23=32,AA23*AB23*AC23*AD23*(AE23/1000)*6.313*1,IF(AE23&gt;32,"",IF(AE23&lt;32,"")))</f>
        <v/>
      </c>
      <c r="AN23" s="128"/>
      <c r="AO23" s="117" t="s">
        <v>170</v>
      </c>
      <c r="AP23" s="118" t="n">
        <f aca="false">SUM(R23:Y23)+SUM(AN23)</f>
        <v>378.288</v>
      </c>
      <c r="AQ23" s="118" t="n">
        <f aca="false">SUM(AF23:AM23)</f>
        <v>0</v>
      </c>
      <c r="AR23" s="118"/>
      <c r="AS23" s="119" t="s">
        <v>338</v>
      </c>
      <c r="AT23" s="119" t="s">
        <v>162</v>
      </c>
    </row>
    <row r="24" customFormat="false" ht="13.5" hidden="false" customHeight="false" outlineLevel="0" collapsed="false">
      <c r="A24" s="129"/>
      <c r="B24" s="172"/>
      <c r="C24" s="110"/>
      <c r="D24" s="122"/>
      <c r="E24" s="122"/>
      <c r="F24" s="173"/>
      <c r="G24" s="123"/>
      <c r="H24" s="101"/>
      <c r="I24" s="123"/>
      <c r="J24" s="101"/>
      <c r="K24" s="124" t="s">
        <v>350</v>
      </c>
      <c r="L24" s="125" t="n">
        <v>70.8952</v>
      </c>
      <c r="M24" s="125" t="n">
        <v>0.1</v>
      </c>
      <c r="N24" s="126" t="n">
        <f aca="false">$C$20</f>
        <v>1</v>
      </c>
      <c r="O24" s="126" t="n">
        <f aca="false">CEILING(L24/M24,1)+1</f>
        <v>710</v>
      </c>
      <c r="P24" s="126" t="n">
        <v>12</v>
      </c>
      <c r="Q24" s="127" t="n">
        <f aca="false">10*12/1000</f>
        <v>0.12</v>
      </c>
      <c r="R24" s="105" t="str">
        <f aca="false">IF(P24=6,N24*O24*Q24*0.222*1,IF(P24&gt;6,"",IF(P24&lt;6,"")))</f>
        <v/>
      </c>
      <c r="S24" s="106" t="str">
        <f aca="false">IF(P24=8,N24*O24*Q24*0.395*1,IF(P24&gt;8,"",IF(P24&lt;8,"")))</f>
        <v/>
      </c>
      <c r="T24" s="106" t="str">
        <f aca="false">IF(P24=10,N24*O24*Q24*0.617*1,IF(P24&gt;10,"",IF(P24&lt;10,"")))</f>
        <v/>
      </c>
      <c r="U24" s="106" t="n">
        <f aca="false">IF(P24=12,N24*O24*Q24*0.888*1,IF(P24&gt;12,"",IF(P24&lt;12,"")))</f>
        <v>75.6576</v>
      </c>
      <c r="V24" s="107" t="str">
        <f aca="false">IF(P24=16,N24*O24*Q24*1.578*1,IF(P24&gt;16,"",IF(P24&lt;16,"")))</f>
        <v/>
      </c>
      <c r="W24" s="106" t="str">
        <f aca="false">IF(P24=20,N24*O24*Q24*2.466*1,IF(P24&gt;20,"",IF(P24&lt;20,"")))</f>
        <v/>
      </c>
      <c r="X24" s="106" t="str">
        <f aca="false">IF(P24=25,N24*O24*Q24*3.853*1,IF(P24&gt;25,"",IF(P24&lt;25,"")))</f>
        <v/>
      </c>
      <c r="Y24" s="108" t="str">
        <f aca="false">IF(P24=32,N24*O24*Q24*6.313*1,IF(P24&gt;32,"",IF(P24&lt;32,"")))</f>
        <v/>
      </c>
      <c r="Z24" s="109"/>
      <c r="AA24" s="110" t="str">
        <f aca="false">IF(AC24&gt;0,N24,"")</f>
        <v/>
      </c>
      <c r="AB24" s="111" t="str">
        <f aca="false">IF(AC24&gt;0,O24,"")</f>
        <v/>
      </c>
      <c r="AC24" s="112"/>
      <c r="AD24" s="112"/>
      <c r="AE24" s="113" t="str">
        <f aca="false">IF(AC24&gt;0,P24,"")</f>
        <v/>
      </c>
      <c r="AF24" s="114" t="str">
        <f aca="false">IF(AE24=6,AA24*AB24*AC24*AD24*(AE24/1000)*0.222*1,IF(AE24&gt;6,"",IF(AE24&lt;6,"")))</f>
        <v/>
      </c>
      <c r="AG24" s="107" t="str">
        <f aca="false">IF(AE24=8,AA24*AB24*AC24*AD24*(AE24/1000)*0.395*1,IF(AE24&gt;8,"",IF(AE24&lt;8,"")))</f>
        <v/>
      </c>
      <c r="AH24" s="107" t="str">
        <f aca="false">IF(AE24=10,AA24*AB24*AC24*AD24*(AE24/1000)*0.617*1,IF(AE24&gt;10,"",IF(AE24&lt;10,"")))</f>
        <v/>
      </c>
      <c r="AI24" s="107" t="str">
        <f aca="false">IF(AE24=12,AA24*AB24*AC24*AD24*(AE24/1000)*0.888*1,IF(AE24&gt;12,"",IF(AE24&lt;12,"")))</f>
        <v/>
      </c>
      <c r="AJ24" s="107" t="str">
        <f aca="false">IF(AE24=16,AA24*AB24*AC24*AD24*(AE24/1000)*1.578*1,IF(AE24&gt;16,"",IF(AE24&lt;16,"")))</f>
        <v/>
      </c>
      <c r="AK24" s="107" t="str">
        <f aca="false">IF(AE24=20,AA24*AB24*AC24*AD24*(AE24/1000)*2.466*1,IF(AE24&gt;20,"",IF(AE24&lt;20,"")))</f>
        <v/>
      </c>
      <c r="AL24" s="107" t="str">
        <f aca="false">IF(AE24=25,AA24*AB24*AC24*AD24*(AE24/1000)*3.853*1,IF(AE24&gt;25,"",IF(AE24&lt;25,"")))</f>
        <v/>
      </c>
      <c r="AM24" s="115" t="str">
        <f aca="false">IF(AE24=32,AA24*AB24*AC24*AD24*(AE24/1000)*6.313*1,IF(AE24&gt;32,"",IF(AE24&lt;32,"")))</f>
        <v/>
      </c>
      <c r="AN24" s="128"/>
      <c r="AO24" s="117" t="s">
        <v>170</v>
      </c>
      <c r="AP24" s="118" t="n">
        <f aca="false">SUM(R24:Y24)+SUM(AN24)</f>
        <v>75.6576</v>
      </c>
      <c r="AQ24" s="118" t="n">
        <f aca="false">SUM(AF24:AM24)</f>
        <v>0</v>
      </c>
      <c r="AR24" s="118"/>
      <c r="AS24" s="119" t="s">
        <v>340</v>
      </c>
      <c r="AT24" s="119" t="s">
        <v>341</v>
      </c>
    </row>
    <row r="25" s="116" customFormat="true" ht="13.5" hidden="false" customHeight="false" outlineLevel="0" collapsed="false">
      <c r="A25" s="129"/>
      <c r="B25" s="172"/>
      <c r="C25" s="110"/>
      <c r="D25" s="122"/>
      <c r="E25" s="122"/>
      <c r="F25" s="173"/>
      <c r="G25" s="123"/>
      <c r="H25" s="101"/>
      <c r="I25" s="123"/>
      <c r="J25" s="101"/>
      <c r="K25" s="124" t="s">
        <v>351</v>
      </c>
      <c r="L25" s="125" t="n">
        <v>10.7</v>
      </c>
      <c r="M25" s="125" t="n">
        <v>0.3</v>
      </c>
      <c r="N25" s="126" t="n">
        <f aca="false">$C$20</f>
        <v>1</v>
      </c>
      <c r="O25" s="126" t="n">
        <f aca="false">CEILING(L25/M25,1)+1</f>
        <v>37</v>
      </c>
      <c r="P25" s="126" t="n">
        <v>12</v>
      </c>
      <c r="Q25" s="127" t="n">
        <f aca="false">0.25+50*12/1000</f>
        <v>0.85</v>
      </c>
      <c r="R25" s="105" t="str">
        <f aca="false">IF(P25=6,N25*O25*Q25*0.222*1,IF(P25&gt;6,"",IF(P25&lt;6,"")))</f>
        <v/>
      </c>
      <c r="S25" s="106" t="str">
        <f aca="false">IF(P25=8,N25*O25*Q25*0.395*1,IF(P25&gt;8,"",IF(P25&lt;8,"")))</f>
        <v/>
      </c>
      <c r="T25" s="106" t="str">
        <f aca="false">IF(P25=10,N25*O25*Q25*0.617*1,IF(P25&gt;10,"",IF(P25&lt;10,"")))</f>
        <v/>
      </c>
      <c r="U25" s="106" t="n">
        <f aca="false">IF(P25=12,N25*O25*Q25*0.888*1,IF(P25&gt;12,"",IF(P25&lt;12,"")))</f>
        <v>27.9276</v>
      </c>
      <c r="V25" s="107" t="str">
        <f aca="false">IF(P25=16,N25*O25*Q25*1.578*1,IF(P25&gt;16,"",IF(P25&lt;16,"")))</f>
        <v/>
      </c>
      <c r="W25" s="106" t="str">
        <f aca="false">IF(P25=20,N25*O25*Q25*2.466*1,IF(P25&gt;20,"",IF(P25&lt;20,"")))</f>
        <v/>
      </c>
      <c r="X25" s="106" t="str">
        <f aca="false">IF(P25=25,N25*O25*Q25*3.853*1,IF(P25&gt;25,"",IF(P25&lt;25,"")))</f>
        <v/>
      </c>
      <c r="Y25" s="108" t="str">
        <f aca="false">IF(P25=32,N25*O25*Q25*6.313*1,IF(P25&gt;32,"",IF(P25&lt;32,"")))</f>
        <v/>
      </c>
      <c r="Z25" s="109"/>
      <c r="AA25" s="110" t="str">
        <f aca="false">IF(AC25&gt;0,N25,"")</f>
        <v/>
      </c>
      <c r="AB25" s="111" t="str">
        <f aca="false">IF(AC25&gt;0,O25,"")</f>
        <v/>
      </c>
      <c r="AC25" s="112"/>
      <c r="AD25" s="112"/>
      <c r="AE25" s="113" t="str">
        <f aca="false">IF(AC25&gt;0,P25,"")</f>
        <v/>
      </c>
      <c r="AF25" s="114" t="str">
        <f aca="false">IF(AE25=6,AA25*AB25*AC25*AD25*(AE25/1000)*0.222*1,IF(AE25&gt;6,"",IF(AE25&lt;6,"")))</f>
        <v/>
      </c>
      <c r="AG25" s="107" t="str">
        <f aca="false">IF(AE25=8,AA25*AB25*AC25*AD25*(AE25/1000)*0.395*1,IF(AE25&gt;8,"",IF(AE25&lt;8,"")))</f>
        <v/>
      </c>
      <c r="AH25" s="107" t="str">
        <f aca="false">IF(AE25=10,AA25*AB25*AC25*AD25*(AE25/1000)*0.617*1,IF(AE25&gt;10,"",IF(AE25&lt;10,"")))</f>
        <v/>
      </c>
      <c r="AI25" s="107" t="str">
        <f aca="false">IF(AE25=12,AA25*AB25*AC25*AD25*(AE25/1000)*0.888*1,IF(AE25&gt;12,"",IF(AE25&lt;12,"")))</f>
        <v/>
      </c>
      <c r="AJ25" s="107" t="str">
        <f aca="false">IF(AE25=16,AA25*AB25*AC25*AD25*(AE25/1000)*1.578*1,IF(AE25&gt;16,"",IF(AE25&lt;16,"")))</f>
        <v/>
      </c>
      <c r="AK25" s="107" t="str">
        <f aca="false">IF(AE25=20,AA25*AB25*AC25*AD25*(AE25/1000)*2.466*1,IF(AE25&gt;20,"",IF(AE25&lt;20,"")))</f>
        <v/>
      </c>
      <c r="AL25" s="107" t="str">
        <f aca="false">IF(AE25=25,AA25*AB25*AC25*AD25*(AE25/1000)*3.853*1,IF(AE25&gt;25,"",IF(AE25&lt;25,"")))</f>
        <v/>
      </c>
      <c r="AM25" s="115" t="str">
        <f aca="false">IF(AE25=32,AA25*AB25*AC25*AD25*(AE25/1000)*6.313*1,IF(AE25&gt;32,"",IF(AE25&lt;32,"")))</f>
        <v/>
      </c>
      <c r="AN25" s="128"/>
      <c r="AO25" s="117" t="s">
        <v>170</v>
      </c>
      <c r="AP25" s="118" t="n">
        <f aca="false">SUM(R25:Y25)+SUM(AN25)</f>
        <v>27.9276</v>
      </c>
      <c r="AQ25" s="118" t="n">
        <f aca="false">SUM(AF25:AM25)</f>
        <v>0</v>
      </c>
      <c r="AR25" s="118"/>
      <c r="AS25" s="119" t="s">
        <v>352</v>
      </c>
      <c r="AT25" s="119" t="s">
        <v>353</v>
      </c>
    </row>
    <row r="26" customFormat="false" ht="13.5" hidden="false" customHeight="false" outlineLevel="0" collapsed="false">
      <c r="A26" s="129"/>
      <c r="B26" s="130"/>
      <c r="C26" s="110"/>
      <c r="D26" s="122"/>
      <c r="E26" s="122"/>
      <c r="F26" s="122"/>
      <c r="G26" s="123"/>
      <c r="H26" s="101"/>
      <c r="I26" s="123"/>
      <c r="J26" s="101"/>
      <c r="K26" s="124"/>
      <c r="L26" s="125"/>
      <c r="M26" s="125"/>
      <c r="N26" s="126"/>
      <c r="O26" s="126"/>
      <c r="P26" s="126"/>
      <c r="Q26" s="127"/>
      <c r="R26" s="105"/>
      <c r="S26" s="106"/>
      <c r="T26" s="106"/>
      <c r="U26" s="106"/>
      <c r="V26" s="107"/>
      <c r="W26" s="106"/>
      <c r="X26" s="106"/>
      <c r="Y26" s="108"/>
      <c r="Z26" s="109"/>
      <c r="AA26" s="110"/>
      <c r="AB26" s="111"/>
      <c r="AC26" s="112"/>
      <c r="AD26" s="112"/>
      <c r="AE26" s="113"/>
      <c r="AF26" s="114"/>
      <c r="AG26" s="107"/>
      <c r="AH26" s="107"/>
      <c r="AI26" s="107"/>
      <c r="AJ26" s="107"/>
      <c r="AK26" s="107"/>
      <c r="AL26" s="107"/>
      <c r="AM26" s="115"/>
      <c r="AO26" s="117"/>
      <c r="AP26" s="118"/>
      <c r="AQ26" s="118"/>
      <c r="AR26" s="118"/>
      <c r="AS26" s="119"/>
      <c r="AT26" s="119"/>
    </row>
    <row r="27" customFormat="false" ht="13.5" hidden="false" customHeight="false" outlineLevel="0" collapsed="false">
      <c r="A27" s="120"/>
      <c r="B27" s="121" t="s">
        <v>354</v>
      </c>
      <c r="C27" s="110" t="n">
        <v>1</v>
      </c>
      <c r="D27" s="122"/>
      <c r="E27" s="122" t="n">
        <v>25.8672</v>
      </c>
      <c r="F27" s="122" t="n">
        <v>0.2</v>
      </c>
      <c r="G27" s="123" t="n">
        <f aca="false">C27*E27*F27</f>
        <v>5.17344</v>
      </c>
      <c r="H27" s="101"/>
      <c r="I27" s="123" t="n">
        <f aca="false">C27*E27</f>
        <v>25.8672</v>
      </c>
      <c r="J27" s="101"/>
      <c r="K27" s="124"/>
      <c r="L27" s="125"/>
      <c r="M27" s="125"/>
      <c r="N27" s="126"/>
      <c r="O27" s="126"/>
      <c r="P27" s="126"/>
      <c r="Q27" s="127"/>
      <c r="R27" s="105" t="str">
        <f aca="false">IF(P27=6,N27*O27*Q27*0.222*1,IF(P27&gt;6,"",IF(P27&lt;6,"")))</f>
        <v/>
      </c>
      <c r="S27" s="106" t="str">
        <f aca="false">IF(P27=8,N27*O27*Q27*0.395*1,IF(P27&gt;8,"",IF(P27&lt;8,"")))</f>
        <v/>
      </c>
      <c r="T27" s="106" t="str">
        <f aca="false">IF(P27=10,N27*O27*Q27*0.617*1,IF(P27&gt;10,"",IF(P27&lt;10,"")))</f>
        <v/>
      </c>
      <c r="U27" s="106" t="str">
        <f aca="false">IF(P27=12,N27*O27*Q27*0.888*1,IF(P27&gt;12,"",IF(P27&lt;12,"")))</f>
        <v/>
      </c>
      <c r="V27" s="107" t="str">
        <f aca="false">IF(P27=16,N27*O27*Q27*1.578*1,IF(P27&gt;16,"",IF(P27&lt;16,"")))</f>
        <v/>
      </c>
      <c r="W27" s="106" t="str">
        <f aca="false">IF(P27=20,N27*O27*Q27*2.466*1,IF(P27&gt;20,"",IF(P27&lt;20,"")))</f>
        <v/>
      </c>
      <c r="X27" s="106" t="str">
        <f aca="false">IF(P27=25,N27*O27*Q27*3.853*1,IF(P27&gt;25,"",IF(P27&lt;25,"")))</f>
        <v/>
      </c>
      <c r="Y27" s="108" t="str">
        <f aca="false">IF(P27=32,N27*O27*Q27*6.313*1,IF(P27&gt;32,"",IF(P27&lt;32,"")))</f>
        <v/>
      </c>
      <c r="Z27" s="109"/>
      <c r="AA27" s="110" t="str">
        <f aca="false">IF(AC27&gt;0,N27,"")</f>
        <v/>
      </c>
      <c r="AB27" s="111" t="str">
        <f aca="false">IF(AC27&gt;0,O27,"")</f>
        <v/>
      </c>
      <c r="AC27" s="112"/>
      <c r="AD27" s="112"/>
      <c r="AE27" s="113" t="str">
        <f aca="false">IF(AC27&gt;0,P27,"")</f>
        <v/>
      </c>
      <c r="AF27" s="114" t="str">
        <f aca="false">IF(AE27=6,AA27*AB27*AC27*AD27*(AE27/1000)*0.222*1,IF(AE27&gt;6,"",IF(AE27&lt;6,"")))</f>
        <v/>
      </c>
      <c r="AG27" s="107" t="str">
        <f aca="false">IF(AE27=8,AA27*AB27*AC27*AD27*(AE27/1000)*0.395*1,IF(AE27&gt;8,"",IF(AE27&lt;8,"")))</f>
        <v/>
      </c>
      <c r="AH27" s="107" t="str">
        <f aca="false">IF(AE27=10,AA27*AB27*AC27*AD27*(AE27/1000)*0.617*1,IF(AE27&gt;10,"",IF(AE27&lt;10,"")))</f>
        <v/>
      </c>
      <c r="AI27" s="107" t="str">
        <f aca="false">IF(AE27=12,AA27*AB27*AC27*AD27*(AE27/1000)*0.888*1,IF(AE27&gt;12,"",IF(AE27&lt;12,"")))</f>
        <v/>
      </c>
      <c r="AJ27" s="107" t="str">
        <f aca="false">IF(AE27=16,AA27*AB27*AC27*AD27*(AE27/1000)*1.578*1,IF(AE27&gt;16,"",IF(AE27&lt;16,"")))</f>
        <v/>
      </c>
      <c r="AK27" s="107" t="str">
        <f aca="false">IF(AE27=20,AA27*AB27*AC27*AD27*(AE27/1000)*2.466*1,IF(AE27&gt;20,"",IF(AE27&lt;20,"")))</f>
        <v/>
      </c>
      <c r="AL27" s="107" t="str">
        <f aca="false">IF(AE27=25,AA27*AB27*AC27*AD27*(AE27/1000)*3.853*1,IF(AE27&gt;25,"",IF(AE27&lt;25,"")))</f>
        <v/>
      </c>
      <c r="AM27" s="115" t="str">
        <f aca="false">IF(AE27=32,AA27*AB27*AC27*AD27*(AE27/1000)*6.313*1,IF(AE27&gt;32,"",IF(AE27&lt;32,"")))</f>
        <v/>
      </c>
      <c r="AN27" s="128"/>
      <c r="AO27" s="117" t="s">
        <v>170</v>
      </c>
      <c r="AP27" s="118" t="n">
        <f aca="false">SUM(R27:Y27)+SUM(AN27)</f>
        <v>0</v>
      </c>
      <c r="AQ27" s="118" t="n">
        <f aca="false">SUM(AF27:AM27)</f>
        <v>0</v>
      </c>
      <c r="AR27" s="118" t="n">
        <v>5.1734</v>
      </c>
      <c r="AS27" s="119" t="s">
        <v>355</v>
      </c>
      <c r="AT27" s="119" t="s">
        <v>209</v>
      </c>
    </row>
    <row r="28" customFormat="false" ht="13.5" hidden="false" customHeight="false" outlineLevel="0" collapsed="false">
      <c r="A28" s="129"/>
      <c r="B28" s="172"/>
      <c r="C28" s="110"/>
      <c r="D28" s="122"/>
      <c r="E28" s="122"/>
      <c r="F28" s="173"/>
      <c r="G28" s="123"/>
      <c r="H28" s="101"/>
      <c r="I28" s="123"/>
      <c r="J28" s="101"/>
      <c r="K28" s="124" t="s">
        <v>335</v>
      </c>
      <c r="L28" s="125"/>
      <c r="M28" s="125"/>
      <c r="N28" s="126" t="n">
        <f aca="false">$C$27</f>
        <v>1</v>
      </c>
      <c r="O28" s="126" t="n">
        <v>2</v>
      </c>
      <c r="P28" s="126" t="n">
        <v>12</v>
      </c>
      <c r="Q28" s="127" t="n">
        <f aca="false">$E$27/0.15</f>
        <v>172.448</v>
      </c>
      <c r="R28" s="105" t="str">
        <f aca="false">IF(P28=6,N28*O28*Q28*0.222*1,IF(P28&gt;6,"",IF(P28&lt;6,"")))</f>
        <v/>
      </c>
      <c r="S28" s="106" t="str">
        <f aca="false">IF(P28=8,N28*O28*Q28*0.395*1,IF(P28&gt;8,"",IF(P28&lt;8,"")))</f>
        <v/>
      </c>
      <c r="T28" s="106" t="str">
        <f aca="false">IF(P28=10,N28*O28*Q28*0.617*1,IF(P28&gt;10,"",IF(P28&lt;10,"")))</f>
        <v/>
      </c>
      <c r="U28" s="106" t="n">
        <f aca="false">IF(P28=12,N28*O28*Q28*0.888*1,IF(P28&gt;12,"",IF(P28&lt;12,"")))</f>
        <v>306.267648</v>
      </c>
      <c r="V28" s="107" t="str">
        <f aca="false">IF(P28=16,N28*O28*Q28*1.578*1,IF(P28&gt;16,"",IF(P28&lt;16,"")))</f>
        <v/>
      </c>
      <c r="W28" s="106" t="str">
        <f aca="false">IF(P28=20,N28*O28*Q28*2.466*1,IF(P28&gt;20,"",IF(P28&lt;20,"")))</f>
        <v/>
      </c>
      <c r="X28" s="106" t="str">
        <f aca="false">IF(P28=25,N28*O28*Q28*3.853*1,IF(P28&gt;25,"",IF(P28&lt;25,"")))</f>
        <v/>
      </c>
      <c r="Y28" s="108" t="str">
        <f aca="false">IF(P28=32,N28*O28*Q28*6.313*1,IF(P28&gt;32,"",IF(P28&lt;32,"")))</f>
        <v/>
      </c>
      <c r="Z28" s="109"/>
      <c r="AA28" s="110" t="str">
        <f aca="false">IF(AC28&gt;0,N28,"")</f>
        <v/>
      </c>
      <c r="AB28" s="111" t="str">
        <f aca="false">IF(AC28&gt;0,O28,"")</f>
        <v/>
      </c>
      <c r="AC28" s="112"/>
      <c r="AD28" s="112"/>
      <c r="AE28" s="113" t="str">
        <f aca="false">IF(AC28&gt;0,P28,"")</f>
        <v/>
      </c>
      <c r="AF28" s="114" t="str">
        <f aca="false">IF(AE28=6,AA28*AB28*AC28*AD28*(AE28/1000)*0.222*1,IF(AE28&gt;6,"",IF(AE28&lt;6,"")))</f>
        <v/>
      </c>
      <c r="AG28" s="107" t="str">
        <f aca="false">IF(AE28=8,AA28*AB28*AC28*AD28*(AE28/1000)*0.395*1,IF(AE28&gt;8,"",IF(AE28&lt;8,"")))</f>
        <v/>
      </c>
      <c r="AH28" s="107" t="str">
        <f aca="false">IF(AE28=10,AA28*AB28*AC28*AD28*(AE28/1000)*0.617*1,IF(AE28&gt;10,"",IF(AE28&lt;10,"")))</f>
        <v/>
      </c>
      <c r="AI28" s="107" t="str">
        <f aca="false">IF(AE28=12,AA28*AB28*AC28*AD28*(AE28/1000)*0.888*1,IF(AE28&gt;12,"",IF(AE28&lt;12,"")))</f>
        <v/>
      </c>
      <c r="AJ28" s="107" t="str">
        <f aca="false">IF(AE28=16,AA28*AB28*AC28*AD28*(AE28/1000)*1.578*1,IF(AE28&gt;16,"",IF(AE28&lt;16,"")))</f>
        <v/>
      </c>
      <c r="AK28" s="107" t="str">
        <f aca="false">IF(AE28=20,AA28*AB28*AC28*AD28*(AE28/1000)*2.466*1,IF(AE28&gt;20,"",IF(AE28&lt;20,"")))</f>
        <v/>
      </c>
      <c r="AL28" s="107" t="str">
        <f aca="false">IF(AE28=25,AA28*AB28*AC28*AD28*(AE28/1000)*3.853*1,IF(AE28&gt;25,"",IF(AE28&lt;25,"")))</f>
        <v/>
      </c>
      <c r="AM28" s="115" t="str">
        <f aca="false">IF(AE28=32,AA28*AB28*AC28*AD28*(AE28/1000)*6.313*1,IF(AE28&gt;32,"",IF(AE28&lt;32,"")))</f>
        <v/>
      </c>
      <c r="AN28" s="128"/>
      <c r="AO28" s="117" t="s">
        <v>170</v>
      </c>
      <c r="AP28" s="118" t="n">
        <f aca="false">SUM(R28:Y28)+SUM(AN28)</f>
        <v>306.267648</v>
      </c>
      <c r="AQ28" s="118" t="n">
        <f aca="false">SUM(AF28:AM28)</f>
        <v>0</v>
      </c>
      <c r="AR28" s="118"/>
      <c r="AS28" s="119"/>
      <c r="AT28" s="119" t="s">
        <v>162</v>
      </c>
    </row>
    <row r="29" customFormat="false" ht="13.5" hidden="false" customHeight="false" outlineLevel="0" collapsed="false">
      <c r="A29" s="129"/>
      <c r="B29" s="172"/>
      <c r="C29" s="110"/>
      <c r="D29" s="122"/>
      <c r="E29" s="122"/>
      <c r="F29" s="173"/>
      <c r="G29" s="123"/>
      <c r="H29" s="101"/>
      <c r="I29" s="123"/>
      <c r="J29" s="101"/>
      <c r="K29" s="124" t="s">
        <v>336</v>
      </c>
      <c r="L29" s="125"/>
      <c r="M29" s="125"/>
      <c r="N29" s="126" t="n">
        <f aca="false">$C$27</f>
        <v>1</v>
      </c>
      <c r="O29" s="126" t="n">
        <v>2</v>
      </c>
      <c r="P29" s="126" t="n">
        <v>12</v>
      </c>
      <c r="Q29" s="127" t="n">
        <f aca="false">$E$27/0.15</f>
        <v>172.448</v>
      </c>
      <c r="R29" s="105" t="str">
        <f aca="false">IF(P29=6,N29*O29*Q29*0.222*1,IF(P29&gt;6,"",IF(P29&lt;6,"")))</f>
        <v/>
      </c>
      <c r="S29" s="106" t="str">
        <f aca="false">IF(P29=8,N29*O29*Q29*0.395*1,IF(P29&gt;8,"",IF(P29&lt;8,"")))</f>
        <v/>
      </c>
      <c r="T29" s="106" t="str">
        <f aca="false">IF(P29=10,N29*O29*Q29*0.617*1,IF(P29&gt;10,"",IF(P29&lt;10,"")))</f>
        <v/>
      </c>
      <c r="U29" s="106" t="n">
        <f aca="false">IF(P29=12,N29*O29*Q29*0.888*1,IF(P29&gt;12,"",IF(P29&lt;12,"")))</f>
        <v>306.267648</v>
      </c>
      <c r="V29" s="107" t="str">
        <f aca="false">IF(P29=16,N29*O29*Q29*1.578*1,IF(P29&gt;16,"",IF(P29&lt;16,"")))</f>
        <v/>
      </c>
      <c r="W29" s="106" t="str">
        <f aca="false">IF(P29=20,N29*O29*Q29*2.466*1,IF(P29&gt;20,"",IF(P29&lt;20,"")))</f>
        <v/>
      </c>
      <c r="X29" s="106" t="str">
        <f aca="false">IF(P29=25,N29*O29*Q29*3.853*1,IF(P29&gt;25,"",IF(P29&lt;25,"")))</f>
        <v/>
      </c>
      <c r="Y29" s="108" t="str">
        <f aca="false">IF(P29=32,N29*O29*Q29*6.313*1,IF(P29&gt;32,"",IF(P29&lt;32,"")))</f>
        <v/>
      </c>
      <c r="Z29" s="109"/>
      <c r="AA29" s="110" t="str">
        <f aca="false">IF(AC29&gt;0,N29,"")</f>
        <v/>
      </c>
      <c r="AB29" s="111" t="str">
        <f aca="false">IF(AC29&gt;0,O29,"")</f>
        <v/>
      </c>
      <c r="AC29" s="112"/>
      <c r="AD29" s="112"/>
      <c r="AE29" s="113" t="str">
        <f aca="false">IF(AC29&gt;0,P29,"")</f>
        <v/>
      </c>
      <c r="AF29" s="114" t="str">
        <f aca="false">IF(AE29=6,AA29*AB29*AC29*AD29*(AE29/1000)*0.222*1,IF(AE29&gt;6,"",IF(AE29&lt;6,"")))</f>
        <v/>
      </c>
      <c r="AG29" s="107" t="str">
        <f aca="false">IF(AE29=8,AA29*AB29*AC29*AD29*(AE29/1000)*0.395*1,IF(AE29&gt;8,"",IF(AE29&lt;8,"")))</f>
        <v/>
      </c>
      <c r="AH29" s="107" t="str">
        <f aca="false">IF(AE29=10,AA29*AB29*AC29*AD29*(AE29/1000)*0.617*1,IF(AE29&gt;10,"",IF(AE29&lt;10,"")))</f>
        <v/>
      </c>
      <c r="AI29" s="107" t="str">
        <f aca="false">IF(AE29=12,AA29*AB29*AC29*AD29*(AE29/1000)*0.888*1,IF(AE29&gt;12,"",IF(AE29&lt;12,"")))</f>
        <v/>
      </c>
      <c r="AJ29" s="107" t="str">
        <f aca="false">IF(AE29=16,AA29*AB29*AC29*AD29*(AE29/1000)*1.578*1,IF(AE29&gt;16,"",IF(AE29&lt;16,"")))</f>
        <v/>
      </c>
      <c r="AK29" s="107" t="str">
        <f aca="false">IF(AE29=20,AA29*AB29*AC29*AD29*(AE29/1000)*2.466*1,IF(AE29&gt;20,"",IF(AE29&lt;20,"")))</f>
        <v/>
      </c>
      <c r="AL29" s="107" t="str">
        <f aca="false">IF(AE29=25,AA29*AB29*AC29*AD29*(AE29/1000)*3.853*1,IF(AE29&gt;25,"",IF(AE29&lt;25,"")))</f>
        <v/>
      </c>
      <c r="AM29" s="115" t="str">
        <f aca="false">IF(AE29=32,AA29*AB29*AC29*AD29*(AE29/1000)*6.313*1,IF(AE29&gt;32,"",IF(AE29&lt;32,"")))</f>
        <v/>
      </c>
      <c r="AN29" s="128"/>
      <c r="AO29" s="117" t="s">
        <v>170</v>
      </c>
      <c r="AP29" s="118" t="n">
        <f aca="false">SUM(R29:Y29)+SUM(AN29)</f>
        <v>306.267648</v>
      </c>
      <c r="AQ29" s="118" t="n">
        <f aca="false">SUM(AF29:AM29)</f>
        <v>0</v>
      </c>
      <c r="AR29" s="118"/>
      <c r="AS29" s="119"/>
      <c r="AT29" s="119" t="s">
        <v>162</v>
      </c>
    </row>
    <row r="30" customFormat="false" ht="13.5" hidden="false" customHeight="false" outlineLevel="0" collapsed="false">
      <c r="A30" s="129"/>
      <c r="B30" s="172"/>
      <c r="C30" s="110"/>
      <c r="D30" s="122"/>
      <c r="E30" s="122"/>
      <c r="F30" s="173"/>
      <c r="G30" s="123"/>
      <c r="H30" s="101"/>
      <c r="I30" s="123"/>
      <c r="J30" s="101"/>
      <c r="K30" s="124" t="s">
        <v>356</v>
      </c>
      <c r="L30" s="125" t="n">
        <v>20.84</v>
      </c>
      <c r="M30" s="125" t="n">
        <v>0.15</v>
      </c>
      <c r="N30" s="126" t="n">
        <f aca="false">$C$27</f>
        <v>1</v>
      </c>
      <c r="O30" s="126" t="n">
        <f aca="false">CEILING(L30/M30,1)+1</f>
        <v>140</v>
      </c>
      <c r="P30" s="126" t="n">
        <v>12</v>
      </c>
      <c r="Q30" s="127" t="n">
        <f aca="false">50*12/1000</f>
        <v>0.6</v>
      </c>
      <c r="R30" s="105" t="str">
        <f aca="false">IF(P30=6,N30*O30*Q30*0.222*1,IF(P30&gt;6,"",IF(P30&lt;6,"")))</f>
        <v/>
      </c>
      <c r="S30" s="106" t="str">
        <f aca="false">IF(P30=8,N30*O30*Q30*0.395*1,IF(P30&gt;8,"",IF(P30&lt;8,"")))</f>
        <v/>
      </c>
      <c r="T30" s="106" t="str">
        <f aca="false">IF(P30=10,N30*O30*Q30*0.617*1,IF(P30&gt;10,"",IF(P30&lt;10,"")))</f>
        <v/>
      </c>
      <c r="U30" s="106" t="n">
        <f aca="false">IF(P30=12,N30*O30*Q30*0.888*1,IF(P30&gt;12,"",IF(P30&lt;12,"")))</f>
        <v>74.592</v>
      </c>
      <c r="V30" s="107" t="str">
        <f aca="false">IF(P30=16,N30*O30*Q30*1.578*1,IF(P30&gt;16,"",IF(P30&lt;16,"")))</f>
        <v/>
      </c>
      <c r="W30" s="106" t="str">
        <f aca="false">IF(P30=20,N30*O30*Q30*2.466*1,IF(P30&gt;20,"",IF(P30&lt;20,"")))</f>
        <v/>
      </c>
      <c r="X30" s="106" t="str">
        <f aca="false">IF(P30=25,N30*O30*Q30*3.853*1,IF(P30&gt;25,"",IF(P30&lt;25,"")))</f>
        <v/>
      </c>
      <c r="Y30" s="108" t="str">
        <f aca="false">IF(P30=32,N30*O30*Q30*6.313*1,IF(P30&gt;32,"",IF(P30&lt;32,"")))</f>
        <v/>
      </c>
      <c r="Z30" s="109"/>
      <c r="AA30" s="110" t="str">
        <f aca="false">IF(AC30&gt;0,N30,"")</f>
        <v/>
      </c>
      <c r="AB30" s="111" t="str">
        <f aca="false">IF(AC30&gt;0,O30,"")</f>
        <v/>
      </c>
      <c r="AC30" s="112"/>
      <c r="AD30" s="112"/>
      <c r="AE30" s="113" t="str">
        <f aca="false">IF(AC30&gt;0,P30,"")</f>
        <v/>
      </c>
      <c r="AF30" s="114" t="str">
        <f aca="false">IF(AE30=6,AA30*AB30*AC30*AD30*(AE30/1000)*0.222*1,IF(AE30&gt;6,"",IF(AE30&lt;6,"")))</f>
        <v/>
      </c>
      <c r="AG30" s="107" t="str">
        <f aca="false">IF(AE30=8,AA30*AB30*AC30*AD30*(AE30/1000)*0.395*1,IF(AE30&gt;8,"",IF(AE30&lt;8,"")))</f>
        <v/>
      </c>
      <c r="AH30" s="107" t="str">
        <f aca="false">IF(AE30=10,AA30*AB30*AC30*AD30*(AE30/1000)*0.617*1,IF(AE30&gt;10,"",IF(AE30&lt;10,"")))</f>
        <v/>
      </c>
      <c r="AI30" s="107" t="str">
        <f aca="false">IF(AE30=12,AA30*AB30*AC30*AD30*(AE30/1000)*0.888*1,IF(AE30&gt;12,"",IF(AE30&lt;12,"")))</f>
        <v/>
      </c>
      <c r="AJ30" s="107" t="str">
        <f aca="false">IF(AE30=16,AA30*AB30*AC30*AD30*(AE30/1000)*1.578*1,IF(AE30&gt;16,"",IF(AE30&lt;16,"")))</f>
        <v/>
      </c>
      <c r="AK30" s="107" t="str">
        <f aca="false">IF(AE30=20,AA30*AB30*AC30*AD30*(AE30/1000)*2.466*1,IF(AE30&gt;20,"",IF(AE30&lt;20,"")))</f>
        <v/>
      </c>
      <c r="AL30" s="107" t="str">
        <f aca="false">IF(AE30=25,AA30*AB30*AC30*AD30*(AE30/1000)*3.853*1,IF(AE30&gt;25,"",IF(AE30&lt;25,"")))</f>
        <v/>
      </c>
      <c r="AM30" s="115" t="str">
        <f aca="false">IF(AE30=32,AA30*AB30*AC30*AD30*(AE30/1000)*6.313*1,IF(AE30&gt;32,"",IF(AE30&lt;32,"")))</f>
        <v/>
      </c>
      <c r="AN30" s="128"/>
      <c r="AO30" s="117" t="s">
        <v>170</v>
      </c>
      <c r="AP30" s="118" t="n">
        <f aca="false">SUM(R30:Y30)+SUM(AN30)</f>
        <v>74.592</v>
      </c>
      <c r="AQ30" s="118" t="n">
        <f aca="false">SUM(AF30:AM30)</f>
        <v>0</v>
      </c>
      <c r="AR30" s="118"/>
      <c r="AS30" s="119" t="s">
        <v>338</v>
      </c>
      <c r="AT30" s="119" t="s">
        <v>162</v>
      </c>
    </row>
    <row r="31" customFormat="false" ht="13.5" hidden="false" customHeight="false" outlineLevel="0" collapsed="false">
      <c r="A31" s="129"/>
      <c r="B31" s="172"/>
      <c r="C31" s="110"/>
      <c r="D31" s="122"/>
      <c r="E31" s="122"/>
      <c r="F31" s="173"/>
      <c r="G31" s="123"/>
      <c r="H31" s="101"/>
      <c r="I31" s="123"/>
      <c r="J31" s="101"/>
      <c r="K31" s="124" t="s">
        <v>357</v>
      </c>
      <c r="L31" s="125" t="n">
        <v>20.84</v>
      </c>
      <c r="M31" s="125" t="n">
        <v>0.15</v>
      </c>
      <c r="N31" s="126" t="n">
        <f aca="false">$C$27</f>
        <v>1</v>
      </c>
      <c r="O31" s="126" t="n">
        <f aca="false">CEILING(L31/M31,1)+1</f>
        <v>140</v>
      </c>
      <c r="P31" s="126" t="n">
        <v>12</v>
      </c>
      <c r="Q31" s="127" t="n">
        <f aca="false">10*12/1000</f>
        <v>0.12</v>
      </c>
      <c r="R31" s="105" t="str">
        <f aca="false">IF(P31=6,N31*O31*Q31*0.222*1,IF(P31&gt;6,"",IF(P31&lt;6,"")))</f>
        <v/>
      </c>
      <c r="S31" s="106" t="str">
        <f aca="false">IF(P31=8,N31*O31*Q31*0.395*1,IF(P31&gt;8,"",IF(P31&lt;8,"")))</f>
        <v/>
      </c>
      <c r="T31" s="106" t="str">
        <f aca="false">IF(P31=10,N31*O31*Q31*0.617*1,IF(P31&gt;10,"",IF(P31&lt;10,"")))</f>
        <v/>
      </c>
      <c r="U31" s="106" t="n">
        <f aca="false">IF(P31=12,N31*O31*Q31*0.888*1,IF(P31&gt;12,"",IF(P31&lt;12,"")))</f>
        <v>14.9184</v>
      </c>
      <c r="V31" s="107" t="str">
        <f aca="false">IF(P31=16,N31*O31*Q31*1.578*1,IF(P31&gt;16,"",IF(P31&lt;16,"")))</f>
        <v/>
      </c>
      <c r="W31" s="106" t="str">
        <f aca="false">IF(P31=20,N31*O31*Q31*2.466*1,IF(P31&gt;20,"",IF(P31&lt;20,"")))</f>
        <v/>
      </c>
      <c r="X31" s="106" t="str">
        <f aca="false">IF(P31=25,N31*O31*Q31*3.853*1,IF(P31&gt;25,"",IF(P31&lt;25,"")))</f>
        <v/>
      </c>
      <c r="Y31" s="108" t="str">
        <f aca="false">IF(P31=32,N31*O31*Q31*6.313*1,IF(P31&gt;32,"",IF(P31&lt;32,"")))</f>
        <v/>
      </c>
      <c r="Z31" s="109"/>
      <c r="AA31" s="110" t="str">
        <f aca="false">IF(AC31&gt;0,N31,"")</f>
        <v/>
      </c>
      <c r="AB31" s="111" t="str">
        <f aca="false">IF(AC31&gt;0,O31,"")</f>
        <v/>
      </c>
      <c r="AC31" s="112"/>
      <c r="AD31" s="112"/>
      <c r="AE31" s="113" t="str">
        <f aca="false">IF(AC31&gt;0,P31,"")</f>
        <v/>
      </c>
      <c r="AF31" s="114" t="str">
        <f aca="false">IF(AE31=6,AA31*AB31*AC31*AD31*(AE31/1000)*0.222*1,IF(AE31&gt;6,"",IF(AE31&lt;6,"")))</f>
        <v/>
      </c>
      <c r="AG31" s="107" t="str">
        <f aca="false">IF(AE31=8,AA31*AB31*AC31*AD31*(AE31/1000)*0.395*1,IF(AE31&gt;8,"",IF(AE31&lt;8,"")))</f>
        <v/>
      </c>
      <c r="AH31" s="107" t="str">
        <f aca="false">IF(AE31=10,AA31*AB31*AC31*AD31*(AE31/1000)*0.617*1,IF(AE31&gt;10,"",IF(AE31&lt;10,"")))</f>
        <v/>
      </c>
      <c r="AI31" s="107" t="str">
        <f aca="false">IF(AE31=12,AA31*AB31*AC31*AD31*(AE31/1000)*0.888*1,IF(AE31&gt;12,"",IF(AE31&lt;12,"")))</f>
        <v/>
      </c>
      <c r="AJ31" s="107" t="str">
        <f aca="false">IF(AE31=16,AA31*AB31*AC31*AD31*(AE31/1000)*1.578*1,IF(AE31&gt;16,"",IF(AE31&lt;16,"")))</f>
        <v/>
      </c>
      <c r="AK31" s="107" t="str">
        <f aca="false">IF(AE31=20,AA31*AB31*AC31*AD31*(AE31/1000)*2.466*1,IF(AE31&gt;20,"",IF(AE31&lt;20,"")))</f>
        <v/>
      </c>
      <c r="AL31" s="107" t="str">
        <f aca="false">IF(AE31=25,AA31*AB31*AC31*AD31*(AE31/1000)*3.853*1,IF(AE31&gt;25,"",IF(AE31&lt;25,"")))</f>
        <v/>
      </c>
      <c r="AM31" s="115" t="str">
        <f aca="false">IF(AE31=32,AA31*AB31*AC31*AD31*(AE31/1000)*6.313*1,IF(AE31&gt;32,"",IF(AE31&lt;32,"")))</f>
        <v/>
      </c>
      <c r="AN31" s="128"/>
      <c r="AO31" s="117" t="s">
        <v>170</v>
      </c>
      <c r="AP31" s="118" t="n">
        <f aca="false">SUM(R31:Y31)+SUM(AN31)</f>
        <v>14.9184</v>
      </c>
      <c r="AQ31" s="118" t="n">
        <f aca="false">SUM(AF31:AM31)</f>
        <v>0</v>
      </c>
      <c r="AR31" s="118"/>
      <c r="AS31" s="119" t="s">
        <v>340</v>
      </c>
      <c r="AT31" s="119" t="s">
        <v>341</v>
      </c>
    </row>
    <row r="32" s="116" customFormat="true" ht="13.5" hidden="false" customHeight="false" outlineLevel="0" collapsed="false">
      <c r="A32" s="129"/>
      <c r="B32" s="130"/>
      <c r="C32" s="110"/>
      <c r="D32" s="122"/>
      <c r="E32" s="122"/>
      <c r="F32" s="122"/>
      <c r="G32" s="123"/>
      <c r="H32" s="101"/>
      <c r="I32" s="123"/>
      <c r="J32" s="101"/>
      <c r="K32" s="124"/>
      <c r="L32" s="125"/>
      <c r="M32" s="125"/>
      <c r="N32" s="126"/>
      <c r="O32" s="126"/>
      <c r="P32" s="126"/>
      <c r="Q32" s="127"/>
      <c r="R32" s="105"/>
      <c r="S32" s="106"/>
      <c r="T32" s="106"/>
      <c r="U32" s="106"/>
      <c r="V32" s="107"/>
      <c r="W32" s="106"/>
      <c r="X32" s="106"/>
      <c r="Y32" s="108"/>
      <c r="Z32" s="109"/>
      <c r="AA32" s="110"/>
      <c r="AB32" s="111"/>
      <c r="AC32" s="112"/>
      <c r="AD32" s="112"/>
      <c r="AE32" s="113"/>
      <c r="AF32" s="114"/>
      <c r="AG32" s="107"/>
      <c r="AH32" s="107"/>
      <c r="AI32" s="107"/>
      <c r="AJ32" s="107"/>
      <c r="AK32" s="107"/>
      <c r="AL32" s="107"/>
      <c r="AM32" s="115"/>
      <c r="AO32" s="117"/>
      <c r="AP32" s="118"/>
      <c r="AQ32" s="118"/>
      <c r="AR32" s="118"/>
      <c r="AS32" s="119"/>
      <c r="AT32" s="119"/>
    </row>
    <row r="33" customFormat="false" ht="13.5" hidden="false" customHeight="false" outlineLevel="0" collapsed="false">
      <c r="A33" s="96"/>
      <c r="B33" s="97" t="s">
        <v>358</v>
      </c>
      <c r="C33" s="98"/>
      <c r="D33" s="99"/>
      <c r="E33" s="99"/>
      <c r="F33" s="99"/>
      <c r="G33" s="100"/>
      <c r="H33" s="101"/>
      <c r="I33" s="100"/>
      <c r="J33" s="101"/>
      <c r="K33" s="102"/>
      <c r="L33" s="103"/>
      <c r="M33" s="103"/>
      <c r="N33" s="104"/>
      <c r="O33" s="104"/>
      <c r="P33" s="104"/>
      <c r="Q33" s="100"/>
      <c r="R33" s="105"/>
      <c r="S33" s="106"/>
      <c r="T33" s="106"/>
      <c r="U33" s="106"/>
      <c r="V33" s="107"/>
      <c r="W33" s="106"/>
      <c r="X33" s="106"/>
      <c r="Y33" s="108"/>
      <c r="Z33" s="109"/>
      <c r="AA33" s="110"/>
      <c r="AB33" s="111"/>
      <c r="AC33" s="112"/>
      <c r="AD33" s="112"/>
      <c r="AE33" s="113"/>
      <c r="AF33" s="114"/>
      <c r="AG33" s="107"/>
      <c r="AH33" s="107"/>
      <c r="AI33" s="107"/>
      <c r="AJ33" s="107"/>
      <c r="AK33" s="107"/>
      <c r="AL33" s="107"/>
      <c r="AM33" s="115"/>
      <c r="AO33" s="117"/>
      <c r="AP33" s="118"/>
      <c r="AQ33" s="118"/>
      <c r="AR33" s="118"/>
      <c r="AS33" s="119"/>
      <c r="AT33" s="119"/>
    </row>
    <row r="34" customFormat="false" ht="13.5" hidden="false" customHeight="false" outlineLevel="0" collapsed="false">
      <c r="A34" s="120"/>
      <c r="B34" s="121" t="s">
        <v>359</v>
      </c>
      <c r="C34" s="110" t="n">
        <v>1</v>
      </c>
      <c r="D34" s="122"/>
      <c r="E34" s="122" t="n">
        <v>6.4242</v>
      </c>
      <c r="F34" s="122" t="n">
        <v>0.2</v>
      </c>
      <c r="G34" s="123" t="n">
        <f aca="false">C34*E34*F34</f>
        <v>1.28484</v>
      </c>
      <c r="H34" s="101"/>
      <c r="I34" s="123" t="n">
        <f aca="false">C34*E34</f>
        <v>6.4242</v>
      </c>
      <c r="J34" s="101"/>
      <c r="K34" s="124"/>
      <c r="L34" s="125"/>
      <c r="M34" s="125"/>
      <c r="N34" s="126"/>
      <c r="O34" s="126"/>
      <c r="P34" s="126"/>
      <c r="Q34" s="127"/>
      <c r="R34" s="105" t="str">
        <f aca="false">IF(P34=6,N34*O34*Q34*0.222*1,IF(P34&gt;6,"",IF(P34&lt;6,"")))</f>
        <v/>
      </c>
      <c r="S34" s="106" t="str">
        <f aca="false">IF(P34=8,N34*O34*Q34*0.395*1,IF(P34&gt;8,"",IF(P34&lt;8,"")))</f>
        <v/>
      </c>
      <c r="T34" s="106" t="str">
        <f aca="false">IF(P34=10,N34*O34*Q34*0.617*1,IF(P34&gt;10,"",IF(P34&lt;10,"")))</f>
        <v/>
      </c>
      <c r="U34" s="106" t="str">
        <f aca="false">IF(P34=12,N34*O34*Q34*0.888*1,IF(P34&gt;12,"",IF(P34&lt;12,"")))</f>
        <v/>
      </c>
      <c r="V34" s="107" t="str">
        <f aca="false">IF(P34=16,N34*O34*Q34*1.578*1,IF(P34&gt;16,"",IF(P34&lt;16,"")))</f>
        <v/>
      </c>
      <c r="W34" s="106" t="str">
        <f aca="false">IF(P34=20,N34*O34*Q34*2.466*1,IF(P34&gt;20,"",IF(P34&lt;20,"")))</f>
        <v/>
      </c>
      <c r="X34" s="106" t="str">
        <f aca="false">IF(P34=25,N34*O34*Q34*3.853*1,IF(P34&gt;25,"",IF(P34&lt;25,"")))</f>
        <v/>
      </c>
      <c r="Y34" s="108" t="str">
        <f aca="false">IF(P34=32,N34*O34*Q34*6.313*1,IF(P34&gt;32,"",IF(P34&lt;32,"")))</f>
        <v/>
      </c>
      <c r="Z34" s="109"/>
      <c r="AA34" s="110" t="str">
        <f aca="false">IF(AC34&gt;0,N34,"")</f>
        <v/>
      </c>
      <c r="AB34" s="111" t="str">
        <f aca="false">IF(AC34&gt;0,O34,"")</f>
        <v/>
      </c>
      <c r="AC34" s="112"/>
      <c r="AD34" s="112"/>
      <c r="AE34" s="113" t="str">
        <f aca="false">IF(AC34&gt;0,P34,"")</f>
        <v/>
      </c>
      <c r="AF34" s="114" t="str">
        <f aca="false">IF(AE34=6,AA34*AB34*AC34*AD34*(AE34/1000)*0.222*1,IF(AE34&gt;6,"",IF(AE34&lt;6,"")))</f>
        <v/>
      </c>
      <c r="AG34" s="107" t="str">
        <f aca="false">IF(AE34=8,AA34*AB34*AC34*AD34*(AE34/1000)*0.395*1,IF(AE34&gt;8,"",IF(AE34&lt;8,"")))</f>
        <v/>
      </c>
      <c r="AH34" s="107" t="str">
        <f aca="false">IF(AE34=10,AA34*AB34*AC34*AD34*(AE34/1000)*0.617*1,IF(AE34&gt;10,"",IF(AE34&lt;10,"")))</f>
        <v/>
      </c>
      <c r="AI34" s="107" t="str">
        <f aca="false">IF(AE34=12,AA34*AB34*AC34*AD34*(AE34/1000)*0.888*1,IF(AE34&gt;12,"",IF(AE34&lt;12,"")))</f>
        <v/>
      </c>
      <c r="AJ34" s="107" t="str">
        <f aca="false">IF(AE34=16,AA34*AB34*AC34*AD34*(AE34/1000)*1.578*1,IF(AE34&gt;16,"",IF(AE34&lt;16,"")))</f>
        <v/>
      </c>
      <c r="AK34" s="107" t="str">
        <f aca="false">IF(AE34=20,AA34*AB34*AC34*AD34*(AE34/1000)*2.466*1,IF(AE34&gt;20,"",IF(AE34&lt;20,"")))</f>
        <v/>
      </c>
      <c r="AL34" s="107" t="str">
        <f aca="false">IF(AE34=25,AA34*AB34*AC34*AD34*(AE34/1000)*3.853*1,IF(AE34&gt;25,"",IF(AE34&lt;25,"")))</f>
        <v/>
      </c>
      <c r="AM34" s="115" t="str">
        <f aca="false">IF(AE34=32,AA34*AB34*AC34*AD34*(AE34/1000)*6.313*1,IF(AE34&gt;32,"",IF(AE34&lt;32,"")))</f>
        <v/>
      </c>
      <c r="AN34" s="128"/>
      <c r="AO34" s="117" t="s">
        <v>178</v>
      </c>
      <c r="AP34" s="118" t="n">
        <f aca="false">SUM(R34:Y34)+SUM(AN34)</f>
        <v>0</v>
      </c>
      <c r="AQ34" s="118" t="n">
        <f aca="false">SUM(AF34:AM34)</f>
        <v>0</v>
      </c>
      <c r="AR34" s="118" t="n">
        <v>1.2848</v>
      </c>
      <c r="AS34" s="119" t="s">
        <v>360</v>
      </c>
      <c r="AT34" s="119" t="s">
        <v>209</v>
      </c>
    </row>
    <row r="35" customFormat="false" ht="13.5" hidden="false" customHeight="false" outlineLevel="0" collapsed="false">
      <c r="A35" s="129"/>
      <c r="B35" s="172"/>
      <c r="C35" s="110"/>
      <c r="D35" s="122"/>
      <c r="E35" s="122"/>
      <c r="F35" s="173"/>
      <c r="G35" s="123"/>
      <c r="H35" s="101"/>
      <c r="I35" s="123"/>
      <c r="J35" s="101"/>
      <c r="K35" s="124" t="s">
        <v>361</v>
      </c>
      <c r="L35" s="125"/>
      <c r="M35" s="125"/>
      <c r="N35" s="126" t="n">
        <f aca="false">$C$34</f>
        <v>1</v>
      </c>
      <c r="O35" s="126" t="n">
        <v>2</v>
      </c>
      <c r="P35" s="126" t="n">
        <v>8</v>
      </c>
      <c r="Q35" s="127" t="n">
        <f aca="false">$E$34/0.1</f>
        <v>64.242</v>
      </c>
      <c r="R35" s="105" t="str">
        <f aca="false">IF(P35=6,N35*O35*Q35*0.222*1,IF(P35&gt;6,"",IF(P35&lt;6,"")))</f>
        <v/>
      </c>
      <c r="S35" s="106" t="n">
        <f aca="false">IF(P35=8,N35*O35*Q35*0.395*1,IF(P35&gt;8,"",IF(P35&lt;8,"")))</f>
        <v>50.75118</v>
      </c>
      <c r="T35" s="106" t="str">
        <f aca="false">IF(P35=10,N35*O35*Q35*0.617*1,IF(P35&gt;10,"",IF(P35&lt;10,"")))</f>
        <v/>
      </c>
      <c r="U35" s="106" t="str">
        <f aca="false">IF(P35=12,N35*O35*Q35*0.888*1,IF(P35&gt;12,"",IF(P35&lt;12,"")))</f>
        <v/>
      </c>
      <c r="V35" s="107" t="str">
        <f aca="false">IF(P35=16,N35*O35*Q35*1.578*1,IF(P35&gt;16,"",IF(P35&lt;16,"")))</f>
        <v/>
      </c>
      <c r="W35" s="106" t="str">
        <f aca="false">IF(P35=20,N35*O35*Q35*2.466*1,IF(P35&gt;20,"",IF(P35&lt;20,"")))</f>
        <v/>
      </c>
      <c r="X35" s="106" t="str">
        <f aca="false">IF(P35=25,N35*O35*Q35*3.853*1,IF(P35&gt;25,"",IF(P35&lt;25,"")))</f>
        <v/>
      </c>
      <c r="Y35" s="108" t="str">
        <f aca="false">IF(P35=32,N35*O35*Q35*6.313*1,IF(P35&gt;32,"",IF(P35&lt;32,"")))</f>
        <v/>
      </c>
      <c r="Z35" s="109"/>
      <c r="AA35" s="110" t="str">
        <f aca="false">IF(AC35&gt;0,N35,"")</f>
        <v/>
      </c>
      <c r="AB35" s="111" t="str">
        <f aca="false">IF(AC35&gt;0,O35,"")</f>
        <v/>
      </c>
      <c r="AC35" s="112"/>
      <c r="AD35" s="112"/>
      <c r="AE35" s="113" t="str">
        <f aca="false">IF(AC35&gt;0,P35,"")</f>
        <v/>
      </c>
      <c r="AF35" s="114" t="str">
        <f aca="false">IF(AE35=6,AA35*AB35*AC35*AD35*(AE35/1000)*0.222*1,IF(AE35&gt;6,"",IF(AE35&lt;6,"")))</f>
        <v/>
      </c>
      <c r="AG35" s="107" t="str">
        <f aca="false">IF(AE35=8,AA35*AB35*AC35*AD35*(AE35/1000)*0.395*1,IF(AE35&gt;8,"",IF(AE35&lt;8,"")))</f>
        <v/>
      </c>
      <c r="AH35" s="107" t="str">
        <f aca="false">IF(AE35=10,AA35*AB35*AC35*AD35*(AE35/1000)*0.617*1,IF(AE35&gt;10,"",IF(AE35&lt;10,"")))</f>
        <v/>
      </c>
      <c r="AI35" s="107" t="str">
        <f aca="false">IF(AE35=12,AA35*AB35*AC35*AD35*(AE35/1000)*0.888*1,IF(AE35&gt;12,"",IF(AE35&lt;12,"")))</f>
        <v/>
      </c>
      <c r="AJ35" s="107" t="str">
        <f aca="false">IF(AE35=16,AA35*AB35*AC35*AD35*(AE35/1000)*1.578*1,IF(AE35&gt;16,"",IF(AE35&lt;16,"")))</f>
        <v/>
      </c>
      <c r="AK35" s="107" t="str">
        <f aca="false">IF(AE35=20,AA35*AB35*AC35*AD35*(AE35/1000)*2.466*1,IF(AE35&gt;20,"",IF(AE35&lt;20,"")))</f>
        <v/>
      </c>
      <c r="AL35" s="107" t="str">
        <f aca="false">IF(AE35=25,AA35*AB35*AC35*AD35*(AE35/1000)*3.853*1,IF(AE35&gt;25,"",IF(AE35&lt;25,"")))</f>
        <v/>
      </c>
      <c r="AM35" s="115" t="str">
        <f aca="false">IF(AE35=32,AA35*AB35*AC35*AD35*(AE35/1000)*6.313*1,IF(AE35&gt;32,"",IF(AE35&lt;32,"")))</f>
        <v/>
      </c>
      <c r="AN35" s="128"/>
      <c r="AO35" s="117" t="s">
        <v>178</v>
      </c>
      <c r="AP35" s="118" t="n">
        <f aca="false">SUM(R35:Y35)+SUM(AN35)</f>
        <v>50.75118</v>
      </c>
      <c r="AQ35" s="118" t="n">
        <f aca="false">SUM(AF35:AM35)</f>
        <v>0</v>
      </c>
      <c r="AR35" s="118"/>
      <c r="AS35" s="119"/>
      <c r="AT35" s="119" t="s">
        <v>162</v>
      </c>
    </row>
    <row r="36" customFormat="false" ht="13.5" hidden="false" customHeight="false" outlineLevel="0" collapsed="false">
      <c r="A36" s="129"/>
      <c r="B36" s="172"/>
      <c r="C36" s="110"/>
      <c r="D36" s="122"/>
      <c r="E36" s="122"/>
      <c r="F36" s="173"/>
      <c r="G36" s="123"/>
      <c r="H36" s="101"/>
      <c r="I36" s="123"/>
      <c r="J36" s="101"/>
      <c r="K36" s="124" t="s">
        <v>362</v>
      </c>
      <c r="L36" s="125"/>
      <c r="M36" s="125"/>
      <c r="N36" s="126" t="n">
        <f aca="false">$C$34</f>
        <v>1</v>
      </c>
      <c r="O36" s="126" t="n">
        <v>2</v>
      </c>
      <c r="P36" s="126" t="n">
        <v>8</v>
      </c>
      <c r="Q36" s="127" t="n">
        <f aca="false">$E$34/0.1</f>
        <v>64.242</v>
      </c>
      <c r="R36" s="105" t="str">
        <f aca="false">IF(P36=6,N36*O36*Q36*0.222*1,IF(P36&gt;6,"",IF(P36&lt;6,"")))</f>
        <v/>
      </c>
      <c r="S36" s="106" t="n">
        <f aca="false">IF(P36=8,N36*O36*Q36*0.395*1,IF(P36&gt;8,"",IF(P36&lt;8,"")))</f>
        <v>50.75118</v>
      </c>
      <c r="T36" s="106" t="str">
        <f aca="false">IF(P36=10,N36*O36*Q36*0.617*1,IF(P36&gt;10,"",IF(P36&lt;10,"")))</f>
        <v/>
      </c>
      <c r="U36" s="106" t="str">
        <f aca="false">IF(P36=12,N36*O36*Q36*0.888*1,IF(P36&gt;12,"",IF(P36&lt;12,"")))</f>
        <v/>
      </c>
      <c r="V36" s="107" t="str">
        <f aca="false">IF(P36=16,N36*O36*Q36*1.578*1,IF(P36&gt;16,"",IF(P36&lt;16,"")))</f>
        <v/>
      </c>
      <c r="W36" s="106" t="str">
        <f aca="false">IF(P36=20,N36*O36*Q36*2.466*1,IF(P36&gt;20,"",IF(P36&lt;20,"")))</f>
        <v/>
      </c>
      <c r="X36" s="106" t="str">
        <f aca="false">IF(P36=25,N36*O36*Q36*3.853*1,IF(P36&gt;25,"",IF(P36&lt;25,"")))</f>
        <v/>
      </c>
      <c r="Y36" s="108" t="str">
        <f aca="false">IF(P36=32,N36*O36*Q36*6.313*1,IF(P36&gt;32,"",IF(P36&lt;32,"")))</f>
        <v/>
      </c>
      <c r="Z36" s="109"/>
      <c r="AA36" s="110" t="str">
        <f aca="false">IF(AC36&gt;0,N36,"")</f>
        <v/>
      </c>
      <c r="AB36" s="111" t="str">
        <f aca="false">IF(AC36&gt;0,O36,"")</f>
        <v/>
      </c>
      <c r="AC36" s="112"/>
      <c r="AD36" s="112"/>
      <c r="AE36" s="113" t="str">
        <f aca="false">IF(AC36&gt;0,P36,"")</f>
        <v/>
      </c>
      <c r="AF36" s="114" t="str">
        <f aca="false">IF(AE36=6,AA36*AB36*AC36*AD36*(AE36/1000)*0.222*1,IF(AE36&gt;6,"",IF(AE36&lt;6,"")))</f>
        <v/>
      </c>
      <c r="AG36" s="107" t="str">
        <f aca="false">IF(AE36=8,AA36*AB36*AC36*AD36*(AE36/1000)*0.395*1,IF(AE36&gt;8,"",IF(AE36&lt;8,"")))</f>
        <v/>
      </c>
      <c r="AH36" s="107" t="str">
        <f aca="false">IF(AE36=10,AA36*AB36*AC36*AD36*(AE36/1000)*0.617*1,IF(AE36&gt;10,"",IF(AE36&lt;10,"")))</f>
        <v/>
      </c>
      <c r="AI36" s="107" t="str">
        <f aca="false">IF(AE36=12,AA36*AB36*AC36*AD36*(AE36/1000)*0.888*1,IF(AE36&gt;12,"",IF(AE36&lt;12,"")))</f>
        <v/>
      </c>
      <c r="AJ36" s="107" t="str">
        <f aca="false">IF(AE36=16,AA36*AB36*AC36*AD36*(AE36/1000)*1.578*1,IF(AE36&gt;16,"",IF(AE36&lt;16,"")))</f>
        <v/>
      </c>
      <c r="AK36" s="107" t="str">
        <f aca="false">IF(AE36=20,AA36*AB36*AC36*AD36*(AE36/1000)*2.466*1,IF(AE36&gt;20,"",IF(AE36&lt;20,"")))</f>
        <v/>
      </c>
      <c r="AL36" s="107" t="str">
        <f aca="false">IF(AE36=25,AA36*AB36*AC36*AD36*(AE36/1000)*3.853*1,IF(AE36&gt;25,"",IF(AE36&lt;25,"")))</f>
        <v/>
      </c>
      <c r="AM36" s="115" t="str">
        <f aca="false">IF(AE36=32,AA36*AB36*AC36*AD36*(AE36/1000)*6.313*1,IF(AE36&gt;32,"",IF(AE36&lt;32,"")))</f>
        <v/>
      </c>
      <c r="AN36" s="128"/>
      <c r="AO36" s="117" t="s">
        <v>178</v>
      </c>
      <c r="AP36" s="118" t="n">
        <f aca="false">SUM(R36:Y36)+SUM(AN36)</f>
        <v>50.75118</v>
      </c>
      <c r="AQ36" s="118" t="n">
        <f aca="false">SUM(AF36:AM36)</f>
        <v>0</v>
      </c>
      <c r="AR36" s="118"/>
      <c r="AS36" s="119"/>
      <c r="AT36" s="119" t="s">
        <v>162</v>
      </c>
    </row>
    <row r="37" s="116" customFormat="true" ht="13.5" hidden="false" customHeight="false" outlineLevel="0" collapsed="false">
      <c r="A37" s="129"/>
      <c r="B37" s="172"/>
      <c r="C37" s="110"/>
      <c r="D37" s="122"/>
      <c r="E37" s="122"/>
      <c r="F37" s="173"/>
      <c r="G37" s="123"/>
      <c r="H37" s="101"/>
      <c r="I37" s="123"/>
      <c r="J37" s="101"/>
      <c r="K37" s="124" t="s">
        <v>363</v>
      </c>
      <c r="L37" s="125" t="n">
        <v>11.5287</v>
      </c>
      <c r="M37" s="125" t="n">
        <v>0.1</v>
      </c>
      <c r="N37" s="126" t="n">
        <f aca="false">$C$34</f>
        <v>1</v>
      </c>
      <c r="O37" s="126" t="n">
        <f aca="false">CEILING(L37/M37,1)+1</f>
        <v>117</v>
      </c>
      <c r="P37" s="126" t="n">
        <v>8</v>
      </c>
      <c r="Q37" s="127" t="n">
        <f aca="false">50*8/1000</f>
        <v>0.4</v>
      </c>
      <c r="R37" s="105" t="str">
        <f aca="false">IF(P37=6,N37*O37*Q37*0.222*1,IF(P37&gt;6,"",IF(P37&lt;6,"")))</f>
        <v/>
      </c>
      <c r="S37" s="106" t="n">
        <f aca="false">IF(P37=8,N37*O37*Q37*0.395*1,IF(P37&gt;8,"",IF(P37&lt;8,"")))</f>
        <v>18.486</v>
      </c>
      <c r="T37" s="106" t="str">
        <f aca="false">IF(P37=10,N37*O37*Q37*0.617*1,IF(P37&gt;10,"",IF(P37&lt;10,"")))</f>
        <v/>
      </c>
      <c r="U37" s="106" t="str">
        <f aca="false">IF(P37=12,N37*O37*Q37*0.888*1,IF(P37&gt;12,"",IF(P37&lt;12,"")))</f>
        <v/>
      </c>
      <c r="V37" s="107" t="str">
        <f aca="false">IF(P37=16,N37*O37*Q37*1.578*1,IF(P37&gt;16,"",IF(P37&lt;16,"")))</f>
        <v/>
      </c>
      <c r="W37" s="106" t="str">
        <f aca="false">IF(P37=20,N37*O37*Q37*2.466*1,IF(P37&gt;20,"",IF(P37&lt;20,"")))</f>
        <v/>
      </c>
      <c r="X37" s="106" t="str">
        <f aca="false">IF(P37=25,N37*O37*Q37*3.853*1,IF(P37&gt;25,"",IF(P37&lt;25,"")))</f>
        <v/>
      </c>
      <c r="Y37" s="108" t="str">
        <f aca="false">IF(P37=32,N37*O37*Q37*6.313*1,IF(P37&gt;32,"",IF(P37&lt;32,"")))</f>
        <v/>
      </c>
      <c r="Z37" s="109"/>
      <c r="AA37" s="110" t="str">
        <f aca="false">IF(AC37&gt;0,N37,"")</f>
        <v/>
      </c>
      <c r="AB37" s="111" t="str">
        <f aca="false">IF(AC37&gt;0,O37,"")</f>
        <v/>
      </c>
      <c r="AC37" s="112"/>
      <c r="AD37" s="112"/>
      <c r="AE37" s="113" t="str">
        <f aca="false">IF(AC37&gt;0,P37,"")</f>
        <v/>
      </c>
      <c r="AF37" s="114" t="str">
        <f aca="false">IF(AE37=6,AA37*AB37*AC37*AD37*(AE37/1000)*0.222*1,IF(AE37&gt;6,"",IF(AE37&lt;6,"")))</f>
        <v/>
      </c>
      <c r="AG37" s="107" t="str">
        <f aca="false">IF(AE37=8,AA37*AB37*AC37*AD37*(AE37/1000)*0.395*1,IF(AE37&gt;8,"",IF(AE37&lt;8,"")))</f>
        <v/>
      </c>
      <c r="AH37" s="107" t="str">
        <f aca="false">IF(AE37=10,AA37*AB37*AC37*AD37*(AE37/1000)*0.617*1,IF(AE37&gt;10,"",IF(AE37&lt;10,"")))</f>
        <v/>
      </c>
      <c r="AI37" s="107" t="str">
        <f aca="false">IF(AE37=12,AA37*AB37*AC37*AD37*(AE37/1000)*0.888*1,IF(AE37&gt;12,"",IF(AE37&lt;12,"")))</f>
        <v/>
      </c>
      <c r="AJ37" s="107" t="str">
        <f aca="false">IF(AE37=16,AA37*AB37*AC37*AD37*(AE37/1000)*1.578*1,IF(AE37&gt;16,"",IF(AE37&lt;16,"")))</f>
        <v/>
      </c>
      <c r="AK37" s="107" t="str">
        <f aca="false">IF(AE37=20,AA37*AB37*AC37*AD37*(AE37/1000)*2.466*1,IF(AE37&gt;20,"",IF(AE37&lt;20,"")))</f>
        <v/>
      </c>
      <c r="AL37" s="107" t="str">
        <f aca="false">IF(AE37=25,AA37*AB37*AC37*AD37*(AE37/1000)*3.853*1,IF(AE37&gt;25,"",IF(AE37&lt;25,"")))</f>
        <v/>
      </c>
      <c r="AM37" s="115" t="str">
        <f aca="false">IF(AE37=32,AA37*AB37*AC37*AD37*(AE37/1000)*6.313*1,IF(AE37&gt;32,"",IF(AE37&lt;32,"")))</f>
        <v/>
      </c>
      <c r="AN37" s="128"/>
      <c r="AO37" s="117" t="s">
        <v>178</v>
      </c>
      <c r="AP37" s="118" t="n">
        <f aca="false">SUM(R37:Y37)+SUM(AN37)</f>
        <v>18.486</v>
      </c>
      <c r="AQ37" s="118" t="n">
        <f aca="false">SUM(AF37:AM37)</f>
        <v>0</v>
      </c>
      <c r="AR37" s="118"/>
      <c r="AS37" s="119" t="s">
        <v>338</v>
      </c>
      <c r="AT37" s="119" t="s">
        <v>162</v>
      </c>
    </row>
    <row r="38" customFormat="false" ht="13.5" hidden="false" customHeight="false" outlineLevel="0" collapsed="false">
      <c r="A38" s="129"/>
      <c r="B38" s="172"/>
      <c r="C38" s="110"/>
      <c r="D38" s="122"/>
      <c r="E38" s="122"/>
      <c r="F38" s="173"/>
      <c r="G38" s="123"/>
      <c r="H38" s="101"/>
      <c r="I38" s="123"/>
      <c r="J38" s="101"/>
      <c r="K38" s="124" t="s">
        <v>364</v>
      </c>
      <c r="L38" s="125" t="n">
        <v>11.5287</v>
      </c>
      <c r="M38" s="125" t="n">
        <v>0.1</v>
      </c>
      <c r="N38" s="126" t="n">
        <f aca="false">$C$34</f>
        <v>1</v>
      </c>
      <c r="O38" s="126" t="n">
        <f aca="false">CEILING(L38/M38,1)+1</f>
        <v>117</v>
      </c>
      <c r="P38" s="126" t="n">
        <v>8</v>
      </c>
      <c r="Q38" s="127" t="n">
        <f aca="false">10*8/1000</f>
        <v>0.08</v>
      </c>
      <c r="R38" s="105" t="str">
        <f aca="false">IF(P38=6,N38*O38*Q38*0.222*1,IF(P38&gt;6,"",IF(P38&lt;6,"")))</f>
        <v/>
      </c>
      <c r="S38" s="106" t="n">
        <f aca="false">IF(P38=8,N38*O38*Q38*0.395*1,IF(P38&gt;8,"",IF(P38&lt;8,"")))</f>
        <v>3.6972</v>
      </c>
      <c r="T38" s="106" t="str">
        <f aca="false">IF(P38=10,N38*O38*Q38*0.617*1,IF(P38&gt;10,"",IF(P38&lt;10,"")))</f>
        <v/>
      </c>
      <c r="U38" s="106" t="str">
        <f aca="false">IF(P38=12,N38*O38*Q38*0.888*1,IF(P38&gt;12,"",IF(P38&lt;12,"")))</f>
        <v/>
      </c>
      <c r="V38" s="107" t="str">
        <f aca="false">IF(P38=16,N38*O38*Q38*1.578*1,IF(P38&gt;16,"",IF(P38&lt;16,"")))</f>
        <v/>
      </c>
      <c r="W38" s="106" t="str">
        <f aca="false">IF(P38=20,N38*O38*Q38*2.466*1,IF(P38&gt;20,"",IF(P38&lt;20,"")))</f>
        <v/>
      </c>
      <c r="X38" s="106" t="str">
        <f aca="false">IF(P38=25,N38*O38*Q38*3.853*1,IF(P38&gt;25,"",IF(P38&lt;25,"")))</f>
        <v/>
      </c>
      <c r="Y38" s="108" t="str">
        <f aca="false">IF(P38=32,N38*O38*Q38*6.313*1,IF(P38&gt;32,"",IF(P38&lt;32,"")))</f>
        <v/>
      </c>
      <c r="Z38" s="109"/>
      <c r="AA38" s="110" t="str">
        <f aca="false">IF(AC38&gt;0,N38,"")</f>
        <v/>
      </c>
      <c r="AB38" s="111" t="str">
        <f aca="false">IF(AC38&gt;0,O38,"")</f>
        <v/>
      </c>
      <c r="AC38" s="112"/>
      <c r="AD38" s="112"/>
      <c r="AE38" s="113" t="str">
        <f aca="false">IF(AC38&gt;0,P38,"")</f>
        <v/>
      </c>
      <c r="AF38" s="114" t="str">
        <f aca="false">IF(AE38=6,AA38*AB38*AC38*AD38*(AE38/1000)*0.222*1,IF(AE38&gt;6,"",IF(AE38&lt;6,"")))</f>
        <v/>
      </c>
      <c r="AG38" s="107" t="str">
        <f aca="false">IF(AE38=8,AA38*AB38*AC38*AD38*(AE38/1000)*0.395*1,IF(AE38&gt;8,"",IF(AE38&lt;8,"")))</f>
        <v/>
      </c>
      <c r="AH38" s="107" t="str">
        <f aca="false">IF(AE38=10,AA38*AB38*AC38*AD38*(AE38/1000)*0.617*1,IF(AE38&gt;10,"",IF(AE38&lt;10,"")))</f>
        <v/>
      </c>
      <c r="AI38" s="107" t="str">
        <f aca="false">IF(AE38=12,AA38*AB38*AC38*AD38*(AE38/1000)*0.888*1,IF(AE38&gt;12,"",IF(AE38&lt;12,"")))</f>
        <v/>
      </c>
      <c r="AJ38" s="107" t="str">
        <f aca="false">IF(AE38=16,AA38*AB38*AC38*AD38*(AE38/1000)*1.578*1,IF(AE38&gt;16,"",IF(AE38&lt;16,"")))</f>
        <v/>
      </c>
      <c r="AK38" s="107" t="str">
        <f aca="false">IF(AE38=20,AA38*AB38*AC38*AD38*(AE38/1000)*2.466*1,IF(AE38&gt;20,"",IF(AE38&lt;20,"")))</f>
        <v/>
      </c>
      <c r="AL38" s="107" t="str">
        <f aca="false">IF(AE38=25,AA38*AB38*AC38*AD38*(AE38/1000)*3.853*1,IF(AE38&gt;25,"",IF(AE38&lt;25,"")))</f>
        <v/>
      </c>
      <c r="AM38" s="115" t="str">
        <f aca="false">IF(AE38=32,AA38*AB38*AC38*AD38*(AE38/1000)*6.313*1,IF(AE38&gt;32,"",IF(AE38&lt;32,"")))</f>
        <v/>
      </c>
      <c r="AN38" s="128"/>
      <c r="AO38" s="117" t="s">
        <v>178</v>
      </c>
      <c r="AP38" s="118" t="n">
        <f aca="false">SUM(R38:Y38)+SUM(AN38)</f>
        <v>3.6972</v>
      </c>
      <c r="AQ38" s="118" t="n">
        <f aca="false">SUM(AF38:AM38)</f>
        <v>0</v>
      </c>
      <c r="AR38" s="118"/>
      <c r="AS38" s="119" t="s">
        <v>340</v>
      </c>
      <c r="AT38" s="119" t="s">
        <v>341</v>
      </c>
    </row>
    <row r="39" customFormat="false" ht="13.5" hidden="false" customHeight="false" outlineLevel="0" collapsed="false">
      <c r="A39" s="129"/>
      <c r="B39" s="130"/>
      <c r="C39" s="110"/>
      <c r="D39" s="122"/>
      <c r="E39" s="122"/>
      <c r="F39" s="122"/>
      <c r="G39" s="123"/>
      <c r="H39" s="101"/>
      <c r="I39" s="123"/>
      <c r="J39" s="101"/>
      <c r="K39" s="124"/>
      <c r="L39" s="125"/>
      <c r="M39" s="125"/>
      <c r="N39" s="126"/>
      <c r="O39" s="126"/>
      <c r="P39" s="126"/>
      <c r="Q39" s="127"/>
      <c r="R39" s="105"/>
      <c r="S39" s="106"/>
      <c r="T39" s="106"/>
      <c r="U39" s="106"/>
      <c r="V39" s="107"/>
      <c r="W39" s="106"/>
      <c r="X39" s="106"/>
      <c r="Y39" s="108"/>
      <c r="Z39" s="109"/>
      <c r="AA39" s="110"/>
      <c r="AB39" s="111"/>
      <c r="AC39" s="112"/>
      <c r="AD39" s="112"/>
      <c r="AE39" s="113"/>
      <c r="AF39" s="114"/>
      <c r="AG39" s="107"/>
      <c r="AH39" s="107"/>
      <c r="AI39" s="107"/>
      <c r="AJ39" s="107"/>
      <c r="AK39" s="107"/>
      <c r="AL39" s="107"/>
      <c r="AM39" s="115"/>
      <c r="AO39" s="117"/>
      <c r="AP39" s="118"/>
      <c r="AQ39" s="118"/>
      <c r="AR39" s="118"/>
      <c r="AS39" s="119"/>
      <c r="AT39" s="119"/>
    </row>
    <row r="40" customFormat="false" ht="13.5" hidden="false" customHeight="false" outlineLevel="0" collapsed="false">
      <c r="A40" s="120"/>
      <c r="B40" s="121" t="s">
        <v>365</v>
      </c>
      <c r="C40" s="110" t="n">
        <v>1</v>
      </c>
      <c r="D40" s="122"/>
      <c r="E40" s="122" t="n">
        <v>21.14</v>
      </c>
      <c r="F40" s="122" t="n">
        <v>0.2</v>
      </c>
      <c r="G40" s="123" t="n">
        <f aca="false">C40*E40*F40</f>
        <v>4.228</v>
      </c>
      <c r="H40" s="101"/>
      <c r="I40" s="123" t="n">
        <f aca="false">C40*E40</f>
        <v>21.14</v>
      </c>
      <c r="J40" s="101"/>
      <c r="K40" s="124"/>
      <c r="L40" s="125"/>
      <c r="M40" s="125"/>
      <c r="N40" s="126"/>
      <c r="O40" s="126"/>
      <c r="P40" s="126"/>
      <c r="Q40" s="127"/>
      <c r="R40" s="105" t="str">
        <f aca="false">IF(P40=6,N40*O40*Q40*0.222*1,IF(P40&gt;6,"",IF(P40&lt;6,"")))</f>
        <v/>
      </c>
      <c r="S40" s="106" t="str">
        <f aca="false">IF(P40=8,N40*O40*Q40*0.395*1,IF(P40&gt;8,"",IF(P40&lt;8,"")))</f>
        <v/>
      </c>
      <c r="T40" s="106" t="str">
        <f aca="false">IF(P40=10,N40*O40*Q40*0.617*1,IF(P40&gt;10,"",IF(P40&lt;10,"")))</f>
        <v/>
      </c>
      <c r="U40" s="106" t="str">
        <f aca="false">IF(P40=12,N40*O40*Q40*0.888*1,IF(P40&gt;12,"",IF(P40&lt;12,"")))</f>
        <v/>
      </c>
      <c r="V40" s="107" t="str">
        <f aca="false">IF(P40=16,N40*O40*Q40*1.578*1,IF(P40&gt;16,"",IF(P40&lt;16,"")))</f>
        <v/>
      </c>
      <c r="W40" s="106" t="str">
        <f aca="false">IF(P40=20,N40*O40*Q40*2.466*1,IF(P40&gt;20,"",IF(P40&lt;20,"")))</f>
        <v/>
      </c>
      <c r="X40" s="106" t="str">
        <f aca="false">IF(P40=25,N40*O40*Q40*3.853*1,IF(P40&gt;25,"",IF(P40&lt;25,"")))</f>
        <v/>
      </c>
      <c r="Y40" s="108" t="str">
        <f aca="false">IF(P40=32,N40*O40*Q40*6.313*1,IF(P40&gt;32,"",IF(P40&lt;32,"")))</f>
        <v/>
      </c>
      <c r="Z40" s="109"/>
      <c r="AA40" s="110" t="str">
        <f aca="false">IF(AC40&gt;0,N40,"")</f>
        <v/>
      </c>
      <c r="AB40" s="111" t="str">
        <f aca="false">IF(AC40&gt;0,O40,"")</f>
        <v/>
      </c>
      <c r="AC40" s="112"/>
      <c r="AD40" s="112"/>
      <c r="AE40" s="113" t="str">
        <f aca="false">IF(AC40&gt;0,P40,"")</f>
        <v/>
      </c>
      <c r="AF40" s="114" t="str">
        <f aca="false">IF(AE40=6,AA40*AB40*AC40*AD40*(AE40/1000)*0.222*1,IF(AE40&gt;6,"",IF(AE40&lt;6,"")))</f>
        <v/>
      </c>
      <c r="AG40" s="107" t="str">
        <f aca="false">IF(AE40=8,AA40*AB40*AC40*AD40*(AE40/1000)*0.395*1,IF(AE40&gt;8,"",IF(AE40&lt;8,"")))</f>
        <v/>
      </c>
      <c r="AH40" s="107" t="str">
        <f aca="false">IF(AE40=10,AA40*AB40*AC40*AD40*(AE40/1000)*0.617*1,IF(AE40&gt;10,"",IF(AE40&lt;10,"")))</f>
        <v/>
      </c>
      <c r="AI40" s="107" t="str">
        <f aca="false">IF(AE40=12,AA40*AB40*AC40*AD40*(AE40/1000)*0.888*1,IF(AE40&gt;12,"",IF(AE40&lt;12,"")))</f>
        <v/>
      </c>
      <c r="AJ40" s="107" t="str">
        <f aca="false">IF(AE40=16,AA40*AB40*AC40*AD40*(AE40/1000)*1.578*1,IF(AE40&gt;16,"",IF(AE40&lt;16,"")))</f>
        <v/>
      </c>
      <c r="AK40" s="107" t="str">
        <f aca="false">IF(AE40=20,AA40*AB40*AC40*AD40*(AE40/1000)*2.466*1,IF(AE40&gt;20,"",IF(AE40&lt;20,"")))</f>
        <v/>
      </c>
      <c r="AL40" s="107" t="str">
        <f aca="false">IF(AE40=25,AA40*AB40*AC40*AD40*(AE40/1000)*3.853*1,IF(AE40&gt;25,"",IF(AE40&lt;25,"")))</f>
        <v/>
      </c>
      <c r="AM40" s="115" t="str">
        <f aca="false">IF(AE40=32,AA40*AB40*AC40*AD40*(AE40/1000)*6.313*1,IF(AE40&gt;32,"",IF(AE40&lt;32,"")))</f>
        <v/>
      </c>
      <c r="AN40" s="128"/>
      <c r="AO40" s="117" t="s">
        <v>178</v>
      </c>
      <c r="AP40" s="118" t="n">
        <f aca="false">SUM(R40:Y40)+SUM(AN40)</f>
        <v>0</v>
      </c>
      <c r="AQ40" s="118" t="n">
        <f aca="false">SUM(AF40:AM40)</f>
        <v>0</v>
      </c>
      <c r="AR40" s="118" t="n">
        <v>4.228</v>
      </c>
      <c r="AS40" s="119" t="s">
        <v>366</v>
      </c>
      <c r="AT40" s="119" t="s">
        <v>209</v>
      </c>
    </row>
    <row r="41" customFormat="false" ht="13.5" hidden="false" customHeight="false" outlineLevel="0" collapsed="false">
      <c r="A41" s="129"/>
      <c r="B41" s="172"/>
      <c r="C41" s="110"/>
      <c r="D41" s="122"/>
      <c r="E41" s="122"/>
      <c r="F41" s="173"/>
      <c r="G41" s="123"/>
      <c r="H41" s="101"/>
      <c r="I41" s="123"/>
      <c r="J41" s="101"/>
      <c r="K41" s="124" t="s">
        <v>361</v>
      </c>
      <c r="L41" s="125"/>
      <c r="M41" s="125"/>
      <c r="N41" s="126" t="n">
        <f aca="false">$C$40</f>
        <v>1</v>
      </c>
      <c r="O41" s="126" t="n">
        <v>2</v>
      </c>
      <c r="P41" s="126" t="n">
        <v>8</v>
      </c>
      <c r="Q41" s="127" t="n">
        <f aca="false">$E$40/0.1</f>
        <v>211.4</v>
      </c>
      <c r="R41" s="105" t="str">
        <f aca="false">IF(P41=6,N41*O41*Q41*0.222*1,IF(P41&gt;6,"",IF(P41&lt;6,"")))</f>
        <v/>
      </c>
      <c r="S41" s="106" t="n">
        <f aca="false">IF(P41=8,N41*O41*Q41*0.395*1,IF(P41&gt;8,"",IF(P41&lt;8,"")))</f>
        <v>167.006</v>
      </c>
      <c r="T41" s="106" t="str">
        <f aca="false">IF(P41=10,N41*O41*Q41*0.617*1,IF(P41&gt;10,"",IF(P41&lt;10,"")))</f>
        <v/>
      </c>
      <c r="U41" s="106" t="str">
        <f aca="false">IF(P41=12,N41*O41*Q41*0.888*1,IF(P41&gt;12,"",IF(P41&lt;12,"")))</f>
        <v/>
      </c>
      <c r="V41" s="107" t="str">
        <f aca="false">IF(P41=16,N41*O41*Q41*1.578*1,IF(P41&gt;16,"",IF(P41&lt;16,"")))</f>
        <v/>
      </c>
      <c r="W41" s="106" t="str">
        <f aca="false">IF(P41=20,N41*O41*Q41*2.466*1,IF(P41&gt;20,"",IF(P41&lt;20,"")))</f>
        <v/>
      </c>
      <c r="X41" s="106" t="str">
        <f aca="false">IF(P41=25,N41*O41*Q41*3.853*1,IF(P41&gt;25,"",IF(P41&lt;25,"")))</f>
        <v/>
      </c>
      <c r="Y41" s="108" t="str">
        <f aca="false">IF(P41=32,N41*O41*Q41*6.313*1,IF(P41&gt;32,"",IF(P41&lt;32,"")))</f>
        <v/>
      </c>
      <c r="Z41" s="109"/>
      <c r="AA41" s="110" t="str">
        <f aca="false">IF(AC41&gt;0,N41,"")</f>
        <v/>
      </c>
      <c r="AB41" s="111" t="str">
        <f aca="false">IF(AC41&gt;0,O41,"")</f>
        <v/>
      </c>
      <c r="AC41" s="112"/>
      <c r="AD41" s="112"/>
      <c r="AE41" s="113" t="str">
        <f aca="false">IF(AC41&gt;0,P41,"")</f>
        <v/>
      </c>
      <c r="AF41" s="114" t="str">
        <f aca="false">IF(AE41=6,AA41*AB41*AC41*AD41*(AE41/1000)*0.222*1,IF(AE41&gt;6,"",IF(AE41&lt;6,"")))</f>
        <v/>
      </c>
      <c r="AG41" s="107" t="str">
        <f aca="false">IF(AE41=8,AA41*AB41*AC41*AD41*(AE41/1000)*0.395*1,IF(AE41&gt;8,"",IF(AE41&lt;8,"")))</f>
        <v/>
      </c>
      <c r="AH41" s="107" t="str">
        <f aca="false">IF(AE41=10,AA41*AB41*AC41*AD41*(AE41/1000)*0.617*1,IF(AE41&gt;10,"",IF(AE41&lt;10,"")))</f>
        <v/>
      </c>
      <c r="AI41" s="107" t="str">
        <f aca="false">IF(AE41=12,AA41*AB41*AC41*AD41*(AE41/1000)*0.888*1,IF(AE41&gt;12,"",IF(AE41&lt;12,"")))</f>
        <v/>
      </c>
      <c r="AJ41" s="107" t="str">
        <f aca="false">IF(AE41=16,AA41*AB41*AC41*AD41*(AE41/1000)*1.578*1,IF(AE41&gt;16,"",IF(AE41&lt;16,"")))</f>
        <v/>
      </c>
      <c r="AK41" s="107" t="str">
        <f aca="false">IF(AE41=20,AA41*AB41*AC41*AD41*(AE41/1000)*2.466*1,IF(AE41&gt;20,"",IF(AE41&lt;20,"")))</f>
        <v/>
      </c>
      <c r="AL41" s="107" t="str">
        <f aca="false">IF(AE41=25,AA41*AB41*AC41*AD41*(AE41/1000)*3.853*1,IF(AE41&gt;25,"",IF(AE41&lt;25,"")))</f>
        <v/>
      </c>
      <c r="AM41" s="115" t="str">
        <f aca="false">IF(AE41=32,AA41*AB41*AC41*AD41*(AE41/1000)*6.313*1,IF(AE41&gt;32,"",IF(AE41&lt;32,"")))</f>
        <v/>
      </c>
      <c r="AN41" s="128"/>
      <c r="AO41" s="117" t="s">
        <v>178</v>
      </c>
      <c r="AP41" s="118" t="n">
        <f aca="false">SUM(R41:Y41)+SUM(AN41)</f>
        <v>167.006</v>
      </c>
      <c r="AQ41" s="118" t="n">
        <f aca="false">SUM(AF41:AM41)</f>
        <v>0</v>
      </c>
      <c r="AR41" s="118"/>
      <c r="AS41" s="119"/>
      <c r="AT41" s="119" t="s">
        <v>162</v>
      </c>
    </row>
    <row r="42" customFormat="false" ht="13.5" hidden="false" customHeight="false" outlineLevel="0" collapsed="false">
      <c r="A42" s="129"/>
      <c r="B42" s="172"/>
      <c r="C42" s="110"/>
      <c r="D42" s="122"/>
      <c r="E42" s="122"/>
      <c r="F42" s="173"/>
      <c r="G42" s="123"/>
      <c r="H42" s="101"/>
      <c r="I42" s="123"/>
      <c r="J42" s="101"/>
      <c r="K42" s="124" t="s">
        <v>362</v>
      </c>
      <c r="L42" s="125"/>
      <c r="M42" s="125"/>
      <c r="N42" s="126" t="n">
        <f aca="false">$C$40</f>
        <v>1</v>
      </c>
      <c r="O42" s="126" t="n">
        <v>2</v>
      </c>
      <c r="P42" s="126" t="n">
        <v>8</v>
      </c>
      <c r="Q42" s="127" t="n">
        <f aca="false">$E$40/0.1</f>
        <v>211.4</v>
      </c>
      <c r="R42" s="105" t="str">
        <f aca="false">IF(P42=6,N42*O42*Q42*0.222*1,IF(P42&gt;6,"",IF(P42&lt;6,"")))</f>
        <v/>
      </c>
      <c r="S42" s="106" t="n">
        <f aca="false">IF(P42=8,N42*O42*Q42*0.395*1,IF(P42&gt;8,"",IF(P42&lt;8,"")))</f>
        <v>167.006</v>
      </c>
      <c r="T42" s="106" t="str">
        <f aca="false">IF(P42=10,N42*O42*Q42*0.617*1,IF(P42&gt;10,"",IF(P42&lt;10,"")))</f>
        <v/>
      </c>
      <c r="U42" s="106" t="str">
        <f aca="false">IF(P42=12,N42*O42*Q42*0.888*1,IF(P42&gt;12,"",IF(P42&lt;12,"")))</f>
        <v/>
      </c>
      <c r="V42" s="107" t="str">
        <f aca="false">IF(P42=16,N42*O42*Q42*1.578*1,IF(P42&gt;16,"",IF(P42&lt;16,"")))</f>
        <v/>
      </c>
      <c r="W42" s="106" t="str">
        <f aca="false">IF(P42=20,N42*O42*Q42*2.466*1,IF(P42&gt;20,"",IF(P42&lt;20,"")))</f>
        <v/>
      </c>
      <c r="X42" s="106" t="str">
        <f aca="false">IF(P42=25,N42*O42*Q42*3.853*1,IF(P42&gt;25,"",IF(P42&lt;25,"")))</f>
        <v/>
      </c>
      <c r="Y42" s="108" t="str">
        <f aca="false">IF(P42=32,N42*O42*Q42*6.313*1,IF(P42&gt;32,"",IF(P42&lt;32,"")))</f>
        <v/>
      </c>
      <c r="Z42" s="109"/>
      <c r="AA42" s="110" t="str">
        <f aca="false">IF(AC42&gt;0,N42,"")</f>
        <v/>
      </c>
      <c r="AB42" s="111" t="str">
        <f aca="false">IF(AC42&gt;0,O42,"")</f>
        <v/>
      </c>
      <c r="AC42" s="112"/>
      <c r="AD42" s="112"/>
      <c r="AE42" s="113" t="str">
        <f aca="false">IF(AC42&gt;0,P42,"")</f>
        <v/>
      </c>
      <c r="AF42" s="114" t="str">
        <f aca="false">IF(AE42=6,AA42*AB42*AC42*AD42*(AE42/1000)*0.222*1,IF(AE42&gt;6,"",IF(AE42&lt;6,"")))</f>
        <v/>
      </c>
      <c r="AG42" s="107" t="str">
        <f aca="false">IF(AE42=8,AA42*AB42*AC42*AD42*(AE42/1000)*0.395*1,IF(AE42&gt;8,"",IF(AE42&lt;8,"")))</f>
        <v/>
      </c>
      <c r="AH42" s="107" t="str">
        <f aca="false">IF(AE42=10,AA42*AB42*AC42*AD42*(AE42/1000)*0.617*1,IF(AE42&gt;10,"",IF(AE42&lt;10,"")))</f>
        <v/>
      </c>
      <c r="AI42" s="107" t="str">
        <f aca="false">IF(AE42=12,AA42*AB42*AC42*AD42*(AE42/1000)*0.888*1,IF(AE42&gt;12,"",IF(AE42&lt;12,"")))</f>
        <v/>
      </c>
      <c r="AJ42" s="107" t="str">
        <f aca="false">IF(AE42=16,AA42*AB42*AC42*AD42*(AE42/1000)*1.578*1,IF(AE42&gt;16,"",IF(AE42&lt;16,"")))</f>
        <v/>
      </c>
      <c r="AK42" s="107" t="str">
        <f aca="false">IF(AE42=20,AA42*AB42*AC42*AD42*(AE42/1000)*2.466*1,IF(AE42&gt;20,"",IF(AE42&lt;20,"")))</f>
        <v/>
      </c>
      <c r="AL42" s="107" t="str">
        <f aca="false">IF(AE42=25,AA42*AB42*AC42*AD42*(AE42/1000)*3.853*1,IF(AE42&gt;25,"",IF(AE42&lt;25,"")))</f>
        <v/>
      </c>
      <c r="AM42" s="115" t="str">
        <f aca="false">IF(AE42=32,AA42*AB42*AC42*AD42*(AE42/1000)*6.313*1,IF(AE42&gt;32,"",IF(AE42&lt;32,"")))</f>
        <v/>
      </c>
      <c r="AN42" s="128"/>
      <c r="AO42" s="117" t="s">
        <v>178</v>
      </c>
      <c r="AP42" s="118" t="n">
        <f aca="false">SUM(R42:Y42)+SUM(AN42)</f>
        <v>167.006</v>
      </c>
      <c r="AQ42" s="118" t="n">
        <f aca="false">SUM(AF42:AM42)</f>
        <v>0</v>
      </c>
      <c r="AR42" s="118"/>
      <c r="AS42" s="119"/>
      <c r="AT42" s="119" t="s">
        <v>162</v>
      </c>
    </row>
    <row r="43" customFormat="false" ht="13.5" hidden="false" customHeight="false" outlineLevel="0" collapsed="false">
      <c r="A43" s="129"/>
      <c r="B43" s="172"/>
      <c r="C43" s="110"/>
      <c r="D43" s="122"/>
      <c r="E43" s="122"/>
      <c r="F43" s="173"/>
      <c r="G43" s="123"/>
      <c r="H43" s="101"/>
      <c r="I43" s="123"/>
      <c r="J43" s="101"/>
      <c r="K43" s="124" t="s">
        <v>367</v>
      </c>
      <c r="L43" s="125" t="n">
        <v>28.9725</v>
      </c>
      <c r="M43" s="125" t="n">
        <v>0.1</v>
      </c>
      <c r="N43" s="126" t="n">
        <f aca="false">$C$40</f>
        <v>1</v>
      </c>
      <c r="O43" s="126" t="n">
        <f aca="false">CEILING(L43/M43,1)+1</f>
        <v>291</v>
      </c>
      <c r="P43" s="126" t="n">
        <v>8</v>
      </c>
      <c r="Q43" s="127" t="n">
        <f aca="false">50*8/1000</f>
        <v>0.4</v>
      </c>
      <c r="R43" s="105" t="str">
        <f aca="false">IF(P43=6,N43*O43*Q43*0.222*1,IF(P43&gt;6,"",IF(P43&lt;6,"")))</f>
        <v/>
      </c>
      <c r="S43" s="106" t="n">
        <f aca="false">IF(P43=8,N43*O43*Q43*0.395*1,IF(P43&gt;8,"",IF(P43&lt;8,"")))</f>
        <v>45.978</v>
      </c>
      <c r="T43" s="106" t="str">
        <f aca="false">IF(P43=10,N43*O43*Q43*0.617*1,IF(P43&gt;10,"",IF(P43&lt;10,"")))</f>
        <v/>
      </c>
      <c r="U43" s="106" t="str">
        <f aca="false">IF(P43=12,N43*O43*Q43*0.888*1,IF(P43&gt;12,"",IF(P43&lt;12,"")))</f>
        <v/>
      </c>
      <c r="V43" s="107" t="str">
        <f aca="false">IF(P43=16,N43*O43*Q43*1.578*1,IF(P43&gt;16,"",IF(P43&lt;16,"")))</f>
        <v/>
      </c>
      <c r="W43" s="106" t="str">
        <f aca="false">IF(P43=20,N43*O43*Q43*2.466*1,IF(P43&gt;20,"",IF(P43&lt;20,"")))</f>
        <v/>
      </c>
      <c r="X43" s="106" t="str">
        <f aca="false">IF(P43=25,N43*O43*Q43*3.853*1,IF(P43&gt;25,"",IF(P43&lt;25,"")))</f>
        <v/>
      </c>
      <c r="Y43" s="108" t="str">
        <f aca="false">IF(P43=32,N43*O43*Q43*6.313*1,IF(P43&gt;32,"",IF(P43&lt;32,"")))</f>
        <v/>
      </c>
      <c r="Z43" s="109"/>
      <c r="AA43" s="110" t="str">
        <f aca="false">IF(AC43&gt;0,N43,"")</f>
        <v/>
      </c>
      <c r="AB43" s="111" t="str">
        <f aca="false">IF(AC43&gt;0,O43,"")</f>
        <v/>
      </c>
      <c r="AC43" s="112"/>
      <c r="AD43" s="112"/>
      <c r="AE43" s="113" t="str">
        <f aca="false">IF(AC43&gt;0,P43,"")</f>
        <v/>
      </c>
      <c r="AF43" s="114" t="str">
        <f aca="false">IF(AE43=6,AA43*AB43*AC43*AD43*(AE43/1000)*0.222*1,IF(AE43&gt;6,"",IF(AE43&lt;6,"")))</f>
        <v/>
      </c>
      <c r="AG43" s="107" t="str">
        <f aca="false">IF(AE43=8,AA43*AB43*AC43*AD43*(AE43/1000)*0.395*1,IF(AE43&gt;8,"",IF(AE43&lt;8,"")))</f>
        <v/>
      </c>
      <c r="AH43" s="107" t="str">
        <f aca="false">IF(AE43=10,AA43*AB43*AC43*AD43*(AE43/1000)*0.617*1,IF(AE43&gt;10,"",IF(AE43&lt;10,"")))</f>
        <v/>
      </c>
      <c r="AI43" s="107" t="str">
        <f aca="false">IF(AE43=12,AA43*AB43*AC43*AD43*(AE43/1000)*0.888*1,IF(AE43&gt;12,"",IF(AE43&lt;12,"")))</f>
        <v/>
      </c>
      <c r="AJ43" s="107" t="str">
        <f aca="false">IF(AE43=16,AA43*AB43*AC43*AD43*(AE43/1000)*1.578*1,IF(AE43&gt;16,"",IF(AE43&lt;16,"")))</f>
        <v/>
      </c>
      <c r="AK43" s="107" t="str">
        <f aca="false">IF(AE43=20,AA43*AB43*AC43*AD43*(AE43/1000)*2.466*1,IF(AE43&gt;20,"",IF(AE43&lt;20,"")))</f>
        <v/>
      </c>
      <c r="AL43" s="107" t="str">
        <f aca="false">IF(AE43=25,AA43*AB43*AC43*AD43*(AE43/1000)*3.853*1,IF(AE43&gt;25,"",IF(AE43&lt;25,"")))</f>
        <v/>
      </c>
      <c r="AM43" s="115" t="str">
        <f aca="false">IF(AE43=32,AA43*AB43*AC43*AD43*(AE43/1000)*6.313*1,IF(AE43&gt;32,"",IF(AE43&lt;32,"")))</f>
        <v/>
      </c>
      <c r="AN43" s="128"/>
      <c r="AO43" s="117" t="s">
        <v>178</v>
      </c>
      <c r="AP43" s="118" t="n">
        <f aca="false">SUM(R43:Y43)+SUM(AN43)</f>
        <v>45.978</v>
      </c>
      <c r="AQ43" s="118" t="n">
        <f aca="false">SUM(AF43:AM43)</f>
        <v>0</v>
      </c>
      <c r="AR43" s="118"/>
      <c r="AS43" s="119" t="s">
        <v>338</v>
      </c>
      <c r="AT43" s="119" t="s">
        <v>162</v>
      </c>
    </row>
    <row r="44" customFormat="false" ht="13.5" hidden="false" customHeight="false" outlineLevel="0" collapsed="false">
      <c r="A44" s="129"/>
      <c r="B44" s="172"/>
      <c r="C44" s="110"/>
      <c r="D44" s="122"/>
      <c r="E44" s="122"/>
      <c r="F44" s="173"/>
      <c r="G44" s="123"/>
      <c r="H44" s="101"/>
      <c r="I44" s="123"/>
      <c r="J44" s="101"/>
      <c r="K44" s="124" t="s">
        <v>368</v>
      </c>
      <c r="L44" s="125" t="n">
        <v>28.9725</v>
      </c>
      <c r="M44" s="125" t="n">
        <v>0.1</v>
      </c>
      <c r="N44" s="126" t="n">
        <f aca="false">$C$40</f>
        <v>1</v>
      </c>
      <c r="O44" s="126" t="n">
        <f aca="false">CEILING(L44/M44,1)+1</f>
        <v>291</v>
      </c>
      <c r="P44" s="126" t="n">
        <v>8</v>
      </c>
      <c r="Q44" s="127" t="n">
        <f aca="false">10*8/1000</f>
        <v>0.08</v>
      </c>
      <c r="R44" s="105" t="str">
        <f aca="false">IF(P44=6,N44*O44*Q44*0.222*1,IF(P44&gt;6,"",IF(P44&lt;6,"")))</f>
        <v/>
      </c>
      <c r="S44" s="106" t="n">
        <f aca="false">IF(P44=8,N44*O44*Q44*0.395*1,IF(P44&gt;8,"",IF(P44&lt;8,"")))</f>
        <v>9.1956</v>
      </c>
      <c r="T44" s="106" t="str">
        <f aca="false">IF(P44=10,N44*O44*Q44*0.617*1,IF(P44&gt;10,"",IF(P44&lt;10,"")))</f>
        <v/>
      </c>
      <c r="U44" s="106" t="str">
        <f aca="false">IF(P44=12,N44*O44*Q44*0.888*1,IF(P44&gt;12,"",IF(P44&lt;12,"")))</f>
        <v/>
      </c>
      <c r="V44" s="107" t="str">
        <f aca="false">IF(P44=16,N44*O44*Q44*1.578*1,IF(P44&gt;16,"",IF(P44&lt;16,"")))</f>
        <v/>
      </c>
      <c r="W44" s="106" t="str">
        <f aca="false">IF(P44=20,N44*O44*Q44*2.466*1,IF(P44&gt;20,"",IF(P44&lt;20,"")))</f>
        <v/>
      </c>
      <c r="X44" s="106" t="str">
        <f aca="false">IF(P44=25,N44*O44*Q44*3.853*1,IF(P44&gt;25,"",IF(P44&lt;25,"")))</f>
        <v/>
      </c>
      <c r="Y44" s="108" t="str">
        <f aca="false">IF(P44=32,N44*O44*Q44*6.313*1,IF(P44&gt;32,"",IF(P44&lt;32,"")))</f>
        <v/>
      </c>
      <c r="Z44" s="109"/>
      <c r="AA44" s="110" t="str">
        <f aca="false">IF(AC44&gt;0,N44,"")</f>
        <v/>
      </c>
      <c r="AB44" s="111" t="str">
        <f aca="false">IF(AC44&gt;0,O44,"")</f>
        <v/>
      </c>
      <c r="AC44" s="112"/>
      <c r="AD44" s="112"/>
      <c r="AE44" s="113" t="str">
        <f aca="false">IF(AC44&gt;0,P44,"")</f>
        <v/>
      </c>
      <c r="AF44" s="114" t="str">
        <f aca="false">IF(AE44=6,AA44*AB44*AC44*AD44*(AE44/1000)*0.222*1,IF(AE44&gt;6,"",IF(AE44&lt;6,"")))</f>
        <v/>
      </c>
      <c r="AG44" s="107" t="str">
        <f aca="false">IF(AE44=8,AA44*AB44*AC44*AD44*(AE44/1000)*0.395*1,IF(AE44&gt;8,"",IF(AE44&lt;8,"")))</f>
        <v/>
      </c>
      <c r="AH44" s="107" t="str">
        <f aca="false">IF(AE44=10,AA44*AB44*AC44*AD44*(AE44/1000)*0.617*1,IF(AE44&gt;10,"",IF(AE44&lt;10,"")))</f>
        <v/>
      </c>
      <c r="AI44" s="107" t="str">
        <f aca="false">IF(AE44=12,AA44*AB44*AC44*AD44*(AE44/1000)*0.888*1,IF(AE44&gt;12,"",IF(AE44&lt;12,"")))</f>
        <v/>
      </c>
      <c r="AJ44" s="107" t="str">
        <f aca="false">IF(AE44=16,AA44*AB44*AC44*AD44*(AE44/1000)*1.578*1,IF(AE44&gt;16,"",IF(AE44&lt;16,"")))</f>
        <v/>
      </c>
      <c r="AK44" s="107" t="str">
        <f aca="false">IF(AE44=20,AA44*AB44*AC44*AD44*(AE44/1000)*2.466*1,IF(AE44&gt;20,"",IF(AE44&lt;20,"")))</f>
        <v/>
      </c>
      <c r="AL44" s="107" t="str">
        <f aca="false">IF(AE44=25,AA44*AB44*AC44*AD44*(AE44/1000)*3.853*1,IF(AE44&gt;25,"",IF(AE44&lt;25,"")))</f>
        <v/>
      </c>
      <c r="AM44" s="115" t="str">
        <f aca="false">IF(AE44=32,AA44*AB44*AC44*AD44*(AE44/1000)*6.313*1,IF(AE44&gt;32,"",IF(AE44&lt;32,"")))</f>
        <v/>
      </c>
      <c r="AN44" s="128"/>
      <c r="AO44" s="117" t="s">
        <v>178</v>
      </c>
      <c r="AP44" s="118" t="n">
        <f aca="false">SUM(R44:Y44)+SUM(AN44)</f>
        <v>9.1956</v>
      </c>
      <c r="AQ44" s="118" t="n">
        <f aca="false">SUM(AF44:AM44)</f>
        <v>0</v>
      </c>
      <c r="AR44" s="118"/>
      <c r="AS44" s="119" t="s">
        <v>340</v>
      </c>
      <c r="AT44" s="119" t="s">
        <v>341</v>
      </c>
    </row>
    <row r="45" customFormat="false" ht="13.5" hidden="false" customHeight="false" outlineLevel="0" collapsed="false">
      <c r="A45" s="129"/>
      <c r="B45" s="130"/>
      <c r="C45" s="110"/>
      <c r="D45" s="122"/>
      <c r="E45" s="122"/>
      <c r="F45" s="122"/>
      <c r="G45" s="123"/>
      <c r="H45" s="101"/>
      <c r="I45" s="123"/>
      <c r="J45" s="101"/>
      <c r="K45" s="124"/>
      <c r="L45" s="125"/>
      <c r="M45" s="125"/>
      <c r="N45" s="126"/>
      <c r="O45" s="126"/>
      <c r="P45" s="126"/>
      <c r="Q45" s="127"/>
      <c r="R45" s="105"/>
      <c r="S45" s="106"/>
      <c r="T45" s="106"/>
      <c r="U45" s="106"/>
      <c r="V45" s="107"/>
      <c r="W45" s="106"/>
      <c r="X45" s="106"/>
      <c r="Y45" s="108"/>
      <c r="Z45" s="109"/>
      <c r="AA45" s="110"/>
      <c r="AB45" s="111"/>
      <c r="AC45" s="112"/>
      <c r="AD45" s="112"/>
      <c r="AE45" s="113"/>
      <c r="AF45" s="114"/>
      <c r="AG45" s="107"/>
      <c r="AH45" s="107"/>
      <c r="AI45" s="107"/>
      <c r="AJ45" s="107"/>
      <c r="AK45" s="107"/>
      <c r="AL45" s="107"/>
      <c r="AM45" s="115"/>
      <c r="AO45" s="117"/>
      <c r="AP45" s="118"/>
      <c r="AQ45" s="118"/>
      <c r="AR45" s="118"/>
      <c r="AS45" s="119"/>
      <c r="AT45" s="119"/>
    </row>
    <row r="46" customFormat="false" ht="13.5" hidden="false" customHeight="false" outlineLevel="0" collapsed="false">
      <c r="A46" s="96"/>
      <c r="B46" s="97" t="s">
        <v>369</v>
      </c>
      <c r="C46" s="98"/>
      <c r="D46" s="99"/>
      <c r="E46" s="99"/>
      <c r="F46" s="99"/>
      <c r="G46" s="100"/>
      <c r="H46" s="101"/>
      <c r="I46" s="100"/>
      <c r="J46" s="101"/>
      <c r="K46" s="102"/>
      <c r="L46" s="103"/>
      <c r="M46" s="103"/>
      <c r="N46" s="104"/>
      <c r="O46" s="104"/>
      <c r="P46" s="104"/>
      <c r="Q46" s="100"/>
      <c r="R46" s="105"/>
      <c r="S46" s="106"/>
      <c r="T46" s="106"/>
      <c r="U46" s="106"/>
      <c r="V46" s="107"/>
      <c r="W46" s="106"/>
      <c r="X46" s="106"/>
      <c r="Y46" s="108"/>
      <c r="Z46" s="109"/>
      <c r="AA46" s="110"/>
      <c r="AB46" s="111"/>
      <c r="AC46" s="112"/>
      <c r="AD46" s="112"/>
      <c r="AE46" s="113"/>
      <c r="AF46" s="114"/>
      <c r="AG46" s="107"/>
      <c r="AH46" s="107"/>
      <c r="AI46" s="107"/>
      <c r="AJ46" s="107"/>
      <c r="AK46" s="107"/>
      <c r="AL46" s="107"/>
      <c r="AM46" s="115"/>
      <c r="AO46" s="117"/>
      <c r="AP46" s="118"/>
      <c r="AQ46" s="118"/>
      <c r="AR46" s="118"/>
      <c r="AS46" s="119"/>
      <c r="AT46" s="119"/>
    </row>
    <row r="47" customFormat="false" ht="13.5" hidden="false" customHeight="false" outlineLevel="0" collapsed="false">
      <c r="A47" s="120"/>
      <c r="B47" s="121" t="s">
        <v>370</v>
      </c>
      <c r="C47" s="110" t="n">
        <v>1</v>
      </c>
      <c r="D47" s="122"/>
      <c r="E47" s="122" t="n">
        <v>4.09</v>
      </c>
      <c r="F47" s="122" t="n">
        <v>0.2</v>
      </c>
      <c r="G47" s="123" t="n">
        <f aca="false">C47*E47*F47</f>
        <v>0.818</v>
      </c>
      <c r="H47" s="101"/>
      <c r="I47" s="123" t="n">
        <f aca="false">C47*E47+6*F47</f>
        <v>5.29</v>
      </c>
      <c r="J47" s="101"/>
      <c r="K47" s="124"/>
      <c r="L47" s="125"/>
      <c r="M47" s="125"/>
      <c r="N47" s="126"/>
      <c r="O47" s="126"/>
      <c r="P47" s="126"/>
      <c r="Q47" s="127"/>
      <c r="R47" s="105" t="str">
        <f aca="false">IF(P47=6,N47*O47*Q47*0.222*1,IF(P47&gt;6,"",IF(P47&lt;6,"")))</f>
        <v/>
      </c>
      <c r="S47" s="106" t="str">
        <f aca="false">IF(P47=8,N47*O47*Q47*0.395*1,IF(P47&gt;8,"",IF(P47&lt;8,"")))</f>
        <v/>
      </c>
      <c r="T47" s="106" t="str">
        <f aca="false">IF(P47=10,N47*O47*Q47*0.617*1,IF(P47&gt;10,"",IF(P47&lt;10,"")))</f>
        <v/>
      </c>
      <c r="U47" s="106" t="str">
        <f aca="false">IF(P47=12,N47*O47*Q47*0.888*1,IF(P47&gt;12,"",IF(P47&lt;12,"")))</f>
        <v/>
      </c>
      <c r="V47" s="107" t="str">
        <f aca="false">IF(P47=16,N47*O47*Q47*1.578*1,IF(P47&gt;16,"",IF(P47&lt;16,"")))</f>
        <v/>
      </c>
      <c r="W47" s="106" t="str">
        <f aca="false">IF(P47=20,N47*O47*Q47*2.466*1,IF(P47&gt;20,"",IF(P47&lt;20,"")))</f>
        <v/>
      </c>
      <c r="X47" s="106" t="str">
        <f aca="false">IF(P47=25,N47*O47*Q47*3.853*1,IF(P47&gt;25,"",IF(P47&lt;25,"")))</f>
        <v/>
      </c>
      <c r="Y47" s="108" t="str">
        <f aca="false">IF(P47=32,N47*O47*Q47*6.313*1,IF(P47&gt;32,"",IF(P47&lt;32,"")))</f>
        <v/>
      </c>
      <c r="Z47" s="109"/>
      <c r="AA47" s="110" t="str">
        <f aca="false">IF(AC47&gt;0,N47,"")</f>
        <v/>
      </c>
      <c r="AB47" s="111" t="str">
        <f aca="false">IF(AC47&gt;0,O47,"")</f>
        <v/>
      </c>
      <c r="AC47" s="112"/>
      <c r="AD47" s="112"/>
      <c r="AE47" s="113" t="str">
        <f aca="false">IF(AC47&gt;0,P47,"")</f>
        <v/>
      </c>
      <c r="AF47" s="114" t="str">
        <f aca="false">IF(AE47=6,AA47*AB47*AC47*AD47*(AE47/1000)*0.222*1,IF(AE47&gt;6,"",IF(AE47&lt;6,"")))</f>
        <v/>
      </c>
      <c r="AG47" s="107" t="str">
        <f aca="false">IF(AE47=8,AA47*AB47*AC47*AD47*(AE47/1000)*0.395*1,IF(AE47&gt;8,"",IF(AE47&lt;8,"")))</f>
        <v/>
      </c>
      <c r="AH47" s="107" t="str">
        <f aca="false">IF(AE47=10,AA47*AB47*AC47*AD47*(AE47/1000)*0.617*1,IF(AE47&gt;10,"",IF(AE47&lt;10,"")))</f>
        <v/>
      </c>
      <c r="AI47" s="107" t="str">
        <f aca="false">IF(AE47=12,AA47*AB47*AC47*AD47*(AE47/1000)*0.888*1,IF(AE47&gt;12,"",IF(AE47&lt;12,"")))</f>
        <v/>
      </c>
      <c r="AJ47" s="107" t="str">
        <f aca="false">IF(AE47=16,AA47*AB47*AC47*AD47*(AE47/1000)*1.578*1,IF(AE47&gt;16,"",IF(AE47&lt;16,"")))</f>
        <v/>
      </c>
      <c r="AK47" s="107" t="str">
        <f aca="false">IF(AE47=20,AA47*AB47*AC47*AD47*(AE47/1000)*2.466*1,IF(AE47&gt;20,"",IF(AE47&lt;20,"")))</f>
        <v/>
      </c>
      <c r="AL47" s="107" t="str">
        <f aca="false">IF(AE47=25,AA47*AB47*AC47*AD47*(AE47/1000)*3.853*1,IF(AE47&gt;25,"",IF(AE47&lt;25,"")))</f>
        <v/>
      </c>
      <c r="AM47" s="115" t="str">
        <f aca="false">IF(AE47=32,AA47*AB47*AC47*AD47*(AE47/1000)*6.313*1,IF(AE47&gt;32,"",IF(AE47&lt;32,"")))</f>
        <v/>
      </c>
      <c r="AN47" s="128"/>
      <c r="AO47" s="117" t="s">
        <v>185</v>
      </c>
      <c r="AP47" s="118" t="n">
        <f aca="false">SUM(R47:Y47)+SUM(AN47)</f>
        <v>0</v>
      </c>
      <c r="AQ47" s="118" t="n">
        <f aca="false">SUM(AF47:AM47)</f>
        <v>0</v>
      </c>
      <c r="AR47" s="118" t="n">
        <v>0.818</v>
      </c>
      <c r="AS47" s="119" t="s">
        <v>371</v>
      </c>
      <c r="AT47" s="119" t="s">
        <v>209</v>
      </c>
    </row>
    <row r="48" s="55" customFormat="true" ht="13.5" hidden="false" customHeight="false" outlineLevel="0" collapsed="false">
      <c r="A48" s="129"/>
      <c r="B48" s="172"/>
      <c r="C48" s="110"/>
      <c r="D48" s="122"/>
      <c r="E48" s="122"/>
      <c r="F48" s="173"/>
      <c r="G48" s="123"/>
      <c r="H48" s="101"/>
      <c r="I48" s="123"/>
      <c r="J48" s="101"/>
      <c r="K48" s="124" t="s">
        <v>372</v>
      </c>
      <c r="L48" s="125"/>
      <c r="M48" s="125"/>
      <c r="N48" s="126" t="n">
        <f aca="false">$C$47</f>
        <v>1</v>
      </c>
      <c r="O48" s="126" t="n">
        <v>2</v>
      </c>
      <c r="P48" s="126" t="n">
        <v>8</v>
      </c>
      <c r="Q48" s="127" t="n">
        <f aca="false">$E$47/0.15</f>
        <v>27.2666666666667</v>
      </c>
      <c r="R48" s="105" t="str">
        <f aca="false">IF(P48=6,N48*O48*Q48*0.222*1,IF(P48&gt;6,"",IF(P48&lt;6,"")))</f>
        <v/>
      </c>
      <c r="S48" s="106" t="n">
        <f aca="false">IF(P48=8,N48*O48*Q48*0.395*1,IF(P48&gt;8,"",IF(P48&lt;8,"")))</f>
        <v>21.5406666666667</v>
      </c>
      <c r="T48" s="106" t="str">
        <f aca="false">IF(P48=10,N48*O48*Q48*0.617*1,IF(P48&gt;10,"",IF(P48&lt;10,"")))</f>
        <v/>
      </c>
      <c r="U48" s="106" t="str">
        <f aca="false">IF(P48=12,N48*O48*Q48*0.888*1,IF(P48&gt;12,"",IF(P48&lt;12,"")))</f>
        <v/>
      </c>
      <c r="V48" s="107" t="str">
        <f aca="false">IF(P48=16,N48*O48*Q48*1.578*1,IF(P48&gt;16,"",IF(P48&lt;16,"")))</f>
        <v/>
      </c>
      <c r="W48" s="106" t="str">
        <f aca="false">IF(P48=20,N48*O48*Q48*2.466*1,IF(P48&gt;20,"",IF(P48&lt;20,"")))</f>
        <v/>
      </c>
      <c r="X48" s="106" t="str">
        <f aca="false">IF(P48=25,N48*O48*Q48*3.853*1,IF(P48&gt;25,"",IF(P48&lt;25,"")))</f>
        <v/>
      </c>
      <c r="Y48" s="108" t="str">
        <f aca="false">IF(P48=32,N48*O48*Q48*6.313*1,IF(P48&gt;32,"",IF(P48&lt;32,"")))</f>
        <v/>
      </c>
      <c r="Z48" s="109"/>
      <c r="AA48" s="110" t="str">
        <f aca="false">IF(AC48&gt;0,N48,"")</f>
        <v/>
      </c>
      <c r="AB48" s="111" t="str">
        <f aca="false">IF(AC48&gt;0,O48,"")</f>
        <v/>
      </c>
      <c r="AC48" s="112"/>
      <c r="AD48" s="112"/>
      <c r="AE48" s="113" t="str">
        <f aca="false">IF(AC48&gt;0,P48,"")</f>
        <v/>
      </c>
      <c r="AF48" s="114" t="str">
        <f aca="false">IF(AE48=6,AA48*AB48*AC48*AD48*(AE48/1000)*0.222*1,IF(AE48&gt;6,"",IF(AE48&lt;6,"")))</f>
        <v/>
      </c>
      <c r="AG48" s="107" t="str">
        <f aca="false">IF(AE48=8,AA48*AB48*AC48*AD48*(AE48/1000)*0.395*1,IF(AE48&gt;8,"",IF(AE48&lt;8,"")))</f>
        <v/>
      </c>
      <c r="AH48" s="107" t="str">
        <f aca="false">IF(AE48=10,AA48*AB48*AC48*AD48*(AE48/1000)*0.617*1,IF(AE48&gt;10,"",IF(AE48&lt;10,"")))</f>
        <v/>
      </c>
      <c r="AI48" s="107" t="str">
        <f aca="false">IF(AE48=12,AA48*AB48*AC48*AD48*(AE48/1000)*0.888*1,IF(AE48&gt;12,"",IF(AE48&lt;12,"")))</f>
        <v/>
      </c>
      <c r="AJ48" s="107" t="str">
        <f aca="false">IF(AE48=16,AA48*AB48*AC48*AD48*(AE48/1000)*1.578*1,IF(AE48&gt;16,"",IF(AE48&lt;16,"")))</f>
        <v/>
      </c>
      <c r="AK48" s="107" t="str">
        <f aca="false">IF(AE48=20,AA48*AB48*AC48*AD48*(AE48/1000)*2.466*1,IF(AE48&gt;20,"",IF(AE48&lt;20,"")))</f>
        <v/>
      </c>
      <c r="AL48" s="107" t="str">
        <f aca="false">IF(AE48=25,AA48*AB48*AC48*AD48*(AE48/1000)*3.853*1,IF(AE48&gt;25,"",IF(AE48&lt;25,"")))</f>
        <v/>
      </c>
      <c r="AM48" s="115" t="str">
        <f aca="false">IF(AE48=32,AA48*AB48*AC48*AD48*(AE48/1000)*6.313*1,IF(AE48&gt;32,"",IF(AE48&lt;32,"")))</f>
        <v/>
      </c>
      <c r="AN48" s="128"/>
      <c r="AO48" s="117" t="s">
        <v>185</v>
      </c>
      <c r="AP48" s="118" t="n">
        <f aca="false">SUM(R48:Y48)+SUM(AN48)</f>
        <v>21.5406666666667</v>
      </c>
      <c r="AQ48" s="118" t="n">
        <f aca="false">SUM(AF48:AM48)</f>
        <v>0</v>
      </c>
      <c r="AR48" s="118"/>
      <c r="AS48" s="119"/>
      <c r="AT48" s="119" t="s">
        <v>162</v>
      </c>
    </row>
    <row r="49" s="55" customFormat="true" ht="13.5" hidden="false" customHeight="false" outlineLevel="0" collapsed="false">
      <c r="A49" s="129"/>
      <c r="B49" s="172"/>
      <c r="C49" s="110"/>
      <c r="D49" s="122"/>
      <c r="E49" s="122"/>
      <c r="F49" s="173"/>
      <c r="G49" s="123"/>
      <c r="H49" s="101"/>
      <c r="I49" s="123"/>
      <c r="J49" s="101"/>
      <c r="K49" s="124" t="s">
        <v>373</v>
      </c>
      <c r="L49" s="125"/>
      <c r="M49" s="125"/>
      <c r="N49" s="126" t="n">
        <f aca="false">$C$47</f>
        <v>1</v>
      </c>
      <c r="O49" s="126" t="n">
        <v>2</v>
      </c>
      <c r="P49" s="126" t="n">
        <v>8</v>
      </c>
      <c r="Q49" s="127" t="n">
        <f aca="false">$E$47/0.15</f>
        <v>27.2666666666667</v>
      </c>
      <c r="R49" s="105" t="str">
        <f aca="false">IF(P49=6,N49*O49*Q49*0.222*1,IF(P49&gt;6,"",IF(P49&lt;6,"")))</f>
        <v/>
      </c>
      <c r="S49" s="106" t="n">
        <f aca="false">IF(P49=8,N49*O49*Q49*0.395*1,IF(P49&gt;8,"",IF(P49&lt;8,"")))</f>
        <v>21.5406666666667</v>
      </c>
      <c r="T49" s="106" t="str">
        <f aca="false">IF(P49=10,N49*O49*Q49*0.617*1,IF(P49&gt;10,"",IF(P49&lt;10,"")))</f>
        <v/>
      </c>
      <c r="U49" s="106" t="str">
        <f aca="false">IF(P49=12,N49*O49*Q49*0.888*1,IF(P49&gt;12,"",IF(P49&lt;12,"")))</f>
        <v/>
      </c>
      <c r="V49" s="107" t="str">
        <f aca="false">IF(P49=16,N49*O49*Q49*1.578*1,IF(P49&gt;16,"",IF(P49&lt;16,"")))</f>
        <v/>
      </c>
      <c r="W49" s="106" t="str">
        <f aca="false">IF(P49=20,N49*O49*Q49*2.466*1,IF(P49&gt;20,"",IF(P49&lt;20,"")))</f>
        <v/>
      </c>
      <c r="X49" s="106" t="str">
        <f aca="false">IF(P49=25,N49*O49*Q49*3.853*1,IF(P49&gt;25,"",IF(P49&lt;25,"")))</f>
        <v/>
      </c>
      <c r="Y49" s="108" t="str">
        <f aca="false">IF(P49=32,N49*O49*Q49*6.313*1,IF(P49&gt;32,"",IF(P49&lt;32,"")))</f>
        <v/>
      </c>
      <c r="Z49" s="109"/>
      <c r="AA49" s="110" t="str">
        <f aca="false">IF(AC49&gt;0,N49,"")</f>
        <v/>
      </c>
      <c r="AB49" s="111" t="str">
        <f aca="false">IF(AC49&gt;0,O49,"")</f>
        <v/>
      </c>
      <c r="AC49" s="112"/>
      <c r="AD49" s="112"/>
      <c r="AE49" s="113" t="str">
        <f aca="false">IF(AC49&gt;0,P49,"")</f>
        <v/>
      </c>
      <c r="AF49" s="114" t="str">
        <f aca="false">IF(AE49=6,AA49*AB49*AC49*AD49*(AE49/1000)*0.222*1,IF(AE49&gt;6,"",IF(AE49&lt;6,"")))</f>
        <v/>
      </c>
      <c r="AG49" s="107" t="str">
        <f aca="false">IF(AE49=8,AA49*AB49*AC49*AD49*(AE49/1000)*0.395*1,IF(AE49&gt;8,"",IF(AE49&lt;8,"")))</f>
        <v/>
      </c>
      <c r="AH49" s="107" t="str">
        <f aca="false">IF(AE49=10,AA49*AB49*AC49*AD49*(AE49/1000)*0.617*1,IF(AE49&gt;10,"",IF(AE49&lt;10,"")))</f>
        <v/>
      </c>
      <c r="AI49" s="107" t="str">
        <f aca="false">IF(AE49=12,AA49*AB49*AC49*AD49*(AE49/1000)*0.888*1,IF(AE49&gt;12,"",IF(AE49&lt;12,"")))</f>
        <v/>
      </c>
      <c r="AJ49" s="107" t="str">
        <f aca="false">IF(AE49=16,AA49*AB49*AC49*AD49*(AE49/1000)*1.578*1,IF(AE49&gt;16,"",IF(AE49&lt;16,"")))</f>
        <v/>
      </c>
      <c r="AK49" s="107" t="str">
        <f aca="false">IF(AE49=20,AA49*AB49*AC49*AD49*(AE49/1000)*2.466*1,IF(AE49&gt;20,"",IF(AE49&lt;20,"")))</f>
        <v/>
      </c>
      <c r="AL49" s="107" t="str">
        <f aca="false">IF(AE49=25,AA49*AB49*AC49*AD49*(AE49/1000)*3.853*1,IF(AE49&gt;25,"",IF(AE49&lt;25,"")))</f>
        <v/>
      </c>
      <c r="AM49" s="115" t="str">
        <f aca="false">IF(AE49=32,AA49*AB49*AC49*AD49*(AE49/1000)*6.313*1,IF(AE49&gt;32,"",IF(AE49&lt;32,"")))</f>
        <v/>
      </c>
      <c r="AN49" s="128"/>
      <c r="AO49" s="117" t="s">
        <v>185</v>
      </c>
      <c r="AP49" s="118" t="n">
        <f aca="false">SUM(R49:Y49)+SUM(AN49)</f>
        <v>21.5406666666667</v>
      </c>
      <c r="AQ49" s="118" t="n">
        <f aca="false">SUM(AF49:AM49)</f>
        <v>0</v>
      </c>
      <c r="AR49" s="118"/>
      <c r="AS49" s="119"/>
      <c r="AT49" s="119" t="s">
        <v>162</v>
      </c>
    </row>
    <row r="50" s="55" customFormat="true" ht="13.5" hidden="false" customHeight="false" outlineLevel="0" collapsed="false">
      <c r="A50" s="129"/>
      <c r="B50" s="172"/>
      <c r="C50" s="110"/>
      <c r="D50" s="122"/>
      <c r="E50" s="122"/>
      <c r="F50" s="173"/>
      <c r="G50" s="123"/>
      <c r="H50" s="101"/>
      <c r="I50" s="123"/>
      <c r="J50" s="101"/>
      <c r="K50" s="124" t="s">
        <v>374</v>
      </c>
      <c r="L50" s="125" t="n">
        <v>9.8</v>
      </c>
      <c r="M50" s="125" t="n">
        <v>0.15</v>
      </c>
      <c r="N50" s="126" t="n">
        <f aca="false">$C$47</f>
        <v>1</v>
      </c>
      <c r="O50" s="126" t="n">
        <f aca="false">CEILING(L50/M50,1)+1</f>
        <v>67</v>
      </c>
      <c r="P50" s="126" t="n">
        <v>8</v>
      </c>
      <c r="Q50" s="127" t="n">
        <f aca="false">50*8/1000</f>
        <v>0.4</v>
      </c>
      <c r="R50" s="105" t="str">
        <f aca="false">IF(P50=6,N50*O50*Q50*0.222*1,IF(P50&gt;6,"",IF(P50&lt;6,"")))</f>
        <v/>
      </c>
      <c r="S50" s="106" t="n">
        <f aca="false">IF(P50=8,N50*O50*Q50*0.395*1,IF(P50&gt;8,"",IF(P50&lt;8,"")))</f>
        <v>10.586</v>
      </c>
      <c r="T50" s="106" t="str">
        <f aca="false">IF(P50=10,N50*O50*Q50*0.617*1,IF(P50&gt;10,"",IF(P50&lt;10,"")))</f>
        <v/>
      </c>
      <c r="U50" s="106" t="str">
        <f aca="false">IF(P50=12,N50*O50*Q50*0.888*1,IF(P50&gt;12,"",IF(P50&lt;12,"")))</f>
        <v/>
      </c>
      <c r="V50" s="107" t="str">
        <f aca="false">IF(P50=16,N50*O50*Q50*1.578*1,IF(P50&gt;16,"",IF(P50&lt;16,"")))</f>
        <v/>
      </c>
      <c r="W50" s="106" t="str">
        <f aca="false">IF(P50=20,N50*O50*Q50*2.466*1,IF(P50&gt;20,"",IF(P50&lt;20,"")))</f>
        <v/>
      </c>
      <c r="X50" s="106" t="str">
        <f aca="false">IF(P50=25,N50*O50*Q50*3.853*1,IF(P50&gt;25,"",IF(P50&lt;25,"")))</f>
        <v/>
      </c>
      <c r="Y50" s="108" t="str">
        <f aca="false">IF(P50=32,N50*O50*Q50*6.313*1,IF(P50&gt;32,"",IF(P50&lt;32,"")))</f>
        <v/>
      </c>
      <c r="Z50" s="109"/>
      <c r="AA50" s="110" t="str">
        <f aca="false">IF(AC50&gt;0,N50,"")</f>
        <v/>
      </c>
      <c r="AB50" s="111" t="str">
        <f aca="false">IF(AC50&gt;0,O50,"")</f>
        <v/>
      </c>
      <c r="AC50" s="112"/>
      <c r="AD50" s="112"/>
      <c r="AE50" s="113" t="str">
        <f aca="false">IF(AC50&gt;0,P50,"")</f>
        <v/>
      </c>
      <c r="AF50" s="114" t="str">
        <f aca="false">IF(AE50=6,AA50*AB50*AC50*AD50*(AE50/1000)*0.222*1,IF(AE50&gt;6,"",IF(AE50&lt;6,"")))</f>
        <v/>
      </c>
      <c r="AG50" s="107" t="str">
        <f aca="false">IF(AE50=8,AA50*AB50*AC50*AD50*(AE50/1000)*0.395*1,IF(AE50&gt;8,"",IF(AE50&lt;8,"")))</f>
        <v/>
      </c>
      <c r="AH50" s="107" t="str">
        <f aca="false">IF(AE50=10,AA50*AB50*AC50*AD50*(AE50/1000)*0.617*1,IF(AE50&gt;10,"",IF(AE50&lt;10,"")))</f>
        <v/>
      </c>
      <c r="AI50" s="107" t="str">
        <f aca="false">IF(AE50=12,AA50*AB50*AC50*AD50*(AE50/1000)*0.888*1,IF(AE50&gt;12,"",IF(AE50&lt;12,"")))</f>
        <v/>
      </c>
      <c r="AJ50" s="107" t="str">
        <f aca="false">IF(AE50=16,AA50*AB50*AC50*AD50*(AE50/1000)*1.578*1,IF(AE50&gt;16,"",IF(AE50&lt;16,"")))</f>
        <v/>
      </c>
      <c r="AK50" s="107" t="str">
        <f aca="false">IF(AE50=20,AA50*AB50*AC50*AD50*(AE50/1000)*2.466*1,IF(AE50&gt;20,"",IF(AE50&lt;20,"")))</f>
        <v/>
      </c>
      <c r="AL50" s="107" t="str">
        <f aca="false">IF(AE50=25,AA50*AB50*AC50*AD50*(AE50/1000)*3.853*1,IF(AE50&gt;25,"",IF(AE50&lt;25,"")))</f>
        <v/>
      </c>
      <c r="AM50" s="115" t="str">
        <f aca="false">IF(AE50=32,AA50*AB50*AC50*AD50*(AE50/1000)*6.313*1,IF(AE50&gt;32,"",IF(AE50&lt;32,"")))</f>
        <v/>
      </c>
      <c r="AN50" s="128"/>
      <c r="AO50" s="117" t="s">
        <v>185</v>
      </c>
      <c r="AP50" s="118" t="n">
        <f aca="false">SUM(R50:Y50)+SUM(AN50)</f>
        <v>10.586</v>
      </c>
      <c r="AQ50" s="118" t="n">
        <f aca="false">SUM(AF50:AM50)</f>
        <v>0</v>
      </c>
      <c r="AR50" s="118"/>
      <c r="AS50" s="119" t="s">
        <v>338</v>
      </c>
      <c r="AT50" s="119" t="s">
        <v>162</v>
      </c>
    </row>
    <row r="51" customFormat="false" ht="13.5" hidden="false" customHeight="false" outlineLevel="0" collapsed="false">
      <c r="A51" s="129"/>
      <c r="B51" s="172"/>
      <c r="C51" s="110"/>
      <c r="D51" s="122"/>
      <c r="E51" s="122"/>
      <c r="F51" s="173"/>
      <c r="G51" s="123"/>
      <c r="H51" s="101"/>
      <c r="I51" s="123"/>
      <c r="J51" s="101"/>
      <c r="K51" s="124" t="s">
        <v>375</v>
      </c>
      <c r="L51" s="125" t="n">
        <v>9.8</v>
      </c>
      <c r="M51" s="125" t="n">
        <v>0.15</v>
      </c>
      <c r="N51" s="126" t="n">
        <f aca="false">$C$47</f>
        <v>1</v>
      </c>
      <c r="O51" s="126" t="n">
        <f aca="false">CEILING(L51/M51,1)+1</f>
        <v>67</v>
      </c>
      <c r="P51" s="126" t="n">
        <v>8</v>
      </c>
      <c r="Q51" s="127" t="n">
        <f aca="false">10*8/1000</f>
        <v>0.08</v>
      </c>
      <c r="R51" s="105" t="str">
        <f aca="false">IF(P51=6,N51*O51*Q51*0.222*1,IF(P51&gt;6,"",IF(P51&lt;6,"")))</f>
        <v/>
      </c>
      <c r="S51" s="106" t="n">
        <f aca="false">IF(P51=8,N51*O51*Q51*0.395*1,IF(P51&gt;8,"",IF(P51&lt;8,"")))</f>
        <v>2.1172</v>
      </c>
      <c r="T51" s="106" t="str">
        <f aca="false">IF(P51=10,N51*O51*Q51*0.617*1,IF(P51&gt;10,"",IF(P51&lt;10,"")))</f>
        <v/>
      </c>
      <c r="U51" s="106" t="str">
        <f aca="false">IF(P51=12,N51*O51*Q51*0.888*1,IF(P51&gt;12,"",IF(P51&lt;12,"")))</f>
        <v/>
      </c>
      <c r="V51" s="107" t="str">
        <f aca="false">IF(P51=16,N51*O51*Q51*1.578*1,IF(P51&gt;16,"",IF(P51&lt;16,"")))</f>
        <v/>
      </c>
      <c r="W51" s="106" t="str">
        <f aca="false">IF(P51=20,N51*O51*Q51*2.466*1,IF(P51&gt;20,"",IF(P51&lt;20,"")))</f>
        <v/>
      </c>
      <c r="X51" s="106" t="str">
        <f aca="false">IF(P51=25,N51*O51*Q51*3.853*1,IF(P51&gt;25,"",IF(P51&lt;25,"")))</f>
        <v/>
      </c>
      <c r="Y51" s="108" t="str">
        <f aca="false">IF(P51=32,N51*O51*Q51*6.313*1,IF(P51&gt;32,"",IF(P51&lt;32,"")))</f>
        <v/>
      </c>
      <c r="Z51" s="109"/>
      <c r="AA51" s="110" t="str">
        <f aca="false">IF(AC51&gt;0,N51,"")</f>
        <v/>
      </c>
      <c r="AB51" s="111" t="str">
        <f aca="false">IF(AC51&gt;0,O51,"")</f>
        <v/>
      </c>
      <c r="AC51" s="112"/>
      <c r="AD51" s="112"/>
      <c r="AE51" s="113" t="str">
        <f aca="false">IF(AC51&gt;0,P51,"")</f>
        <v/>
      </c>
      <c r="AF51" s="114" t="str">
        <f aca="false">IF(AE51=6,AA51*AB51*AC51*AD51*(AE51/1000)*0.222*1,IF(AE51&gt;6,"",IF(AE51&lt;6,"")))</f>
        <v/>
      </c>
      <c r="AG51" s="107" t="str">
        <f aca="false">IF(AE51=8,AA51*AB51*AC51*AD51*(AE51/1000)*0.395*1,IF(AE51&gt;8,"",IF(AE51&lt;8,"")))</f>
        <v/>
      </c>
      <c r="AH51" s="107" t="str">
        <f aca="false">IF(AE51=10,AA51*AB51*AC51*AD51*(AE51/1000)*0.617*1,IF(AE51&gt;10,"",IF(AE51&lt;10,"")))</f>
        <v/>
      </c>
      <c r="AI51" s="107" t="str">
        <f aca="false">IF(AE51=12,AA51*AB51*AC51*AD51*(AE51/1000)*0.888*1,IF(AE51&gt;12,"",IF(AE51&lt;12,"")))</f>
        <v/>
      </c>
      <c r="AJ51" s="107" t="str">
        <f aca="false">IF(AE51=16,AA51*AB51*AC51*AD51*(AE51/1000)*1.578*1,IF(AE51&gt;16,"",IF(AE51&lt;16,"")))</f>
        <v/>
      </c>
      <c r="AK51" s="107" t="str">
        <f aca="false">IF(AE51=20,AA51*AB51*AC51*AD51*(AE51/1000)*2.466*1,IF(AE51&gt;20,"",IF(AE51&lt;20,"")))</f>
        <v/>
      </c>
      <c r="AL51" s="107" t="str">
        <f aca="false">IF(AE51=25,AA51*AB51*AC51*AD51*(AE51/1000)*3.853*1,IF(AE51&gt;25,"",IF(AE51&lt;25,"")))</f>
        <v/>
      </c>
      <c r="AM51" s="115" t="str">
        <f aca="false">IF(AE51=32,AA51*AB51*AC51*AD51*(AE51/1000)*6.313*1,IF(AE51&gt;32,"",IF(AE51&lt;32,"")))</f>
        <v/>
      </c>
      <c r="AN51" s="128"/>
      <c r="AO51" s="117" t="s">
        <v>185</v>
      </c>
      <c r="AP51" s="118" t="n">
        <f aca="false">SUM(R51:Y51)+SUM(AN51)</f>
        <v>2.1172</v>
      </c>
      <c r="AQ51" s="118" t="n">
        <f aca="false">SUM(AF51:AM51)</f>
        <v>0</v>
      </c>
      <c r="AR51" s="118"/>
      <c r="AS51" s="119" t="s">
        <v>340</v>
      </c>
      <c r="AT51" s="119" t="s">
        <v>341</v>
      </c>
    </row>
    <row r="52" customFormat="false" ht="13.5" hidden="false" customHeight="false" outlineLevel="0" collapsed="false">
      <c r="A52" s="129"/>
      <c r="B52" s="130"/>
      <c r="C52" s="110"/>
      <c r="D52" s="122"/>
      <c r="E52" s="122"/>
      <c r="F52" s="122"/>
      <c r="G52" s="123"/>
      <c r="H52" s="101"/>
      <c r="I52" s="123"/>
      <c r="J52" s="101"/>
      <c r="K52" s="124"/>
      <c r="L52" s="125"/>
      <c r="M52" s="125"/>
      <c r="N52" s="126"/>
      <c r="O52" s="126"/>
      <c r="P52" s="126"/>
      <c r="Q52" s="127"/>
      <c r="R52" s="105"/>
      <c r="S52" s="106"/>
      <c r="T52" s="106"/>
      <c r="U52" s="106"/>
      <c r="V52" s="107"/>
      <c r="W52" s="106"/>
      <c r="X52" s="106"/>
      <c r="Y52" s="108"/>
      <c r="Z52" s="109"/>
      <c r="AA52" s="110"/>
      <c r="AB52" s="111"/>
      <c r="AC52" s="112"/>
      <c r="AD52" s="112"/>
      <c r="AE52" s="113"/>
      <c r="AF52" s="114"/>
      <c r="AG52" s="107"/>
      <c r="AH52" s="107"/>
      <c r="AI52" s="107"/>
      <c r="AJ52" s="107"/>
      <c r="AK52" s="107"/>
      <c r="AL52" s="107"/>
      <c r="AM52" s="115"/>
      <c r="AO52" s="117"/>
      <c r="AP52" s="118"/>
      <c r="AQ52" s="118"/>
      <c r="AR52" s="118"/>
      <c r="AS52" s="119"/>
      <c r="AT52" s="119"/>
    </row>
    <row r="53" s="55" customFormat="true" ht="13.5" hidden="false" customHeight="false" outlineLevel="0" collapsed="false">
      <c r="A53" s="96"/>
      <c r="B53" s="97" t="s">
        <v>376</v>
      </c>
      <c r="C53" s="98"/>
      <c r="D53" s="99"/>
      <c r="E53" s="99"/>
      <c r="F53" s="99"/>
      <c r="G53" s="100"/>
      <c r="H53" s="101"/>
      <c r="I53" s="100"/>
      <c r="J53" s="101"/>
      <c r="K53" s="102"/>
      <c r="L53" s="103"/>
      <c r="M53" s="103"/>
      <c r="N53" s="104"/>
      <c r="O53" s="104"/>
      <c r="P53" s="104"/>
      <c r="Q53" s="100"/>
      <c r="R53" s="105"/>
      <c r="S53" s="106"/>
      <c r="T53" s="106"/>
      <c r="U53" s="106"/>
      <c r="V53" s="107"/>
      <c r="W53" s="106"/>
      <c r="X53" s="106"/>
      <c r="Y53" s="108"/>
      <c r="Z53" s="109"/>
      <c r="AA53" s="110"/>
      <c r="AB53" s="111"/>
      <c r="AC53" s="112"/>
      <c r="AD53" s="112"/>
      <c r="AE53" s="113"/>
      <c r="AF53" s="114"/>
      <c r="AG53" s="107"/>
      <c r="AH53" s="107"/>
      <c r="AI53" s="107"/>
      <c r="AJ53" s="107"/>
      <c r="AK53" s="107"/>
      <c r="AL53" s="107"/>
      <c r="AM53" s="115"/>
      <c r="AO53" s="117"/>
      <c r="AP53" s="118"/>
      <c r="AQ53" s="118"/>
      <c r="AR53" s="118"/>
      <c r="AS53" s="119"/>
      <c r="AT53" s="119"/>
    </row>
    <row r="54" s="95" customFormat="true" ht="13.5" hidden="false" customHeight="false" outlineLevel="0" collapsed="false">
      <c r="A54" s="120"/>
      <c r="B54" s="121" t="s">
        <v>377</v>
      </c>
      <c r="C54" s="110" t="n">
        <v>1</v>
      </c>
      <c r="D54" s="122"/>
      <c r="E54" s="122" t="n">
        <v>3.4485</v>
      </c>
      <c r="F54" s="122" t="n">
        <v>0.2</v>
      </c>
      <c r="G54" s="123" t="n">
        <f aca="false">C54*E54*F54</f>
        <v>0.6897</v>
      </c>
      <c r="H54" s="101"/>
      <c r="I54" s="123" t="n">
        <f aca="false">C54*E54</f>
        <v>3.4485</v>
      </c>
      <c r="J54" s="101"/>
      <c r="K54" s="124"/>
      <c r="L54" s="125"/>
      <c r="M54" s="125"/>
      <c r="N54" s="126"/>
      <c r="O54" s="126"/>
      <c r="P54" s="126"/>
      <c r="Q54" s="127"/>
      <c r="R54" s="105" t="str">
        <f aca="false">IF(P54=6,N54*O54*Q54*0.222*1,IF(P54&gt;6,"",IF(P54&lt;6,"")))</f>
        <v/>
      </c>
      <c r="S54" s="106" t="str">
        <f aca="false">IF(P54=8,N54*O54*Q54*0.395*1,IF(P54&gt;8,"",IF(P54&lt;8,"")))</f>
        <v/>
      </c>
      <c r="T54" s="106" t="str">
        <f aca="false">IF(P54=10,N54*O54*Q54*0.617*1,IF(P54&gt;10,"",IF(P54&lt;10,"")))</f>
        <v/>
      </c>
      <c r="U54" s="106" t="str">
        <f aca="false">IF(P54=12,N54*O54*Q54*0.888*1,IF(P54&gt;12,"",IF(P54&lt;12,"")))</f>
        <v/>
      </c>
      <c r="V54" s="107" t="str">
        <f aca="false">IF(P54=16,N54*O54*Q54*1.578*1,IF(P54&gt;16,"",IF(P54&lt;16,"")))</f>
        <v/>
      </c>
      <c r="W54" s="106" t="str">
        <f aca="false">IF(P54=20,N54*O54*Q54*2.466*1,IF(P54&gt;20,"",IF(P54&lt;20,"")))</f>
        <v/>
      </c>
      <c r="X54" s="106" t="str">
        <f aca="false">IF(P54=25,N54*O54*Q54*3.853*1,IF(P54&gt;25,"",IF(P54&lt;25,"")))</f>
        <v/>
      </c>
      <c r="Y54" s="108" t="str">
        <f aca="false">IF(P54=32,N54*O54*Q54*6.313*1,IF(P54&gt;32,"",IF(P54&lt;32,"")))</f>
        <v/>
      </c>
      <c r="Z54" s="109"/>
      <c r="AA54" s="110" t="str">
        <f aca="false">IF(AC54&gt;0,N54,"")</f>
        <v/>
      </c>
      <c r="AB54" s="111" t="str">
        <f aca="false">IF(AC54&gt;0,O54,"")</f>
        <v/>
      </c>
      <c r="AC54" s="112"/>
      <c r="AD54" s="112"/>
      <c r="AE54" s="113" t="str">
        <f aca="false">IF(AC54&gt;0,P54,"")</f>
        <v/>
      </c>
      <c r="AF54" s="114" t="str">
        <f aca="false">IF(AE54=6,AA54*AB54*AC54*AD54*(AE54/1000)*0.222*1,IF(AE54&gt;6,"",IF(AE54&lt;6,"")))</f>
        <v/>
      </c>
      <c r="AG54" s="107" t="str">
        <f aca="false">IF(AE54=8,AA54*AB54*AC54*AD54*(AE54/1000)*0.395*1,IF(AE54&gt;8,"",IF(AE54&lt;8,"")))</f>
        <v/>
      </c>
      <c r="AH54" s="107" t="str">
        <f aca="false">IF(AE54=10,AA54*AB54*AC54*AD54*(AE54/1000)*0.617*1,IF(AE54&gt;10,"",IF(AE54&lt;10,"")))</f>
        <v/>
      </c>
      <c r="AI54" s="107" t="str">
        <f aca="false">IF(AE54=12,AA54*AB54*AC54*AD54*(AE54/1000)*0.888*1,IF(AE54&gt;12,"",IF(AE54&lt;12,"")))</f>
        <v/>
      </c>
      <c r="AJ54" s="107" t="str">
        <f aca="false">IF(AE54=16,AA54*AB54*AC54*AD54*(AE54/1000)*1.578*1,IF(AE54&gt;16,"",IF(AE54&lt;16,"")))</f>
        <v/>
      </c>
      <c r="AK54" s="107" t="str">
        <f aca="false">IF(AE54=20,AA54*AB54*AC54*AD54*(AE54/1000)*2.466*1,IF(AE54&gt;20,"",IF(AE54&lt;20,"")))</f>
        <v/>
      </c>
      <c r="AL54" s="107" t="str">
        <f aca="false">IF(AE54=25,AA54*AB54*AC54*AD54*(AE54/1000)*3.853*1,IF(AE54&gt;25,"",IF(AE54&lt;25,"")))</f>
        <v/>
      </c>
      <c r="AM54" s="115" t="str">
        <f aca="false">IF(AE54=32,AA54*AB54*AC54*AD54*(AE54/1000)*6.313*1,IF(AE54&gt;32,"",IF(AE54&lt;32,"")))</f>
        <v/>
      </c>
      <c r="AN54" s="128"/>
      <c r="AO54" s="117" t="s">
        <v>188</v>
      </c>
      <c r="AP54" s="118" t="n">
        <f aca="false">SUM(R54:Y54)+SUM(AN54)</f>
        <v>0</v>
      </c>
      <c r="AQ54" s="118" t="n">
        <f aca="false">SUM(AF54:AM54)</f>
        <v>0</v>
      </c>
      <c r="AR54" s="118" t="n">
        <v>0.6897</v>
      </c>
      <c r="AS54" s="119" t="s">
        <v>378</v>
      </c>
      <c r="AT54" s="119" t="s">
        <v>209</v>
      </c>
    </row>
    <row r="55" s="116" customFormat="true" ht="13.5" hidden="false" customHeight="false" outlineLevel="0" collapsed="false">
      <c r="A55" s="129"/>
      <c r="B55" s="172"/>
      <c r="C55" s="110"/>
      <c r="D55" s="122"/>
      <c r="E55" s="122"/>
      <c r="F55" s="173"/>
      <c r="G55" s="123"/>
      <c r="H55" s="101"/>
      <c r="I55" s="123"/>
      <c r="J55" s="101"/>
      <c r="K55" s="124" t="s">
        <v>379</v>
      </c>
      <c r="L55" s="125"/>
      <c r="M55" s="125"/>
      <c r="N55" s="126" t="n">
        <f aca="false">$C$54</f>
        <v>1</v>
      </c>
      <c r="O55" s="126" t="n">
        <v>2</v>
      </c>
      <c r="P55" s="126" t="n">
        <v>10</v>
      </c>
      <c r="Q55" s="127" t="n">
        <f aca="false">$E$54/0.15</f>
        <v>22.99</v>
      </c>
      <c r="R55" s="105" t="str">
        <f aca="false">IF(P55=6,N55*O55*Q55*0.222*1,IF(P55&gt;6,"",IF(P55&lt;6,"")))</f>
        <v/>
      </c>
      <c r="S55" s="106" t="str">
        <f aca="false">IF(P55=8,N55*O55*Q55*0.395*1,IF(P55&gt;8,"",IF(P55&lt;8,"")))</f>
        <v/>
      </c>
      <c r="T55" s="106" t="n">
        <f aca="false">IF(P55=10,N55*O55*Q55*0.617*1,IF(P55&gt;10,"",IF(P55&lt;10,"")))</f>
        <v>28.36966</v>
      </c>
      <c r="U55" s="106" t="str">
        <f aca="false">IF(P55=12,N55*O55*Q55*0.888*1,IF(P55&gt;12,"",IF(P55&lt;12,"")))</f>
        <v/>
      </c>
      <c r="V55" s="107" t="str">
        <f aca="false">IF(P55=16,N55*O55*Q55*1.578*1,IF(P55&gt;16,"",IF(P55&lt;16,"")))</f>
        <v/>
      </c>
      <c r="W55" s="106" t="str">
        <f aca="false">IF(P55=20,N55*O55*Q55*2.466*1,IF(P55&gt;20,"",IF(P55&lt;20,"")))</f>
        <v/>
      </c>
      <c r="X55" s="106" t="str">
        <f aca="false">IF(P55=25,N55*O55*Q55*3.853*1,IF(P55&gt;25,"",IF(P55&lt;25,"")))</f>
        <v/>
      </c>
      <c r="Y55" s="108" t="str">
        <f aca="false">IF(P55=32,N55*O55*Q55*6.313*1,IF(P55&gt;32,"",IF(P55&lt;32,"")))</f>
        <v/>
      </c>
      <c r="Z55" s="109"/>
      <c r="AA55" s="110" t="str">
        <f aca="false">IF(AC55&gt;0,N55,"")</f>
        <v/>
      </c>
      <c r="AB55" s="111" t="str">
        <f aca="false">IF(AC55&gt;0,O55,"")</f>
        <v/>
      </c>
      <c r="AC55" s="112"/>
      <c r="AD55" s="112"/>
      <c r="AE55" s="113" t="str">
        <f aca="false">IF(AC55&gt;0,P55,"")</f>
        <v/>
      </c>
      <c r="AF55" s="114" t="str">
        <f aca="false">IF(AE55=6,AA55*AB55*AC55*AD55*(AE55/1000)*0.222*1,IF(AE55&gt;6,"",IF(AE55&lt;6,"")))</f>
        <v/>
      </c>
      <c r="AG55" s="107" t="str">
        <f aca="false">IF(AE55=8,AA55*AB55*AC55*AD55*(AE55/1000)*0.395*1,IF(AE55&gt;8,"",IF(AE55&lt;8,"")))</f>
        <v/>
      </c>
      <c r="AH55" s="107" t="str">
        <f aca="false">IF(AE55=10,AA55*AB55*AC55*AD55*(AE55/1000)*0.617*1,IF(AE55&gt;10,"",IF(AE55&lt;10,"")))</f>
        <v/>
      </c>
      <c r="AI55" s="107" t="str">
        <f aca="false">IF(AE55=12,AA55*AB55*AC55*AD55*(AE55/1000)*0.888*1,IF(AE55&gt;12,"",IF(AE55&lt;12,"")))</f>
        <v/>
      </c>
      <c r="AJ55" s="107" t="str">
        <f aca="false">IF(AE55=16,AA55*AB55*AC55*AD55*(AE55/1000)*1.578*1,IF(AE55&gt;16,"",IF(AE55&lt;16,"")))</f>
        <v/>
      </c>
      <c r="AK55" s="107" t="str">
        <f aca="false">IF(AE55=20,AA55*AB55*AC55*AD55*(AE55/1000)*2.466*1,IF(AE55&gt;20,"",IF(AE55&lt;20,"")))</f>
        <v/>
      </c>
      <c r="AL55" s="107" t="str">
        <f aca="false">IF(AE55=25,AA55*AB55*AC55*AD55*(AE55/1000)*3.853*1,IF(AE55&gt;25,"",IF(AE55&lt;25,"")))</f>
        <v/>
      </c>
      <c r="AM55" s="115" t="str">
        <f aca="false">IF(AE55=32,AA55*AB55*AC55*AD55*(AE55/1000)*6.313*1,IF(AE55&gt;32,"",IF(AE55&lt;32,"")))</f>
        <v/>
      </c>
      <c r="AN55" s="128"/>
      <c r="AO55" s="117" t="s">
        <v>188</v>
      </c>
      <c r="AP55" s="118" t="n">
        <f aca="false">SUM(R55:Y55)+SUM(AN55)</f>
        <v>28.36966</v>
      </c>
      <c r="AQ55" s="118" t="n">
        <f aca="false">SUM(AF55:AM55)</f>
        <v>0</v>
      </c>
      <c r="AR55" s="118"/>
      <c r="AS55" s="119"/>
      <c r="AT55" s="119" t="s">
        <v>162</v>
      </c>
    </row>
    <row r="56" customFormat="false" ht="13.5" hidden="false" customHeight="false" outlineLevel="0" collapsed="false">
      <c r="A56" s="129"/>
      <c r="B56" s="172"/>
      <c r="C56" s="110"/>
      <c r="D56" s="122"/>
      <c r="E56" s="122"/>
      <c r="F56" s="173"/>
      <c r="G56" s="123"/>
      <c r="H56" s="101"/>
      <c r="I56" s="123"/>
      <c r="J56" s="101"/>
      <c r="K56" s="124" t="s">
        <v>380</v>
      </c>
      <c r="L56" s="125"/>
      <c r="M56" s="125"/>
      <c r="N56" s="126" t="n">
        <f aca="false">$C$54</f>
        <v>1</v>
      </c>
      <c r="O56" s="126" t="n">
        <v>2</v>
      </c>
      <c r="P56" s="126" t="n">
        <v>10</v>
      </c>
      <c r="Q56" s="127" t="n">
        <f aca="false">$E$54/0.15</f>
        <v>22.99</v>
      </c>
      <c r="R56" s="105" t="str">
        <f aca="false">IF(P56=6,N56*O56*Q56*0.222*1,IF(P56&gt;6,"",IF(P56&lt;6,"")))</f>
        <v/>
      </c>
      <c r="S56" s="106" t="str">
        <f aca="false">IF(P56=8,N56*O56*Q56*0.395*1,IF(P56&gt;8,"",IF(P56&lt;8,"")))</f>
        <v/>
      </c>
      <c r="T56" s="106" t="n">
        <f aca="false">IF(P56=10,N56*O56*Q56*0.617*1,IF(P56&gt;10,"",IF(P56&lt;10,"")))</f>
        <v>28.36966</v>
      </c>
      <c r="U56" s="106" t="str">
        <f aca="false">IF(P56=12,N56*O56*Q56*0.888*1,IF(P56&gt;12,"",IF(P56&lt;12,"")))</f>
        <v/>
      </c>
      <c r="V56" s="107" t="str">
        <f aca="false">IF(P56=16,N56*O56*Q56*1.578*1,IF(P56&gt;16,"",IF(P56&lt;16,"")))</f>
        <v/>
      </c>
      <c r="W56" s="106" t="str">
        <f aca="false">IF(P56=20,N56*O56*Q56*2.466*1,IF(P56&gt;20,"",IF(P56&lt;20,"")))</f>
        <v/>
      </c>
      <c r="X56" s="106" t="str">
        <f aca="false">IF(P56=25,N56*O56*Q56*3.853*1,IF(P56&gt;25,"",IF(P56&lt;25,"")))</f>
        <v/>
      </c>
      <c r="Y56" s="108" t="str">
        <f aca="false">IF(P56=32,N56*O56*Q56*6.313*1,IF(P56&gt;32,"",IF(P56&lt;32,"")))</f>
        <v/>
      </c>
      <c r="Z56" s="109"/>
      <c r="AA56" s="110" t="str">
        <f aca="false">IF(AC56&gt;0,N56,"")</f>
        <v/>
      </c>
      <c r="AB56" s="111" t="str">
        <f aca="false">IF(AC56&gt;0,O56,"")</f>
        <v/>
      </c>
      <c r="AC56" s="112"/>
      <c r="AD56" s="112"/>
      <c r="AE56" s="113" t="str">
        <f aca="false">IF(AC56&gt;0,P56,"")</f>
        <v/>
      </c>
      <c r="AF56" s="114" t="str">
        <f aca="false">IF(AE56=6,AA56*AB56*AC56*AD56*(AE56/1000)*0.222*1,IF(AE56&gt;6,"",IF(AE56&lt;6,"")))</f>
        <v/>
      </c>
      <c r="AG56" s="107" t="str">
        <f aca="false">IF(AE56=8,AA56*AB56*AC56*AD56*(AE56/1000)*0.395*1,IF(AE56&gt;8,"",IF(AE56&lt;8,"")))</f>
        <v/>
      </c>
      <c r="AH56" s="107" t="str">
        <f aca="false">IF(AE56=10,AA56*AB56*AC56*AD56*(AE56/1000)*0.617*1,IF(AE56&gt;10,"",IF(AE56&lt;10,"")))</f>
        <v/>
      </c>
      <c r="AI56" s="107" t="str">
        <f aca="false">IF(AE56=12,AA56*AB56*AC56*AD56*(AE56/1000)*0.888*1,IF(AE56&gt;12,"",IF(AE56&lt;12,"")))</f>
        <v/>
      </c>
      <c r="AJ56" s="107" t="str">
        <f aca="false">IF(AE56=16,AA56*AB56*AC56*AD56*(AE56/1000)*1.578*1,IF(AE56&gt;16,"",IF(AE56&lt;16,"")))</f>
        <v/>
      </c>
      <c r="AK56" s="107" t="str">
        <f aca="false">IF(AE56=20,AA56*AB56*AC56*AD56*(AE56/1000)*2.466*1,IF(AE56&gt;20,"",IF(AE56&lt;20,"")))</f>
        <v/>
      </c>
      <c r="AL56" s="107" t="str">
        <f aca="false">IF(AE56=25,AA56*AB56*AC56*AD56*(AE56/1000)*3.853*1,IF(AE56&gt;25,"",IF(AE56&lt;25,"")))</f>
        <v/>
      </c>
      <c r="AM56" s="115" t="str">
        <f aca="false">IF(AE56=32,AA56*AB56*AC56*AD56*(AE56/1000)*6.313*1,IF(AE56&gt;32,"",IF(AE56&lt;32,"")))</f>
        <v/>
      </c>
      <c r="AN56" s="128"/>
      <c r="AO56" s="117" t="s">
        <v>188</v>
      </c>
      <c r="AP56" s="118" t="n">
        <f aca="false">SUM(R56:Y56)+SUM(AN56)</f>
        <v>28.36966</v>
      </c>
      <c r="AQ56" s="118" t="n">
        <f aca="false">SUM(AF56:AM56)</f>
        <v>0</v>
      </c>
      <c r="AR56" s="118"/>
      <c r="AS56" s="119"/>
      <c r="AT56" s="119" t="s">
        <v>162</v>
      </c>
    </row>
    <row r="57" customFormat="false" ht="13.5" hidden="false" customHeight="false" outlineLevel="0" collapsed="false">
      <c r="A57" s="129"/>
      <c r="B57" s="172"/>
      <c r="C57" s="110"/>
      <c r="D57" s="122"/>
      <c r="E57" s="122"/>
      <c r="F57" s="173"/>
      <c r="G57" s="123"/>
      <c r="H57" s="101"/>
      <c r="I57" s="123"/>
      <c r="J57" s="101"/>
      <c r="K57" s="124" t="s">
        <v>381</v>
      </c>
      <c r="L57" s="125" t="n">
        <v>7.48</v>
      </c>
      <c r="M57" s="125" t="n">
        <v>0.15</v>
      </c>
      <c r="N57" s="126" t="n">
        <f aca="false">$C$54</f>
        <v>1</v>
      </c>
      <c r="O57" s="126" t="n">
        <f aca="false">CEILING(L57/M57,1)+1</f>
        <v>51</v>
      </c>
      <c r="P57" s="126" t="n">
        <v>10</v>
      </c>
      <c r="Q57" s="127" t="n">
        <f aca="false">50*10/1000</f>
        <v>0.5</v>
      </c>
      <c r="R57" s="105" t="str">
        <f aca="false">IF(P57=6,N57*O57*Q57*0.222*1,IF(P57&gt;6,"",IF(P57&lt;6,"")))</f>
        <v/>
      </c>
      <c r="S57" s="106" t="str">
        <f aca="false">IF(P57=8,N57*O57*Q57*0.395*1,IF(P57&gt;8,"",IF(P57&lt;8,"")))</f>
        <v/>
      </c>
      <c r="T57" s="106" t="n">
        <f aca="false">IF(P57=10,N57*O57*Q57*0.617*1,IF(P57&gt;10,"",IF(P57&lt;10,"")))</f>
        <v>15.7335</v>
      </c>
      <c r="U57" s="106" t="str">
        <f aca="false">IF(P57=12,N57*O57*Q57*0.888*1,IF(P57&gt;12,"",IF(P57&lt;12,"")))</f>
        <v/>
      </c>
      <c r="V57" s="107" t="str">
        <f aca="false">IF(P57=16,N57*O57*Q57*1.578*1,IF(P57&gt;16,"",IF(P57&lt;16,"")))</f>
        <v/>
      </c>
      <c r="W57" s="106" t="str">
        <f aca="false">IF(P57=20,N57*O57*Q57*2.466*1,IF(P57&gt;20,"",IF(P57&lt;20,"")))</f>
        <v/>
      </c>
      <c r="X57" s="106" t="str">
        <f aca="false">IF(P57=25,N57*O57*Q57*3.853*1,IF(P57&gt;25,"",IF(P57&lt;25,"")))</f>
        <v/>
      </c>
      <c r="Y57" s="108" t="str">
        <f aca="false">IF(P57=32,N57*O57*Q57*6.313*1,IF(P57&gt;32,"",IF(P57&lt;32,"")))</f>
        <v/>
      </c>
      <c r="Z57" s="109"/>
      <c r="AA57" s="110" t="str">
        <f aca="false">IF(AC57&gt;0,N57,"")</f>
        <v/>
      </c>
      <c r="AB57" s="111" t="str">
        <f aca="false">IF(AC57&gt;0,O57,"")</f>
        <v/>
      </c>
      <c r="AC57" s="112"/>
      <c r="AD57" s="112"/>
      <c r="AE57" s="113" t="str">
        <f aca="false">IF(AC57&gt;0,P57,"")</f>
        <v/>
      </c>
      <c r="AF57" s="114" t="str">
        <f aca="false">IF(AE57=6,AA57*AB57*AC57*AD57*(AE57/1000)*0.222*1,IF(AE57&gt;6,"",IF(AE57&lt;6,"")))</f>
        <v/>
      </c>
      <c r="AG57" s="107" t="str">
        <f aca="false">IF(AE57=8,AA57*AB57*AC57*AD57*(AE57/1000)*0.395*1,IF(AE57&gt;8,"",IF(AE57&lt;8,"")))</f>
        <v/>
      </c>
      <c r="AH57" s="107" t="str">
        <f aca="false">IF(AE57=10,AA57*AB57*AC57*AD57*(AE57/1000)*0.617*1,IF(AE57&gt;10,"",IF(AE57&lt;10,"")))</f>
        <v/>
      </c>
      <c r="AI57" s="107" t="str">
        <f aca="false">IF(AE57=12,AA57*AB57*AC57*AD57*(AE57/1000)*0.888*1,IF(AE57&gt;12,"",IF(AE57&lt;12,"")))</f>
        <v/>
      </c>
      <c r="AJ57" s="107" t="str">
        <f aca="false">IF(AE57=16,AA57*AB57*AC57*AD57*(AE57/1000)*1.578*1,IF(AE57&gt;16,"",IF(AE57&lt;16,"")))</f>
        <v/>
      </c>
      <c r="AK57" s="107" t="str">
        <f aca="false">IF(AE57=20,AA57*AB57*AC57*AD57*(AE57/1000)*2.466*1,IF(AE57&gt;20,"",IF(AE57&lt;20,"")))</f>
        <v/>
      </c>
      <c r="AL57" s="107" t="str">
        <f aca="false">IF(AE57=25,AA57*AB57*AC57*AD57*(AE57/1000)*3.853*1,IF(AE57&gt;25,"",IF(AE57&lt;25,"")))</f>
        <v/>
      </c>
      <c r="AM57" s="115" t="str">
        <f aca="false">IF(AE57=32,AA57*AB57*AC57*AD57*(AE57/1000)*6.313*1,IF(AE57&gt;32,"",IF(AE57&lt;32,"")))</f>
        <v/>
      </c>
      <c r="AN57" s="128"/>
      <c r="AO57" s="117" t="s">
        <v>188</v>
      </c>
      <c r="AP57" s="118" t="n">
        <f aca="false">SUM(R57:Y57)+SUM(AN57)</f>
        <v>15.7335</v>
      </c>
      <c r="AQ57" s="118" t="n">
        <f aca="false">SUM(AF57:AM57)</f>
        <v>0</v>
      </c>
      <c r="AR57" s="118"/>
      <c r="AS57" s="119" t="s">
        <v>338</v>
      </c>
      <c r="AT57" s="119" t="s">
        <v>162</v>
      </c>
    </row>
    <row r="58" customFormat="false" ht="13.5" hidden="false" customHeight="false" outlineLevel="0" collapsed="false">
      <c r="A58" s="129"/>
      <c r="B58" s="172"/>
      <c r="C58" s="110"/>
      <c r="D58" s="122"/>
      <c r="E58" s="122"/>
      <c r="F58" s="173"/>
      <c r="G58" s="123"/>
      <c r="H58" s="101"/>
      <c r="I58" s="123"/>
      <c r="J58" s="101"/>
      <c r="K58" s="124" t="s">
        <v>382</v>
      </c>
      <c r="L58" s="125" t="n">
        <v>7.48</v>
      </c>
      <c r="M58" s="125" t="n">
        <v>0.15</v>
      </c>
      <c r="N58" s="126" t="n">
        <f aca="false">$C$54</f>
        <v>1</v>
      </c>
      <c r="O58" s="126" t="n">
        <f aca="false">CEILING(L58/M58,1)+1</f>
        <v>51</v>
      </c>
      <c r="P58" s="126" t="n">
        <v>10</v>
      </c>
      <c r="Q58" s="127" t="n">
        <f aca="false">10*10/1000</f>
        <v>0.1</v>
      </c>
      <c r="R58" s="105" t="str">
        <f aca="false">IF(P58=6,N58*O58*Q58*0.222*1,IF(P58&gt;6,"",IF(P58&lt;6,"")))</f>
        <v/>
      </c>
      <c r="S58" s="106" t="str">
        <f aca="false">IF(P58=8,N58*O58*Q58*0.395*1,IF(P58&gt;8,"",IF(P58&lt;8,"")))</f>
        <v/>
      </c>
      <c r="T58" s="106" t="n">
        <f aca="false">IF(P58=10,N58*O58*Q58*0.617*1,IF(P58&gt;10,"",IF(P58&lt;10,"")))</f>
        <v>3.1467</v>
      </c>
      <c r="U58" s="106" t="str">
        <f aca="false">IF(P58=12,N58*O58*Q58*0.888*1,IF(P58&gt;12,"",IF(P58&lt;12,"")))</f>
        <v/>
      </c>
      <c r="V58" s="107" t="str">
        <f aca="false">IF(P58=16,N58*O58*Q58*1.578*1,IF(P58&gt;16,"",IF(P58&lt;16,"")))</f>
        <v/>
      </c>
      <c r="W58" s="106" t="str">
        <f aca="false">IF(P58=20,N58*O58*Q58*2.466*1,IF(P58&gt;20,"",IF(P58&lt;20,"")))</f>
        <v/>
      </c>
      <c r="X58" s="106" t="str">
        <f aca="false">IF(P58=25,N58*O58*Q58*3.853*1,IF(P58&gt;25,"",IF(P58&lt;25,"")))</f>
        <v/>
      </c>
      <c r="Y58" s="108" t="str">
        <f aca="false">IF(P58=32,N58*O58*Q58*6.313*1,IF(P58&gt;32,"",IF(P58&lt;32,"")))</f>
        <v/>
      </c>
      <c r="Z58" s="109"/>
      <c r="AA58" s="110" t="str">
        <f aca="false">IF(AC58&gt;0,N58,"")</f>
        <v/>
      </c>
      <c r="AB58" s="111" t="str">
        <f aca="false">IF(AC58&gt;0,O58,"")</f>
        <v/>
      </c>
      <c r="AC58" s="112"/>
      <c r="AD58" s="112"/>
      <c r="AE58" s="113" t="str">
        <f aca="false">IF(AC58&gt;0,P58,"")</f>
        <v/>
      </c>
      <c r="AF58" s="114" t="str">
        <f aca="false">IF(AE58=6,AA58*AB58*AC58*AD58*(AE58/1000)*0.222*1,IF(AE58&gt;6,"",IF(AE58&lt;6,"")))</f>
        <v/>
      </c>
      <c r="AG58" s="107" t="str">
        <f aca="false">IF(AE58=8,AA58*AB58*AC58*AD58*(AE58/1000)*0.395*1,IF(AE58&gt;8,"",IF(AE58&lt;8,"")))</f>
        <v/>
      </c>
      <c r="AH58" s="107" t="str">
        <f aca="false">IF(AE58=10,AA58*AB58*AC58*AD58*(AE58/1000)*0.617*1,IF(AE58&gt;10,"",IF(AE58&lt;10,"")))</f>
        <v/>
      </c>
      <c r="AI58" s="107" t="str">
        <f aca="false">IF(AE58=12,AA58*AB58*AC58*AD58*(AE58/1000)*0.888*1,IF(AE58&gt;12,"",IF(AE58&lt;12,"")))</f>
        <v/>
      </c>
      <c r="AJ58" s="107" t="str">
        <f aca="false">IF(AE58=16,AA58*AB58*AC58*AD58*(AE58/1000)*1.578*1,IF(AE58&gt;16,"",IF(AE58&lt;16,"")))</f>
        <v/>
      </c>
      <c r="AK58" s="107" t="str">
        <f aca="false">IF(AE58=20,AA58*AB58*AC58*AD58*(AE58/1000)*2.466*1,IF(AE58&gt;20,"",IF(AE58&lt;20,"")))</f>
        <v/>
      </c>
      <c r="AL58" s="107" t="str">
        <f aca="false">IF(AE58=25,AA58*AB58*AC58*AD58*(AE58/1000)*3.853*1,IF(AE58&gt;25,"",IF(AE58&lt;25,"")))</f>
        <v/>
      </c>
      <c r="AM58" s="115" t="str">
        <f aca="false">IF(AE58=32,AA58*AB58*AC58*AD58*(AE58/1000)*6.313*1,IF(AE58&gt;32,"",IF(AE58&lt;32,"")))</f>
        <v/>
      </c>
      <c r="AN58" s="128"/>
      <c r="AO58" s="117" t="s">
        <v>188</v>
      </c>
      <c r="AP58" s="118" t="n">
        <f aca="false">SUM(R58:Y58)+SUM(AN58)</f>
        <v>3.1467</v>
      </c>
      <c r="AQ58" s="118" t="n">
        <f aca="false">SUM(AF58:AM58)</f>
        <v>0</v>
      </c>
      <c r="AR58" s="118"/>
      <c r="AS58" s="119" t="s">
        <v>340</v>
      </c>
      <c r="AT58" s="119" t="s">
        <v>341</v>
      </c>
    </row>
    <row r="59" customFormat="false" ht="13.5" hidden="false" customHeight="false" outlineLevel="0" collapsed="false">
      <c r="A59" s="129"/>
      <c r="B59" s="130"/>
      <c r="C59" s="110"/>
      <c r="D59" s="122"/>
      <c r="E59" s="122"/>
      <c r="F59" s="122"/>
      <c r="G59" s="123"/>
      <c r="H59" s="101"/>
      <c r="I59" s="123"/>
      <c r="J59" s="101"/>
      <c r="K59" s="124"/>
      <c r="L59" s="125"/>
      <c r="M59" s="125"/>
      <c r="N59" s="126"/>
      <c r="O59" s="126"/>
      <c r="P59" s="126"/>
      <c r="Q59" s="127"/>
      <c r="R59" s="105"/>
      <c r="S59" s="106"/>
      <c r="T59" s="106"/>
      <c r="U59" s="106"/>
      <c r="V59" s="107"/>
      <c r="W59" s="106"/>
      <c r="X59" s="106"/>
      <c r="Y59" s="108"/>
      <c r="Z59" s="109"/>
      <c r="AA59" s="110"/>
      <c r="AB59" s="111"/>
      <c r="AC59" s="112"/>
      <c r="AD59" s="112"/>
      <c r="AE59" s="113"/>
      <c r="AF59" s="114"/>
      <c r="AG59" s="107"/>
      <c r="AH59" s="107"/>
      <c r="AI59" s="107"/>
      <c r="AJ59" s="107"/>
      <c r="AK59" s="107"/>
      <c r="AL59" s="107"/>
      <c r="AM59" s="115"/>
      <c r="AO59" s="117"/>
      <c r="AP59" s="118"/>
      <c r="AQ59" s="118"/>
      <c r="AR59" s="118"/>
      <c r="AS59" s="119"/>
      <c r="AT59" s="119"/>
    </row>
    <row r="60" customFormat="false" ht="13.5" hidden="false" customHeight="false" outlineLevel="0" collapsed="false">
      <c r="A60" s="129"/>
      <c r="B60" s="130"/>
      <c r="C60" s="110"/>
      <c r="D60" s="122"/>
      <c r="E60" s="122"/>
      <c r="F60" s="122"/>
      <c r="G60" s="123"/>
      <c r="H60" s="101"/>
      <c r="I60" s="123"/>
      <c r="J60" s="101"/>
      <c r="K60" s="124"/>
      <c r="L60" s="125"/>
      <c r="M60" s="125"/>
      <c r="N60" s="126"/>
      <c r="O60" s="126"/>
      <c r="P60" s="126"/>
      <c r="Q60" s="127"/>
      <c r="R60" s="105"/>
      <c r="S60" s="106"/>
      <c r="T60" s="106"/>
      <c r="U60" s="106"/>
      <c r="V60" s="107"/>
      <c r="W60" s="106"/>
      <c r="X60" s="106"/>
      <c r="Y60" s="108"/>
      <c r="Z60" s="109"/>
      <c r="AA60" s="110"/>
      <c r="AB60" s="111"/>
      <c r="AC60" s="112"/>
      <c r="AD60" s="112"/>
      <c r="AE60" s="113"/>
      <c r="AF60" s="114"/>
      <c r="AG60" s="107"/>
      <c r="AH60" s="107"/>
      <c r="AI60" s="107"/>
      <c r="AJ60" s="107"/>
      <c r="AK60" s="107"/>
      <c r="AL60" s="107"/>
      <c r="AM60" s="115"/>
      <c r="AO60" s="117"/>
      <c r="AP60" s="118"/>
      <c r="AQ60" s="118"/>
      <c r="AR60" s="118"/>
      <c r="AS60" s="119"/>
      <c r="AT60" s="119"/>
    </row>
    <row r="61" customFormat="false" ht="13.5" hidden="false" customHeight="false" outlineLevel="0" collapsed="false">
      <c r="A61" s="131"/>
      <c r="B61" s="132"/>
      <c r="C61" s="133" t="s">
        <v>196</v>
      </c>
      <c r="D61" s="133"/>
      <c r="E61" s="133"/>
      <c r="F61" s="133"/>
      <c r="G61" s="134" t="n">
        <f aca="false">SUM(G6:G59)</f>
        <v>38.90576</v>
      </c>
      <c r="H61" s="135"/>
      <c r="I61" s="136"/>
      <c r="J61" s="137"/>
      <c r="K61" s="137"/>
      <c r="L61" s="137"/>
      <c r="M61" s="137"/>
      <c r="N61" s="138"/>
      <c r="O61" s="139" t="s">
        <v>197</v>
      </c>
      <c r="P61" s="139"/>
      <c r="Q61" s="139"/>
      <c r="R61" s="140" t="n">
        <f aca="false">SUM(R6:R59)</f>
        <v>0</v>
      </c>
      <c r="S61" s="140" t="n">
        <f aca="false">SUM(S6:S59)</f>
        <v>568.655693333333</v>
      </c>
      <c r="T61" s="140" t="n">
        <f aca="false">SUM(T6:T59)</f>
        <v>75.61952</v>
      </c>
      <c r="U61" s="140" t="n">
        <f aca="false">SUM(U6:U59)</f>
        <v>5537.283248</v>
      </c>
      <c r="V61" s="140" t="n">
        <f aca="false">SUM(V6:V59)</f>
        <v>0</v>
      </c>
      <c r="W61" s="140" t="n">
        <f aca="false">SUM(W6:W59)</f>
        <v>0</v>
      </c>
      <c r="X61" s="140" t="n">
        <f aca="false">SUM(X6:X59)</f>
        <v>0</v>
      </c>
      <c r="Y61" s="140" t="n">
        <f aca="false">SUM(Y6:Y59)</f>
        <v>0</v>
      </c>
      <c r="Z61" s="141"/>
      <c r="AA61" s="142"/>
      <c r="AB61" s="143" t="s">
        <v>197</v>
      </c>
      <c r="AC61" s="143"/>
      <c r="AD61" s="143"/>
      <c r="AE61" s="143"/>
      <c r="AF61" s="140" t="n">
        <f aca="false">SUM(AF6:AF59)</f>
        <v>0</v>
      </c>
      <c r="AG61" s="140" t="n">
        <f aca="false">SUM(AG6:AG59)</f>
        <v>0</v>
      </c>
      <c r="AH61" s="140" t="n">
        <f aca="false">SUM(AH6:AH59)</f>
        <v>0</v>
      </c>
      <c r="AI61" s="140" t="n">
        <f aca="false">SUM(AI6:AI59)</f>
        <v>0</v>
      </c>
      <c r="AJ61" s="140" t="n">
        <f aca="false">SUM(AJ6:AJ59)</f>
        <v>0</v>
      </c>
      <c r="AK61" s="140" t="n">
        <f aca="false">SUM(AK6:AK59)</f>
        <v>0</v>
      </c>
      <c r="AL61" s="140" t="n">
        <f aca="false">SUM(AL6:AL59)</f>
        <v>0</v>
      </c>
      <c r="AM61" s="140" t="n">
        <f aca="false">SUM(AM6:AM59)</f>
        <v>0</v>
      </c>
      <c r="AN61" s="144" t="n">
        <f aca="false">SUM(AN6:AN59)</f>
        <v>0</v>
      </c>
      <c r="AO61" s="117"/>
      <c r="AP61" s="118"/>
      <c r="AQ61" s="118"/>
      <c r="AR61" s="118"/>
      <c r="AS61" s="119"/>
      <c r="AT61" s="119"/>
    </row>
    <row r="62" customFormat="false" ht="13.5" hidden="false" customHeight="false" outlineLevel="0" collapsed="false">
      <c r="A62" s="131" t="s">
        <v>198</v>
      </c>
      <c r="B62" s="95"/>
      <c r="C62" s="145" t="s">
        <v>199</v>
      </c>
      <c r="D62" s="145"/>
      <c r="E62" s="145"/>
      <c r="F62" s="145"/>
      <c r="G62" s="146" t="n">
        <f aca="false">SUM(I6:I59)</f>
        <v>195.7288</v>
      </c>
      <c r="H62" s="147"/>
      <c r="I62" s="136"/>
      <c r="J62" s="148"/>
      <c r="K62" s="137"/>
      <c r="L62" s="137"/>
      <c r="M62" s="137"/>
      <c r="N62" s="138"/>
      <c r="O62" s="149" t="s">
        <v>200</v>
      </c>
      <c r="P62" s="149"/>
      <c r="Q62" s="149"/>
      <c r="R62" s="150" t="n">
        <f aca="false">SUM(R61:Y61)+AN61</f>
        <v>6181.55846133333</v>
      </c>
      <c r="S62" s="150"/>
      <c r="T62" s="150"/>
      <c r="U62" s="150"/>
      <c r="V62" s="150"/>
      <c r="W62" s="150"/>
      <c r="X62" s="150"/>
      <c r="Y62" s="150"/>
      <c r="Z62" s="151"/>
      <c r="AA62" s="152"/>
      <c r="AB62" s="153" t="s">
        <v>200</v>
      </c>
      <c r="AC62" s="153"/>
      <c r="AD62" s="153"/>
      <c r="AE62" s="153"/>
      <c r="AF62" s="150" t="n">
        <f aca="false">SUM(AF61:AM61)</f>
        <v>0</v>
      </c>
      <c r="AG62" s="150"/>
      <c r="AH62" s="150"/>
      <c r="AI62" s="150"/>
      <c r="AJ62" s="150"/>
      <c r="AK62" s="150"/>
      <c r="AL62" s="150"/>
      <c r="AM62" s="150"/>
      <c r="AN62" s="154"/>
      <c r="AO62" s="117"/>
      <c r="AP62" s="118"/>
      <c r="AQ62" s="118"/>
      <c r="AR62" s="118"/>
      <c r="AS62" s="119"/>
      <c r="AT62" s="119"/>
    </row>
    <row r="63" customFormat="false" ht="13.5" hidden="false" customHeight="false" outlineLevel="0" collapsed="false">
      <c r="A63" s="155"/>
      <c r="B63" s="156"/>
      <c r="C63" s="157" t="s">
        <v>201</v>
      </c>
      <c r="D63" s="157"/>
      <c r="E63" s="157"/>
      <c r="F63" s="157"/>
      <c r="G63" s="158" t="n">
        <f aca="false">IF(G61&gt;0,G62/G61,0)</f>
        <v>5.03084376195196</v>
      </c>
      <c r="H63" s="159"/>
      <c r="I63" s="160"/>
      <c r="J63" s="160"/>
      <c r="K63" s="160"/>
      <c r="L63" s="160"/>
      <c r="M63" s="160"/>
      <c r="N63" s="161"/>
      <c r="O63" s="162" t="s">
        <v>202</v>
      </c>
      <c r="P63" s="162"/>
      <c r="Q63" s="162"/>
      <c r="R63" s="163" t="n">
        <f aca="false">IF(G61&gt;0,R62/G61,0)</f>
        <v>158.885431394563</v>
      </c>
      <c r="S63" s="164"/>
      <c r="T63" s="165"/>
      <c r="U63" s="165"/>
      <c r="V63" s="165"/>
      <c r="W63" s="165"/>
      <c r="X63" s="165"/>
      <c r="Y63" s="166"/>
      <c r="Z63" s="141"/>
      <c r="AA63" s="167"/>
      <c r="AB63" s="168" t="s">
        <v>203</v>
      </c>
      <c r="AC63" s="168"/>
      <c r="AD63" s="168"/>
      <c r="AE63" s="168"/>
      <c r="AF63" s="163" t="n">
        <f aca="false">IF(G61&gt;0,AF62/G61,0)</f>
        <v>0</v>
      </c>
      <c r="AG63" s="164"/>
      <c r="AH63" s="165"/>
      <c r="AI63" s="165"/>
      <c r="AJ63" s="169" t="s">
        <v>204</v>
      </c>
      <c r="AK63" s="169"/>
      <c r="AL63" s="169"/>
      <c r="AM63" s="170" t="n">
        <f aca="false">IF(R62&gt;0,AF62/R62,0)</f>
        <v>0</v>
      </c>
      <c r="AN63" s="44"/>
      <c r="AO63" s="117"/>
      <c r="AP63" s="118"/>
      <c r="AQ63" s="118"/>
      <c r="AR63" s="118"/>
      <c r="AS63" s="119"/>
      <c r="AT63" s="119"/>
    </row>
    <row r="80" s="55" customFormat="true" ht="13.5" hidden="false" customHeight="false" outlineLevel="0" collapsed="false"/>
    <row r="81" s="55" customFormat="true" ht="13.5" hidden="false" customHeight="false" outlineLevel="0" collapsed="false"/>
    <row r="82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61:F61"/>
    <mergeCell ref="O61:Q61"/>
    <mergeCell ref="AB61:AE61"/>
    <mergeCell ref="C62:F62"/>
    <mergeCell ref="O62:Q62"/>
    <mergeCell ref="R62:Y62"/>
    <mergeCell ref="AB62:AE62"/>
    <mergeCell ref="AF62:AM62"/>
    <mergeCell ref="C63:F63"/>
    <mergeCell ref="O63:Q63"/>
    <mergeCell ref="AB63:AE63"/>
    <mergeCell ref="AJ63:AL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8.43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/>
      <c r="E5" s="82" t="s">
        <v>125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28.35" hidden="false" customHeight="false" outlineLevel="0" collapsed="false">
      <c r="A6" s="96"/>
      <c r="B6" s="97" t="s">
        <v>383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384</v>
      </c>
      <c r="C7" s="110" t="n">
        <v>1</v>
      </c>
      <c r="D7" s="122" t="n">
        <v>48.9568</v>
      </c>
      <c r="E7" s="122"/>
      <c r="F7" s="122" t="n">
        <v>0.1258</v>
      </c>
      <c r="G7" s="123" t="n">
        <f aca="false">C7*D7*F7</f>
        <v>6.15876544</v>
      </c>
      <c r="H7" s="101"/>
      <c r="I7" s="123"/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178</v>
      </c>
      <c r="AP7" s="118" t="n">
        <f aca="false">SUM(R7:Y7)+SUM(AN7)</f>
        <v>0</v>
      </c>
      <c r="AQ7" s="118" t="n">
        <f aca="false">SUM(AF7:AM7)</f>
        <v>0</v>
      </c>
      <c r="AR7" s="118"/>
      <c r="AS7" s="119" t="s">
        <v>385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386</v>
      </c>
      <c r="L8" s="125"/>
      <c r="M8" s="125"/>
      <c r="N8" s="126" t="n">
        <f aca="false">$C$7</f>
        <v>1</v>
      </c>
      <c r="O8" s="126" t="n">
        <v>1</v>
      </c>
      <c r="P8" s="126" t="s">
        <v>46</v>
      </c>
      <c r="Q8" s="127" t="n">
        <f aca="false">$D$7</f>
        <v>48.9568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 t="n">
        <f aca="false">Q8*1.58*N8</f>
        <v>77.351744</v>
      </c>
      <c r="AO8" s="117" t="s">
        <v>178</v>
      </c>
      <c r="AP8" s="118" t="n">
        <f aca="false">SUM(R8:Y8)+SUM(AN8)</f>
        <v>77.351744</v>
      </c>
      <c r="AQ8" s="118" t="n">
        <f aca="false">SUM(AF8:AM8)</f>
        <v>0</v>
      </c>
      <c r="AR8" s="118"/>
      <c r="AS8" s="119" t="s">
        <v>387</v>
      </c>
      <c r="AT8" s="119" t="s">
        <v>341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388</v>
      </c>
      <c r="L9" s="125" t="n">
        <f aca="false">($D$7/7.33)</f>
        <v>6.67896316507503</v>
      </c>
      <c r="M9" s="125" t="n">
        <v>0.2</v>
      </c>
      <c r="N9" s="126" t="n">
        <f aca="false">2*$C$7</f>
        <v>2</v>
      </c>
      <c r="O9" s="126" t="n">
        <f aca="false">CEILING(L9/M9,1)+1</f>
        <v>35</v>
      </c>
      <c r="P9" s="126" t="n">
        <v>8</v>
      </c>
      <c r="Q9" s="127" t="n">
        <f aca="false">1.9+50*8/1000</f>
        <v>2.3</v>
      </c>
      <c r="R9" s="105" t="str">
        <f aca="false">IF(P9=6,N9*O9*Q9*0.222*1,IF(P9&gt;6,"",IF(P9&lt;6,"")))</f>
        <v/>
      </c>
      <c r="S9" s="106" t="n">
        <f aca="false">IF(P9=8,N9*O9*Q9*0.395*1,IF(P9&gt;8,"",IF(P9&lt;8,"")))</f>
        <v>63.595</v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178</v>
      </c>
      <c r="AP9" s="118" t="n">
        <f aca="false">SUM(R9:Y9)+SUM(AN9)</f>
        <v>63.595</v>
      </c>
      <c r="AQ9" s="118" t="n">
        <f aca="false">SUM(AF9:AM9)</f>
        <v>0</v>
      </c>
      <c r="AR9" s="118"/>
      <c r="AS9" s="119" t="s">
        <v>389</v>
      </c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390</v>
      </c>
      <c r="L10" s="125"/>
      <c r="M10" s="125"/>
      <c r="N10" s="126" t="n">
        <f aca="false">3*$C$7</f>
        <v>3</v>
      </c>
      <c r="O10" s="126" t="n">
        <v>2</v>
      </c>
      <c r="P10" s="126" t="n">
        <v>12</v>
      </c>
      <c r="Q10" s="127" t="n">
        <f aca="false">($D$7/7.33)+2*0.3</f>
        <v>7.27896316507503</v>
      </c>
      <c r="R10" s="105" t="str">
        <f aca="false">IF(P10=6,N10*O10*Q10*0.222*1,IF(P10&gt;6,"",IF(P10&lt;6,"")))</f>
        <v/>
      </c>
      <c r="S10" s="106" t="str">
        <f aca="false">IF(P10=8,N10*O10*Q10*0.395*1,IF(P10&gt;8,"",IF(P10&lt;8,"")))</f>
        <v/>
      </c>
      <c r="T10" s="106" t="str">
        <f aca="false">IF(P10=10,N10*O10*Q10*0.617*1,IF(P10&gt;10,"",IF(P10&lt;10,"")))</f>
        <v/>
      </c>
      <c r="U10" s="106" t="n">
        <f aca="false">IF(P10=12,N10*O10*Q10*0.888*1,IF(P10&gt;12,"",IF(P10&lt;12,"")))</f>
        <v>38.7823157435198</v>
      </c>
      <c r="V10" s="107" t="str">
        <f aca="false">IF(P10=16,N10*O10*Q10*1.578*1,IF(P10&gt;16,"",IF(P10&lt;16,"")))</f>
        <v/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178</v>
      </c>
      <c r="AP10" s="118" t="n">
        <f aca="false">SUM(R10:Y10)+SUM(AN10)</f>
        <v>38.7823157435198</v>
      </c>
      <c r="AQ10" s="118" t="n">
        <f aca="false">SUM(AF10:AM10)</f>
        <v>0</v>
      </c>
      <c r="AR10" s="118"/>
      <c r="AS10" s="119" t="s">
        <v>391</v>
      </c>
      <c r="AT10" s="119" t="s">
        <v>341</v>
      </c>
    </row>
    <row r="11" customFormat="false" ht="13.5" hidden="false" customHeight="false" outlineLevel="0" collapsed="false">
      <c r="A11" s="129"/>
      <c r="B11" s="172"/>
      <c r="C11" s="110"/>
      <c r="D11" s="122"/>
      <c r="E11" s="122"/>
      <c r="F11" s="173"/>
      <c r="G11" s="123"/>
      <c r="H11" s="101"/>
      <c r="I11" s="123"/>
      <c r="J11" s="101"/>
      <c r="K11" s="124" t="s">
        <v>392</v>
      </c>
      <c r="L11" s="125"/>
      <c r="M11" s="125"/>
      <c r="N11" s="126" t="n">
        <f aca="false">2*$C$7</f>
        <v>2</v>
      </c>
      <c r="O11" s="126" t="n">
        <f aca="false">2*2*ROUNDUP(($D$7/7.33)/0.62,0)</f>
        <v>44</v>
      </c>
      <c r="P11" s="126" t="n">
        <v>8</v>
      </c>
      <c r="Q11" s="127" t="n">
        <f aca="false">0.5+0.25</f>
        <v>0.75</v>
      </c>
      <c r="R11" s="105" t="str">
        <f aca="false">IF(P11=6,N11*O11*Q11*0.222*1,IF(P11&gt;6,"",IF(P11&lt;6,"")))</f>
        <v/>
      </c>
      <c r="S11" s="106" t="n">
        <f aca="false">IF(P11=8,N11*O11*Q11*0.395*1,IF(P11&gt;8,"",IF(P11&lt;8,"")))</f>
        <v>26.07</v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str">
        <f aca="false">IF(P11=16,N11*O11*Q11*1.578*1,IF(P11&gt;16,"",IF(P11&lt;16,"")))</f>
        <v/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178</v>
      </c>
      <c r="AP11" s="118" t="n">
        <f aca="false">SUM(R11:Y11)+SUM(AN11)</f>
        <v>26.07</v>
      </c>
      <c r="AQ11" s="118" t="n">
        <f aca="false">SUM(AF11:AM11)</f>
        <v>0</v>
      </c>
      <c r="AR11" s="118"/>
      <c r="AS11" s="119" t="s">
        <v>393</v>
      </c>
      <c r="AT11" s="119" t="s">
        <v>341</v>
      </c>
    </row>
    <row r="12" customFormat="false" ht="13.5" hidden="false" customHeight="false" outlineLevel="0" collapsed="false">
      <c r="A12" s="129"/>
      <c r="B12" s="130"/>
      <c r="C12" s="110"/>
      <c r="D12" s="122"/>
      <c r="E12" s="122"/>
      <c r="F12" s="122"/>
      <c r="G12" s="123"/>
      <c r="H12" s="101"/>
      <c r="I12" s="123"/>
      <c r="J12" s="101"/>
      <c r="K12" s="124"/>
      <c r="L12" s="125"/>
      <c r="M12" s="125"/>
      <c r="N12" s="126"/>
      <c r="O12" s="126"/>
      <c r="P12" s="126"/>
      <c r="Q12" s="127"/>
      <c r="R12" s="105"/>
      <c r="S12" s="106"/>
      <c r="T12" s="106"/>
      <c r="U12" s="106"/>
      <c r="V12" s="107"/>
      <c r="W12" s="106"/>
      <c r="X12" s="106"/>
      <c r="Y12" s="108"/>
      <c r="Z12" s="109"/>
      <c r="AA12" s="110"/>
      <c r="AB12" s="111"/>
      <c r="AC12" s="112"/>
      <c r="AD12" s="112"/>
      <c r="AE12" s="113"/>
      <c r="AF12" s="114"/>
      <c r="AG12" s="107"/>
      <c r="AH12" s="107"/>
      <c r="AI12" s="107"/>
      <c r="AJ12" s="107"/>
      <c r="AK12" s="107"/>
      <c r="AL12" s="107"/>
      <c r="AM12" s="115"/>
      <c r="AO12" s="117"/>
      <c r="AP12" s="118"/>
      <c r="AQ12" s="118"/>
      <c r="AR12" s="118"/>
      <c r="AS12" s="119"/>
      <c r="AT12" s="119"/>
    </row>
    <row r="13" customFormat="false" ht="13.5" hidden="false" customHeight="false" outlineLevel="0" collapsed="false">
      <c r="A13" s="131"/>
      <c r="B13" s="132"/>
      <c r="C13" s="133" t="s">
        <v>196</v>
      </c>
      <c r="D13" s="133"/>
      <c r="E13" s="133"/>
      <c r="F13" s="133"/>
      <c r="G13" s="134" t="n">
        <f aca="false">SUM(G6:G11)</f>
        <v>6.15876544</v>
      </c>
      <c r="H13" s="135"/>
      <c r="I13" s="136"/>
      <c r="J13" s="137"/>
      <c r="K13" s="137"/>
      <c r="L13" s="137"/>
      <c r="M13" s="137"/>
      <c r="N13" s="138"/>
      <c r="O13" s="139" t="s">
        <v>197</v>
      </c>
      <c r="P13" s="139"/>
      <c r="Q13" s="139"/>
      <c r="R13" s="140" t="n">
        <f aca="false">SUM(R6:R11)</f>
        <v>0</v>
      </c>
      <c r="S13" s="140" t="n">
        <f aca="false">SUM(S6:S11)</f>
        <v>89.665</v>
      </c>
      <c r="T13" s="140" t="n">
        <f aca="false">SUM(T6:T11)</f>
        <v>0</v>
      </c>
      <c r="U13" s="140" t="n">
        <f aca="false">SUM(U6:U11)</f>
        <v>38.7823157435198</v>
      </c>
      <c r="V13" s="140" t="n">
        <f aca="false">SUM(V6:V11)</f>
        <v>0</v>
      </c>
      <c r="W13" s="140" t="n">
        <f aca="false">SUM(W6:W11)</f>
        <v>0</v>
      </c>
      <c r="X13" s="140" t="n">
        <f aca="false">SUM(X6:X11)</f>
        <v>0</v>
      </c>
      <c r="Y13" s="140" t="n">
        <f aca="false">SUM(Y6:Y11)</f>
        <v>0</v>
      </c>
      <c r="Z13" s="141"/>
      <c r="AA13" s="142"/>
      <c r="AB13" s="143" t="s">
        <v>197</v>
      </c>
      <c r="AC13" s="143"/>
      <c r="AD13" s="143"/>
      <c r="AE13" s="143"/>
      <c r="AF13" s="140" t="n">
        <f aca="false">SUM(AF6:AF11)</f>
        <v>0</v>
      </c>
      <c r="AG13" s="140" t="n">
        <f aca="false">SUM(AG6:AG11)</f>
        <v>0</v>
      </c>
      <c r="AH13" s="140" t="n">
        <f aca="false">SUM(AH6:AH11)</f>
        <v>0</v>
      </c>
      <c r="AI13" s="140" t="n">
        <f aca="false">SUM(AI6:AI11)</f>
        <v>0</v>
      </c>
      <c r="AJ13" s="140" t="n">
        <f aca="false">SUM(AJ6:AJ11)</f>
        <v>0</v>
      </c>
      <c r="AK13" s="140" t="n">
        <f aca="false">SUM(AK6:AK11)</f>
        <v>0</v>
      </c>
      <c r="AL13" s="140" t="n">
        <f aca="false">SUM(AL6:AL11)</f>
        <v>0</v>
      </c>
      <c r="AM13" s="140" t="n">
        <f aca="false">SUM(AM6:AM11)</f>
        <v>0</v>
      </c>
      <c r="AN13" s="144" t="n">
        <f aca="false">SUM(AN6:AN11)</f>
        <v>77.351744</v>
      </c>
      <c r="AO13" s="117"/>
      <c r="AP13" s="118"/>
      <c r="AQ13" s="118"/>
      <c r="AR13" s="118"/>
      <c r="AS13" s="119"/>
      <c r="AT13" s="119"/>
    </row>
    <row r="14" customFormat="false" ht="13.5" hidden="false" customHeight="false" outlineLevel="0" collapsed="false">
      <c r="A14" s="131" t="s">
        <v>198</v>
      </c>
      <c r="B14" s="95"/>
      <c r="C14" s="145" t="s">
        <v>199</v>
      </c>
      <c r="D14" s="145"/>
      <c r="E14" s="145"/>
      <c r="F14" s="145"/>
      <c r="G14" s="146" t="n">
        <f aca="false">SUM(I6:I11)</f>
        <v>0</v>
      </c>
      <c r="H14" s="147"/>
      <c r="I14" s="136"/>
      <c r="J14" s="148"/>
      <c r="K14" s="137"/>
      <c r="L14" s="137"/>
      <c r="M14" s="137"/>
      <c r="N14" s="138"/>
      <c r="O14" s="149" t="s">
        <v>200</v>
      </c>
      <c r="P14" s="149"/>
      <c r="Q14" s="149"/>
      <c r="R14" s="150" t="n">
        <f aca="false">SUM(R13:Y13)+AN13</f>
        <v>205.79905974352</v>
      </c>
      <c r="S14" s="150"/>
      <c r="T14" s="150"/>
      <c r="U14" s="150"/>
      <c r="V14" s="150"/>
      <c r="W14" s="150"/>
      <c r="X14" s="150"/>
      <c r="Y14" s="150"/>
      <c r="Z14" s="151"/>
      <c r="AA14" s="152"/>
      <c r="AB14" s="153" t="s">
        <v>200</v>
      </c>
      <c r="AC14" s="153"/>
      <c r="AD14" s="153"/>
      <c r="AE14" s="153"/>
      <c r="AF14" s="150" t="n">
        <f aca="false">SUM(AF13:AM13)</f>
        <v>0</v>
      </c>
      <c r="AG14" s="150"/>
      <c r="AH14" s="150"/>
      <c r="AI14" s="150"/>
      <c r="AJ14" s="150"/>
      <c r="AK14" s="150"/>
      <c r="AL14" s="150"/>
      <c r="AM14" s="150"/>
      <c r="AN14" s="154"/>
      <c r="AO14" s="117"/>
      <c r="AP14" s="118"/>
      <c r="AQ14" s="118"/>
      <c r="AR14" s="118"/>
      <c r="AS14" s="119"/>
      <c r="AT14" s="119"/>
    </row>
    <row r="15" customFormat="false" ht="13.5" hidden="false" customHeight="false" outlineLevel="0" collapsed="false">
      <c r="A15" s="155"/>
      <c r="B15" s="156"/>
      <c r="C15" s="157" t="s">
        <v>201</v>
      </c>
      <c r="D15" s="157"/>
      <c r="E15" s="157"/>
      <c r="F15" s="157"/>
      <c r="G15" s="158" t="n">
        <f aca="false">IF(G13&gt;0,G14/G13,0)</f>
        <v>0</v>
      </c>
      <c r="H15" s="159"/>
      <c r="I15" s="160"/>
      <c r="J15" s="160"/>
      <c r="K15" s="160"/>
      <c r="L15" s="160"/>
      <c r="M15" s="160"/>
      <c r="N15" s="161"/>
      <c r="O15" s="162" t="s">
        <v>202</v>
      </c>
      <c r="P15" s="162"/>
      <c r="Q15" s="162"/>
      <c r="R15" s="163" t="n">
        <f aca="false">IF(G13&gt;0,R14/G13,0)</f>
        <v>33.415635284126</v>
      </c>
      <c r="S15" s="164"/>
      <c r="T15" s="165"/>
      <c r="U15" s="165"/>
      <c r="V15" s="165"/>
      <c r="W15" s="165"/>
      <c r="X15" s="165"/>
      <c r="Y15" s="166"/>
      <c r="Z15" s="141"/>
      <c r="AA15" s="167"/>
      <c r="AB15" s="168" t="s">
        <v>203</v>
      </c>
      <c r="AC15" s="168"/>
      <c r="AD15" s="168"/>
      <c r="AE15" s="168"/>
      <c r="AF15" s="163" t="n">
        <f aca="false">IF(G13&gt;0,AF14/G13,0)</f>
        <v>0</v>
      </c>
      <c r="AG15" s="164"/>
      <c r="AH15" s="165"/>
      <c r="AI15" s="165"/>
      <c r="AJ15" s="169" t="s">
        <v>204</v>
      </c>
      <c r="AK15" s="169"/>
      <c r="AL15" s="169"/>
      <c r="AM15" s="170" t="n">
        <f aca="false">IF(R14&gt;0,AF14/R14,0)</f>
        <v>0</v>
      </c>
      <c r="AN15" s="44"/>
      <c r="AO15" s="117"/>
      <c r="AP15" s="118"/>
      <c r="AQ15" s="118"/>
      <c r="AR15" s="118"/>
      <c r="AS15" s="119"/>
      <c r="AT15" s="119"/>
    </row>
    <row r="20" s="55" customFormat="true" ht="13.5" hidden="false" customHeight="false" outlineLevel="0" collapsed="false"/>
    <row r="21" s="55" customFormat="true" ht="13.5" hidden="false" customHeight="false" outlineLevel="0" collapsed="false"/>
    <row r="22" s="55" customFormat="true" ht="13.5" hidden="false" customHeight="false" outlineLevel="0" collapsed="false"/>
    <row r="25" s="55" customFormat="true" ht="13.5" hidden="false" customHeight="false" outlineLevel="0" collapsed="false"/>
    <row r="26" s="95" customFormat="true" ht="13.5" hidden="false" customHeight="false" outlineLevel="0" collapsed="false"/>
    <row r="27" s="116" customFormat="true" ht="13.5" hidden="false" customHeight="false" outlineLevel="0" collapsed="false"/>
    <row r="52" s="55" customFormat="true" ht="13.5" hidden="false" customHeight="false" outlineLevel="0" collapsed="false"/>
    <row r="53" s="55" customFormat="true" ht="13.5" hidden="false" customHeight="false" outlineLevel="0" collapsed="false"/>
    <row r="54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13:F13"/>
    <mergeCell ref="O13:Q13"/>
    <mergeCell ref="AB13:AE13"/>
    <mergeCell ref="C14:F14"/>
    <mergeCell ref="O14:Q14"/>
    <mergeCell ref="R14:Y14"/>
    <mergeCell ref="AB14:AE14"/>
    <mergeCell ref="AF14:AM14"/>
    <mergeCell ref="C15:F15"/>
    <mergeCell ref="O15:Q15"/>
    <mergeCell ref="AB15:AE15"/>
    <mergeCell ref="AJ15:AL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8.43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9.4" hidden="false" customHeight="false" outlineLevel="0" collapsed="false">
      <c r="A6" s="96"/>
      <c r="B6" s="97" t="s">
        <v>394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customFormat="false" ht="13.5" hidden="false" customHeight="false" outlineLevel="0" collapsed="false">
      <c r="A7" s="120"/>
      <c r="B7" s="121" t="s">
        <v>395</v>
      </c>
      <c r="C7" s="110" t="n">
        <v>1</v>
      </c>
      <c r="D7" s="122" t="n">
        <v>0.15</v>
      </c>
      <c r="E7" s="122" t="n">
        <v>0.93</v>
      </c>
      <c r="F7" s="122" t="n">
        <f aca="false">0.2302/(0.15*0.93)</f>
        <v>1.65017921146953</v>
      </c>
      <c r="G7" s="123" t="n">
        <f aca="false">C7*D7*E7*F7</f>
        <v>0.2302</v>
      </c>
      <c r="H7" s="101"/>
      <c r="I7" s="123" t="n">
        <f aca="false">2*C7*E7*F7</f>
        <v>3.06933333333333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188</v>
      </c>
      <c r="AP7" s="118" t="n">
        <f aca="false">SUM(R7:Y7)+SUM(AN7)</f>
        <v>0</v>
      </c>
      <c r="AQ7" s="118" t="n">
        <f aca="false">SUM(AF7:AM7)</f>
        <v>0</v>
      </c>
      <c r="AR7" s="118" t="n">
        <v>0.2302</v>
      </c>
      <c r="AS7" s="119" t="s">
        <v>396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397</v>
      </c>
      <c r="L8" s="125" t="n">
        <f aca="false">$E$7</f>
        <v>0.93</v>
      </c>
      <c r="M8" s="125" t="n">
        <v>0.15</v>
      </c>
      <c r="N8" s="126" t="n">
        <f aca="false">2*$C$7</f>
        <v>2</v>
      </c>
      <c r="O8" s="126" t="n">
        <f aca="false">CEILING(L8/M8,1)+1</f>
        <v>8</v>
      </c>
      <c r="P8" s="126" t="n">
        <v>10</v>
      </c>
      <c r="Q8" s="127" t="n">
        <f aca="false">$F$7+2*(0.25-0.035)</f>
        <v>2.08017921146953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n">
        <f aca="false">IF(P8=10,N8*O8*Q8*0.617*1,IF(P8&gt;10,"",IF(P8&lt;10,"")))</f>
        <v>20.5355291756272</v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188</v>
      </c>
      <c r="AP8" s="118" t="n">
        <f aca="false">SUM(R8:Y8)+SUM(AN8)</f>
        <v>20.5355291756272</v>
      </c>
      <c r="AQ8" s="118" t="n">
        <f aca="false">SUM(AF8:AM8)</f>
        <v>0</v>
      </c>
      <c r="AR8" s="118"/>
      <c r="AS8" s="119" t="s">
        <v>398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399</v>
      </c>
      <c r="L9" s="125" t="n">
        <f aca="false">$F$7</f>
        <v>1.65017921146953</v>
      </c>
      <c r="M9" s="125" t="n">
        <v>0.15</v>
      </c>
      <c r="N9" s="126" t="n">
        <f aca="false">$C$7</f>
        <v>1</v>
      </c>
      <c r="O9" s="126" t="n">
        <f aca="false">CEILING(L9/M9,1)+1</f>
        <v>13</v>
      </c>
      <c r="P9" s="126" t="n">
        <v>8</v>
      </c>
      <c r="Q9" s="127" t="n">
        <f aca="false">2*($E$7+0.5-0.05)+($D$7-2*0.035)</f>
        <v>2.84</v>
      </c>
      <c r="R9" s="105" t="str">
        <f aca="false">IF(P9=6,N9*O9*Q9*0.222*1,IF(P9&gt;6,"",IF(P9&lt;6,"")))</f>
        <v/>
      </c>
      <c r="S9" s="106" t="n">
        <f aca="false">IF(P9=8,N9*O9*Q9*0.395*1,IF(P9&gt;8,"",IF(P9&lt;8,"")))</f>
        <v>14.5834</v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188</v>
      </c>
      <c r="AP9" s="118" t="n">
        <f aca="false">SUM(R9:Y9)+SUM(AN9)</f>
        <v>14.5834</v>
      </c>
      <c r="AQ9" s="118" t="n">
        <f aca="false">SUM(AF9:AM9)</f>
        <v>0</v>
      </c>
      <c r="AR9" s="118"/>
      <c r="AS9" s="119"/>
      <c r="AT9" s="119" t="s">
        <v>162</v>
      </c>
    </row>
    <row r="10" customFormat="false" ht="13.5" hidden="false" customHeight="false" outlineLevel="0" collapsed="false">
      <c r="A10" s="129"/>
      <c r="B10" s="130"/>
      <c r="C10" s="110"/>
      <c r="D10" s="122"/>
      <c r="E10" s="122"/>
      <c r="F10" s="122"/>
      <c r="G10" s="123"/>
      <c r="H10" s="101"/>
      <c r="I10" s="123"/>
      <c r="J10" s="101"/>
      <c r="K10" s="124"/>
      <c r="L10" s="125"/>
      <c r="M10" s="125"/>
      <c r="N10" s="126"/>
      <c r="O10" s="126"/>
      <c r="P10" s="126"/>
      <c r="Q10" s="127"/>
      <c r="R10" s="105"/>
      <c r="S10" s="106"/>
      <c r="T10" s="106"/>
      <c r="U10" s="106"/>
      <c r="V10" s="107"/>
      <c r="W10" s="106"/>
      <c r="X10" s="106"/>
      <c r="Y10" s="108"/>
      <c r="Z10" s="109"/>
      <c r="AA10" s="110"/>
      <c r="AB10" s="111"/>
      <c r="AC10" s="112"/>
      <c r="AD10" s="112"/>
      <c r="AE10" s="113"/>
      <c r="AF10" s="114"/>
      <c r="AG10" s="107"/>
      <c r="AH10" s="107"/>
      <c r="AI10" s="107"/>
      <c r="AJ10" s="107"/>
      <c r="AK10" s="107"/>
      <c r="AL10" s="107"/>
      <c r="AM10" s="115"/>
      <c r="AO10" s="117"/>
      <c r="AP10" s="118"/>
      <c r="AQ10" s="118"/>
      <c r="AR10" s="118"/>
      <c r="AS10" s="119"/>
      <c r="AT10" s="119"/>
    </row>
    <row r="11" customFormat="false" ht="13.5" hidden="false" customHeight="false" outlineLevel="0" collapsed="false">
      <c r="A11" s="131"/>
      <c r="B11" s="132"/>
      <c r="C11" s="133" t="s">
        <v>196</v>
      </c>
      <c r="D11" s="133"/>
      <c r="E11" s="133"/>
      <c r="F11" s="133"/>
      <c r="G11" s="134" t="n">
        <f aca="false">SUM(G6:G9)</f>
        <v>0.2302</v>
      </c>
      <c r="H11" s="135"/>
      <c r="I11" s="136"/>
      <c r="J11" s="137"/>
      <c r="K11" s="137"/>
      <c r="L11" s="137"/>
      <c r="M11" s="137"/>
      <c r="N11" s="138"/>
      <c r="O11" s="139" t="s">
        <v>197</v>
      </c>
      <c r="P11" s="139"/>
      <c r="Q11" s="139"/>
      <c r="R11" s="140" t="n">
        <f aca="false">SUM(R6:R9)</f>
        <v>0</v>
      </c>
      <c r="S11" s="140" t="n">
        <f aca="false">SUM(S6:S9)</f>
        <v>14.5834</v>
      </c>
      <c r="T11" s="140" t="n">
        <f aca="false">SUM(T6:T9)</f>
        <v>20.5355291756272</v>
      </c>
      <c r="U11" s="140" t="n">
        <f aca="false">SUM(U6:U9)</f>
        <v>0</v>
      </c>
      <c r="V11" s="140" t="n">
        <f aca="false">SUM(V6:V9)</f>
        <v>0</v>
      </c>
      <c r="W11" s="140" t="n">
        <f aca="false">SUM(W6:W9)</f>
        <v>0</v>
      </c>
      <c r="X11" s="140" t="n">
        <f aca="false">SUM(X6:X9)</f>
        <v>0</v>
      </c>
      <c r="Y11" s="140" t="n">
        <f aca="false">SUM(Y6:Y9)</f>
        <v>0</v>
      </c>
      <c r="Z11" s="141"/>
      <c r="AA11" s="142"/>
      <c r="AB11" s="143" t="s">
        <v>197</v>
      </c>
      <c r="AC11" s="143"/>
      <c r="AD11" s="143"/>
      <c r="AE11" s="143"/>
      <c r="AF11" s="140" t="n">
        <f aca="false">SUM(AF6:AF9)</f>
        <v>0</v>
      </c>
      <c r="AG11" s="140" t="n">
        <f aca="false">SUM(AG6:AG9)</f>
        <v>0</v>
      </c>
      <c r="AH11" s="140" t="n">
        <f aca="false">SUM(AH6:AH9)</f>
        <v>0</v>
      </c>
      <c r="AI11" s="140" t="n">
        <f aca="false">SUM(AI6:AI9)</f>
        <v>0</v>
      </c>
      <c r="AJ11" s="140" t="n">
        <f aca="false">SUM(AJ6:AJ9)</f>
        <v>0</v>
      </c>
      <c r="AK11" s="140" t="n">
        <f aca="false">SUM(AK6:AK9)</f>
        <v>0</v>
      </c>
      <c r="AL11" s="140" t="n">
        <f aca="false">SUM(AL6:AL9)</f>
        <v>0</v>
      </c>
      <c r="AM11" s="140" t="n">
        <f aca="false">SUM(AM6:AM9)</f>
        <v>0</v>
      </c>
      <c r="AN11" s="144" t="n">
        <f aca="false">SUM(AN6:AN9)</f>
        <v>0</v>
      </c>
      <c r="AO11" s="117"/>
      <c r="AP11" s="118"/>
      <c r="AQ11" s="118"/>
      <c r="AR11" s="118"/>
      <c r="AS11" s="119"/>
      <c r="AT11" s="119"/>
    </row>
    <row r="12" customFormat="false" ht="13.5" hidden="false" customHeight="false" outlineLevel="0" collapsed="false">
      <c r="A12" s="131" t="s">
        <v>198</v>
      </c>
      <c r="B12" s="95"/>
      <c r="C12" s="145" t="s">
        <v>199</v>
      </c>
      <c r="D12" s="145"/>
      <c r="E12" s="145"/>
      <c r="F12" s="145"/>
      <c r="G12" s="146" t="n">
        <f aca="false">SUM(I6:I9)</f>
        <v>3.06933333333333</v>
      </c>
      <c r="H12" s="147"/>
      <c r="I12" s="136"/>
      <c r="J12" s="148"/>
      <c r="K12" s="137"/>
      <c r="L12" s="137"/>
      <c r="M12" s="137"/>
      <c r="N12" s="138"/>
      <c r="O12" s="149" t="s">
        <v>200</v>
      </c>
      <c r="P12" s="149"/>
      <c r="Q12" s="149"/>
      <c r="R12" s="150" t="n">
        <f aca="false">SUM(R11:Y11)+AN11</f>
        <v>35.1189291756272</v>
      </c>
      <c r="S12" s="150"/>
      <c r="T12" s="150"/>
      <c r="U12" s="150"/>
      <c r="V12" s="150"/>
      <c r="W12" s="150"/>
      <c r="X12" s="150"/>
      <c r="Y12" s="150"/>
      <c r="Z12" s="151"/>
      <c r="AA12" s="152"/>
      <c r="AB12" s="153" t="s">
        <v>200</v>
      </c>
      <c r="AC12" s="153"/>
      <c r="AD12" s="153"/>
      <c r="AE12" s="153"/>
      <c r="AF12" s="150" t="n">
        <f aca="false">SUM(AF11:AM11)</f>
        <v>0</v>
      </c>
      <c r="AG12" s="150"/>
      <c r="AH12" s="150"/>
      <c r="AI12" s="150"/>
      <c r="AJ12" s="150"/>
      <c r="AK12" s="150"/>
      <c r="AL12" s="150"/>
      <c r="AM12" s="150"/>
      <c r="AN12" s="154"/>
      <c r="AO12" s="117"/>
      <c r="AP12" s="118"/>
      <c r="AQ12" s="118"/>
      <c r="AR12" s="118"/>
      <c r="AS12" s="119"/>
      <c r="AT12" s="119"/>
    </row>
    <row r="13" customFormat="false" ht="13.5" hidden="false" customHeight="false" outlineLevel="0" collapsed="false">
      <c r="A13" s="155"/>
      <c r="B13" s="156"/>
      <c r="C13" s="157" t="s">
        <v>201</v>
      </c>
      <c r="D13" s="157"/>
      <c r="E13" s="157"/>
      <c r="F13" s="157"/>
      <c r="G13" s="158" t="n">
        <f aca="false">IF(G11&gt;0,G12/G11,0)</f>
        <v>13.3333333333333</v>
      </c>
      <c r="H13" s="159"/>
      <c r="I13" s="160"/>
      <c r="J13" s="160"/>
      <c r="K13" s="160"/>
      <c r="L13" s="160"/>
      <c r="M13" s="160"/>
      <c r="N13" s="161"/>
      <c r="O13" s="162" t="s">
        <v>202</v>
      </c>
      <c r="P13" s="162"/>
      <c r="Q13" s="162"/>
      <c r="R13" s="163" t="n">
        <f aca="false">IF(G11&gt;0,R12/G11,0)</f>
        <v>152.558336992299</v>
      </c>
      <c r="S13" s="164"/>
      <c r="T13" s="165"/>
      <c r="U13" s="165"/>
      <c r="V13" s="165"/>
      <c r="W13" s="165"/>
      <c r="X13" s="165"/>
      <c r="Y13" s="166"/>
      <c r="Z13" s="141"/>
      <c r="AA13" s="167"/>
      <c r="AB13" s="168" t="s">
        <v>203</v>
      </c>
      <c r="AC13" s="168"/>
      <c r="AD13" s="168"/>
      <c r="AE13" s="168"/>
      <c r="AF13" s="163" t="n">
        <f aca="false">IF(G11&gt;0,AF12/G11,0)</f>
        <v>0</v>
      </c>
      <c r="AG13" s="164"/>
      <c r="AH13" s="165"/>
      <c r="AI13" s="165"/>
      <c r="AJ13" s="169" t="s">
        <v>204</v>
      </c>
      <c r="AK13" s="169"/>
      <c r="AL13" s="169"/>
      <c r="AM13" s="170" t="n">
        <f aca="false">IF(R12&gt;0,AF12/R12,0)</f>
        <v>0</v>
      </c>
      <c r="AN13" s="44"/>
      <c r="AO13" s="117"/>
      <c r="AP13" s="118"/>
      <c r="AQ13" s="118"/>
      <c r="AR13" s="118"/>
      <c r="AS13" s="119"/>
      <c r="AT13" s="119"/>
    </row>
    <row r="17" s="55" customFormat="true" ht="13.5" hidden="false" customHeight="false" outlineLevel="0" collapsed="false"/>
    <row r="18" s="55" customFormat="true" ht="13.5" hidden="false" customHeight="false" outlineLevel="0" collapsed="false"/>
    <row r="19" s="55" customFormat="true" ht="13.5" hidden="false" customHeight="false" outlineLevel="0" collapsed="false"/>
    <row r="22" s="55" customFormat="true" ht="13.5" hidden="false" customHeight="false" outlineLevel="0" collapsed="false"/>
    <row r="23" s="95" customFormat="true" ht="13.5" hidden="false" customHeight="false" outlineLevel="0" collapsed="false"/>
    <row r="24" s="116" customFormat="true" ht="13.5" hidden="false" customHeight="false" outlineLevel="0" collapsed="false"/>
    <row r="49" s="55" customFormat="true" ht="13.5" hidden="false" customHeight="false" outlineLevel="0" collapsed="false"/>
    <row r="50" s="55" customFormat="true" ht="13.5" hidden="false" customHeight="false" outlineLevel="0" collapsed="false"/>
    <row r="51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11:F11"/>
    <mergeCell ref="O11:Q11"/>
    <mergeCell ref="AB11:AE11"/>
    <mergeCell ref="C12:F12"/>
    <mergeCell ref="O12:Q12"/>
    <mergeCell ref="R12:Y12"/>
    <mergeCell ref="AB12:AE12"/>
    <mergeCell ref="AF12:AM12"/>
    <mergeCell ref="C13:F13"/>
    <mergeCell ref="O13:Q13"/>
    <mergeCell ref="AB13:AE13"/>
    <mergeCell ref="AJ13:AL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1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7.66"/>
    <col collapsed="false" customWidth="true" hidden="false" outlineLevel="0" max="6" min="6" style="44" width="7.1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3.5" hidden="false" customHeight="false" outlineLevel="0" collapsed="false">
      <c r="A6" s="96"/>
      <c r="B6" s="97" t="s">
        <v>400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s="116" customFormat="true" ht="13.5" hidden="false" customHeight="false" outlineLevel="0" collapsed="false">
      <c r="A7" s="120"/>
      <c r="B7" s="121" t="s">
        <v>401</v>
      </c>
      <c r="C7" s="110" t="n">
        <v>3</v>
      </c>
      <c r="D7" s="122" t="n">
        <v>0.25</v>
      </c>
      <c r="E7" s="122" t="n">
        <v>0.25</v>
      </c>
      <c r="F7" s="122" t="n">
        <v>6.57</v>
      </c>
      <c r="G7" s="123" t="n">
        <f aca="false">C7*D7*E7*F7</f>
        <v>1.231875</v>
      </c>
      <c r="H7" s="101"/>
      <c r="I7" s="123" t="n">
        <f aca="false">2*(D7+E7)*F7*C7</f>
        <v>19.71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160</v>
      </c>
      <c r="AP7" s="118" t="n">
        <f aca="false">SUM(R7:Y7)+SUM(AN7)</f>
        <v>0</v>
      </c>
      <c r="AQ7" s="118" t="n">
        <f aca="false">SUM(AF7:AM7)</f>
        <v>0</v>
      </c>
      <c r="AR7" s="118" t="n">
        <v>1.2318</v>
      </c>
      <c r="AS7" s="119" t="s">
        <v>402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403</v>
      </c>
      <c r="L8" s="125"/>
      <c r="M8" s="125"/>
      <c r="N8" s="126" t="n">
        <f aca="false">$C$7</f>
        <v>3</v>
      </c>
      <c r="O8" s="126" t="n">
        <v>4</v>
      </c>
      <c r="P8" s="126" t="n">
        <v>20</v>
      </c>
      <c r="Q8" s="127" t="n">
        <f aca="false">$F$7+50*20/1000</f>
        <v>7.57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n">
        <f aca="false">IF(P8=20,N8*O8*Q8*2.466*1,IF(P8&gt;20,"",IF(P8&lt;20,"")))</f>
        <v>224.01144</v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n">
        <f aca="false">IF(AC8&gt;0,N8,"")</f>
        <v>3</v>
      </c>
      <c r="AB8" s="111" t="n">
        <f aca="false">IF(AC8&gt;0,O8,"")</f>
        <v>4</v>
      </c>
      <c r="AC8" s="112" t="n">
        <v>1</v>
      </c>
      <c r="AD8" s="112" t="n">
        <v>50</v>
      </c>
      <c r="AE8" s="113" t="n">
        <f aca="false">IF(AC8&gt;0,P8,"")</f>
        <v>20</v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n">
        <f aca="false">IF(AE8=20,AA8*AB8*AC8*AD8*(AE8/1000)*2.466*1,IF(AE8&gt;20,"",IF(AE8&lt;20,"")))</f>
        <v>29.592</v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160</v>
      </c>
      <c r="AP8" s="118" t="n">
        <f aca="false">SUM(R8:Y8)+SUM(AN8)</f>
        <v>224.01144</v>
      </c>
      <c r="AQ8" s="118" t="n">
        <f aca="false">SUM(AF8:AM8)</f>
        <v>29.592</v>
      </c>
      <c r="AR8" s="118"/>
      <c r="AS8" s="119" t="s">
        <v>404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405</v>
      </c>
      <c r="L9" s="125" t="n">
        <v>0.6</v>
      </c>
      <c r="M9" s="125" t="n">
        <v>0.1</v>
      </c>
      <c r="N9" s="126" t="n">
        <f aca="false">$C$7*2*2*1</f>
        <v>12</v>
      </c>
      <c r="O9" s="126" t="n">
        <f aca="false">CEILING(L9/M9,1)+1</f>
        <v>7</v>
      </c>
      <c r="P9" s="126" t="n">
        <v>8</v>
      </c>
      <c r="Q9" s="127" t="n">
        <f aca="false">2*($D$7-2*0.035)+2*($E$7-2*0.035)+20*8/1000</f>
        <v>0.88</v>
      </c>
      <c r="R9" s="105" t="str">
        <f aca="false">IF(P9=6,N9*O9*Q9*0.222*1,IF(P9&gt;6,"",IF(P9&lt;6,"")))</f>
        <v/>
      </c>
      <c r="S9" s="106" t="n">
        <f aca="false">IF(P9=8,N9*O9*Q9*0.395*1,IF(P9&gt;8,"",IF(P9&lt;8,"")))</f>
        <v>29.1984</v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160</v>
      </c>
      <c r="AP9" s="118" t="n">
        <f aca="false">SUM(R9:Y9)+SUM(AN9)</f>
        <v>29.1984</v>
      </c>
      <c r="AQ9" s="118" t="n">
        <f aca="false">SUM(AF9:AM9)</f>
        <v>0</v>
      </c>
      <c r="AR9" s="118"/>
      <c r="AS9" s="119" t="s">
        <v>406</v>
      </c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407</v>
      </c>
      <c r="L10" s="125" t="n">
        <f aca="false">$F$7-2*0.6*2</f>
        <v>4.17</v>
      </c>
      <c r="M10" s="125" t="n">
        <v>0.15</v>
      </c>
      <c r="N10" s="126" t="n">
        <f aca="false">$C$7*1</f>
        <v>3</v>
      </c>
      <c r="O10" s="126" t="n">
        <f aca="false">CEILING(L10/M10,1)-1</f>
        <v>27</v>
      </c>
      <c r="P10" s="126" t="n">
        <v>8</v>
      </c>
      <c r="Q10" s="127" t="n">
        <f aca="false">2*($D$7-2*0.035)+2*($E$7-2*0.035)+20*8/1000</f>
        <v>0.88</v>
      </c>
      <c r="R10" s="105" t="str">
        <f aca="false">IF(P10=6,N10*O10*Q10*0.222*1,IF(P10&gt;6,"",IF(P10&lt;6,"")))</f>
        <v/>
      </c>
      <c r="S10" s="106" t="n">
        <f aca="false">IF(P10=8,N10*O10*Q10*0.395*1,IF(P10&gt;8,"",IF(P10&lt;8,"")))</f>
        <v>28.1556</v>
      </c>
      <c r="T10" s="106" t="str">
        <f aca="false">IF(P10=10,N10*O10*Q10*0.617*1,IF(P10&gt;10,"",IF(P10&lt;10,"")))</f>
        <v/>
      </c>
      <c r="U10" s="106" t="str">
        <f aca="false">IF(P10=12,N10*O10*Q10*0.888*1,IF(P10&gt;12,"",IF(P10&lt;12,"")))</f>
        <v/>
      </c>
      <c r="V10" s="107" t="str">
        <f aca="false">IF(P10=16,N10*O10*Q10*1.578*1,IF(P10&gt;16,"",IF(P10&lt;16,"")))</f>
        <v/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160</v>
      </c>
      <c r="AP10" s="118" t="n">
        <f aca="false">SUM(R10:Y10)+SUM(AN10)</f>
        <v>28.1556</v>
      </c>
      <c r="AQ10" s="118" t="n">
        <f aca="false">SUM(AF10:AM10)</f>
        <v>0</v>
      </c>
      <c r="AR10" s="118"/>
      <c r="AS10" s="119" t="s">
        <v>408</v>
      </c>
      <c r="AT10" s="119" t="s">
        <v>162</v>
      </c>
    </row>
    <row r="11" customFormat="false" ht="13.5" hidden="false" customHeight="false" outlineLevel="0" collapsed="false">
      <c r="A11" s="129"/>
      <c r="B11" s="130"/>
      <c r="C11" s="110"/>
      <c r="D11" s="122"/>
      <c r="E11" s="122"/>
      <c r="F11" s="122"/>
      <c r="G11" s="123"/>
      <c r="H11" s="101"/>
      <c r="I11" s="123"/>
      <c r="J11" s="101"/>
      <c r="K11" s="124"/>
      <c r="L11" s="125"/>
      <c r="M11" s="125"/>
      <c r="N11" s="126"/>
      <c r="O11" s="126"/>
      <c r="P11" s="126"/>
      <c r="Q11" s="127"/>
      <c r="R11" s="105"/>
      <c r="S11" s="106"/>
      <c r="T11" s="106"/>
      <c r="U11" s="106"/>
      <c r="V11" s="107"/>
      <c r="W11" s="106"/>
      <c r="X11" s="106"/>
      <c r="Y11" s="108"/>
      <c r="Z11" s="109"/>
      <c r="AA11" s="110"/>
      <c r="AB11" s="111"/>
      <c r="AC11" s="112"/>
      <c r="AD11" s="112"/>
      <c r="AE11" s="113"/>
      <c r="AF11" s="114"/>
      <c r="AG11" s="107"/>
      <c r="AH11" s="107"/>
      <c r="AI11" s="107"/>
      <c r="AJ11" s="107"/>
      <c r="AK11" s="107"/>
      <c r="AL11" s="107"/>
      <c r="AM11" s="115"/>
      <c r="AO11" s="117"/>
      <c r="AP11" s="118"/>
      <c r="AQ11" s="118"/>
      <c r="AR11" s="118"/>
      <c r="AS11" s="119"/>
      <c r="AT11" s="119"/>
    </row>
    <row r="12" customFormat="false" ht="13.5" hidden="false" customHeight="false" outlineLevel="0" collapsed="false">
      <c r="A12" s="120"/>
      <c r="B12" s="121" t="s">
        <v>409</v>
      </c>
      <c r="C12" s="110" t="n">
        <v>3</v>
      </c>
      <c r="D12" s="122" t="n">
        <v>0.25</v>
      </c>
      <c r="E12" s="122" t="n">
        <v>0.25</v>
      </c>
      <c r="F12" s="122" t="n">
        <v>3.62</v>
      </c>
      <c r="G12" s="123" t="n">
        <f aca="false">C12*D12*E12*F12</f>
        <v>0.67875</v>
      </c>
      <c r="H12" s="101"/>
      <c r="I12" s="123" t="n">
        <f aca="false">2*(D12+E12)*F12*C12</f>
        <v>10.86</v>
      </c>
      <c r="J12" s="101"/>
      <c r="K12" s="124"/>
      <c r="L12" s="125"/>
      <c r="M12" s="125"/>
      <c r="N12" s="126"/>
      <c r="O12" s="126"/>
      <c r="P12" s="126"/>
      <c r="Q12" s="127"/>
      <c r="R12" s="105" t="str">
        <f aca="false">IF(P12=6,N12*O12*Q12*0.222*1,IF(P12&gt;6,"",IF(P12&lt;6,"")))</f>
        <v/>
      </c>
      <c r="S12" s="106" t="str">
        <f aca="false">IF(P12=8,N12*O12*Q12*0.395*1,IF(P12&gt;8,"",IF(P12&lt;8,"")))</f>
        <v/>
      </c>
      <c r="T12" s="106" t="str">
        <f aca="false">IF(P12=10,N12*O12*Q12*0.617*1,IF(P12&gt;10,"",IF(P12&lt;10,"")))</f>
        <v/>
      </c>
      <c r="U12" s="106" t="str">
        <f aca="false">IF(P12=12,N12*O12*Q12*0.888*1,IF(P12&gt;12,"",IF(P12&lt;12,"")))</f>
        <v/>
      </c>
      <c r="V12" s="107" t="str">
        <f aca="false">IF(P12=16,N12*O12*Q12*1.578*1,IF(P12&gt;16,"",IF(P12&lt;16,"")))</f>
        <v/>
      </c>
      <c r="W12" s="106" t="str">
        <f aca="false">IF(P12=20,N12*O12*Q12*2.466*1,IF(P12&gt;20,"",IF(P12&lt;20,"")))</f>
        <v/>
      </c>
      <c r="X12" s="106" t="str">
        <f aca="false">IF(P12=25,N12*O12*Q12*3.853*1,IF(P12&gt;25,"",IF(P12&lt;25,"")))</f>
        <v/>
      </c>
      <c r="Y12" s="108" t="str">
        <f aca="false">IF(P12=32,N12*O12*Q12*6.313*1,IF(P12&gt;32,"",IF(P12&lt;32,"")))</f>
        <v/>
      </c>
      <c r="Z12" s="109"/>
      <c r="AA12" s="110" t="str">
        <f aca="false">IF(AC12&gt;0,N12,"")</f>
        <v/>
      </c>
      <c r="AB12" s="111" t="str">
        <f aca="false">IF(AC12&gt;0,O12,"")</f>
        <v/>
      </c>
      <c r="AC12" s="112"/>
      <c r="AD12" s="112"/>
      <c r="AE12" s="113" t="str">
        <f aca="false">IF(AC12&gt;0,P12,"")</f>
        <v/>
      </c>
      <c r="AF12" s="114" t="str">
        <f aca="false">IF(AE12=6,AA12*AB12*AC12*AD12*(AE12/1000)*0.222*1,IF(AE12&gt;6,"",IF(AE12&lt;6,"")))</f>
        <v/>
      </c>
      <c r="AG12" s="107" t="str">
        <f aca="false">IF(AE12=8,AA12*AB12*AC12*AD12*(AE12/1000)*0.395*1,IF(AE12&gt;8,"",IF(AE12&lt;8,"")))</f>
        <v/>
      </c>
      <c r="AH12" s="107" t="str">
        <f aca="false">IF(AE12=10,AA12*AB12*AC12*AD12*(AE12/1000)*0.617*1,IF(AE12&gt;10,"",IF(AE12&lt;10,"")))</f>
        <v/>
      </c>
      <c r="AI12" s="107" t="str">
        <f aca="false">IF(AE12=12,AA12*AB12*AC12*AD12*(AE12/1000)*0.888*1,IF(AE12&gt;12,"",IF(AE12&lt;12,"")))</f>
        <v/>
      </c>
      <c r="AJ12" s="107" t="str">
        <f aca="false">IF(AE12=16,AA12*AB12*AC12*AD12*(AE12/1000)*1.578*1,IF(AE12&gt;16,"",IF(AE12&lt;16,"")))</f>
        <v/>
      </c>
      <c r="AK12" s="107" t="str">
        <f aca="false">IF(AE12=20,AA12*AB12*AC12*AD12*(AE12/1000)*2.466*1,IF(AE12&gt;20,"",IF(AE12&lt;20,"")))</f>
        <v/>
      </c>
      <c r="AL12" s="107" t="str">
        <f aca="false">IF(AE12=25,AA12*AB12*AC12*AD12*(AE12/1000)*3.853*1,IF(AE12&gt;25,"",IF(AE12&lt;25,"")))</f>
        <v/>
      </c>
      <c r="AM12" s="115" t="str">
        <f aca="false">IF(AE12=32,AA12*AB12*AC12*AD12*(AE12/1000)*6.313*1,IF(AE12&gt;32,"",IF(AE12&lt;32,"")))</f>
        <v/>
      </c>
      <c r="AN12" s="128"/>
      <c r="AO12" s="117" t="s">
        <v>160</v>
      </c>
      <c r="AP12" s="118" t="n">
        <f aca="false">SUM(R12:Y12)+SUM(AN12)</f>
        <v>0</v>
      </c>
      <c r="AQ12" s="118" t="n">
        <f aca="false">SUM(AF12:AM12)</f>
        <v>0</v>
      </c>
      <c r="AR12" s="118" t="n">
        <v>0.6786</v>
      </c>
      <c r="AS12" s="119" t="s">
        <v>410</v>
      </c>
      <c r="AT12" s="119" t="s">
        <v>209</v>
      </c>
    </row>
    <row r="13" customFormat="false" ht="13.5" hidden="false" customHeight="false" outlineLevel="0" collapsed="false">
      <c r="A13" s="129"/>
      <c r="B13" s="172"/>
      <c r="C13" s="110"/>
      <c r="D13" s="122"/>
      <c r="E13" s="122"/>
      <c r="F13" s="173"/>
      <c r="G13" s="123"/>
      <c r="H13" s="101"/>
      <c r="I13" s="123"/>
      <c r="J13" s="101"/>
      <c r="K13" s="124" t="s">
        <v>403</v>
      </c>
      <c r="L13" s="125"/>
      <c r="M13" s="125"/>
      <c r="N13" s="126" t="n">
        <f aca="false">$C$12</f>
        <v>3</v>
      </c>
      <c r="O13" s="126" t="n">
        <v>4</v>
      </c>
      <c r="P13" s="126" t="n">
        <v>20</v>
      </c>
      <c r="Q13" s="127" t="n">
        <f aca="false">$F$12+50*20/1000</f>
        <v>4.62</v>
      </c>
      <c r="R13" s="105" t="str">
        <f aca="false">IF(P13=6,N13*O13*Q13*0.222*1,IF(P13&gt;6,"",IF(P13&lt;6,"")))</f>
        <v/>
      </c>
      <c r="S13" s="106" t="str">
        <f aca="false">IF(P13=8,N13*O13*Q13*0.395*1,IF(P13&gt;8,"",IF(P13&lt;8,"")))</f>
        <v/>
      </c>
      <c r="T13" s="106" t="str">
        <f aca="false">IF(P13=10,N13*O13*Q13*0.617*1,IF(P13&gt;10,"",IF(P13&lt;10,"")))</f>
        <v/>
      </c>
      <c r="U13" s="106" t="str">
        <f aca="false">IF(P13=12,N13*O13*Q13*0.888*1,IF(P13&gt;12,"",IF(P13&lt;12,"")))</f>
        <v/>
      </c>
      <c r="V13" s="107" t="str">
        <f aca="false">IF(P13=16,N13*O13*Q13*1.578*1,IF(P13&gt;16,"",IF(P13&lt;16,"")))</f>
        <v/>
      </c>
      <c r="W13" s="106" t="n">
        <f aca="false">IF(P13=20,N13*O13*Q13*2.466*1,IF(P13&gt;20,"",IF(P13&lt;20,"")))</f>
        <v>136.71504</v>
      </c>
      <c r="X13" s="106" t="str">
        <f aca="false">IF(P13=25,N13*O13*Q13*3.853*1,IF(P13&gt;25,"",IF(P13&lt;25,"")))</f>
        <v/>
      </c>
      <c r="Y13" s="108" t="str">
        <f aca="false">IF(P13=32,N13*O13*Q13*6.313*1,IF(P13&gt;32,"",IF(P13&lt;32,"")))</f>
        <v/>
      </c>
      <c r="Z13" s="109"/>
      <c r="AA13" s="110" t="str">
        <f aca="false">IF(AC13&gt;0,N13,"")</f>
        <v/>
      </c>
      <c r="AB13" s="111" t="str">
        <f aca="false">IF(AC13&gt;0,O13,"")</f>
        <v/>
      </c>
      <c r="AC13" s="112"/>
      <c r="AD13" s="112"/>
      <c r="AE13" s="113" t="str">
        <f aca="false">IF(AC13&gt;0,P13,"")</f>
        <v/>
      </c>
      <c r="AF13" s="114" t="str">
        <f aca="false">IF(AE13=6,AA13*AB13*AC13*AD13*(AE13/1000)*0.222*1,IF(AE13&gt;6,"",IF(AE13&lt;6,"")))</f>
        <v/>
      </c>
      <c r="AG13" s="107" t="str">
        <f aca="false">IF(AE13=8,AA13*AB13*AC13*AD13*(AE13/1000)*0.395*1,IF(AE13&gt;8,"",IF(AE13&lt;8,"")))</f>
        <v/>
      </c>
      <c r="AH13" s="107" t="str">
        <f aca="false">IF(AE13=10,AA13*AB13*AC13*AD13*(AE13/1000)*0.617*1,IF(AE13&gt;10,"",IF(AE13&lt;10,"")))</f>
        <v/>
      </c>
      <c r="AI13" s="107" t="str">
        <f aca="false">IF(AE13=12,AA13*AB13*AC13*AD13*(AE13/1000)*0.888*1,IF(AE13&gt;12,"",IF(AE13&lt;12,"")))</f>
        <v/>
      </c>
      <c r="AJ13" s="107" t="str">
        <f aca="false">IF(AE13=16,AA13*AB13*AC13*AD13*(AE13/1000)*1.578*1,IF(AE13&gt;16,"",IF(AE13&lt;16,"")))</f>
        <v/>
      </c>
      <c r="AK13" s="107" t="str">
        <f aca="false">IF(AE13=20,AA13*AB13*AC13*AD13*(AE13/1000)*2.466*1,IF(AE13&gt;20,"",IF(AE13&lt;20,"")))</f>
        <v/>
      </c>
      <c r="AL13" s="107" t="str">
        <f aca="false">IF(AE13=25,AA13*AB13*AC13*AD13*(AE13/1000)*3.853*1,IF(AE13&gt;25,"",IF(AE13&lt;25,"")))</f>
        <v/>
      </c>
      <c r="AM13" s="115" t="str">
        <f aca="false">IF(AE13=32,AA13*AB13*AC13*AD13*(AE13/1000)*6.313*1,IF(AE13&gt;32,"",IF(AE13&lt;32,"")))</f>
        <v/>
      </c>
      <c r="AN13" s="128"/>
      <c r="AO13" s="117" t="s">
        <v>160</v>
      </c>
      <c r="AP13" s="118" t="n">
        <f aca="false">SUM(R13:Y13)+SUM(AN13)</f>
        <v>136.71504</v>
      </c>
      <c r="AQ13" s="118" t="n">
        <f aca="false">SUM(AF13:AM13)</f>
        <v>0</v>
      </c>
      <c r="AR13" s="118"/>
      <c r="AS13" s="119" t="s">
        <v>411</v>
      </c>
      <c r="AT13" s="119" t="s">
        <v>162</v>
      </c>
    </row>
    <row r="14" customFormat="false" ht="13.5" hidden="false" customHeight="false" outlineLevel="0" collapsed="false">
      <c r="A14" s="129"/>
      <c r="B14" s="172"/>
      <c r="C14" s="110"/>
      <c r="D14" s="122"/>
      <c r="E14" s="122"/>
      <c r="F14" s="173"/>
      <c r="G14" s="123"/>
      <c r="H14" s="101"/>
      <c r="I14" s="123"/>
      <c r="J14" s="101"/>
      <c r="K14" s="124" t="s">
        <v>405</v>
      </c>
      <c r="L14" s="125" t="n">
        <v>0.6</v>
      </c>
      <c r="M14" s="125" t="n">
        <v>0.1</v>
      </c>
      <c r="N14" s="126" t="n">
        <f aca="false">$C$12*2*1*1</f>
        <v>6</v>
      </c>
      <c r="O14" s="126" t="n">
        <f aca="false">CEILING(L14/M14,1)+1</f>
        <v>7</v>
      </c>
      <c r="P14" s="126" t="n">
        <v>8</v>
      </c>
      <c r="Q14" s="127" t="n">
        <f aca="false">2*($D$12-2*0.035)+2*($E$12-2*0.035)+20*8/1000</f>
        <v>0.88</v>
      </c>
      <c r="R14" s="105" t="str">
        <f aca="false">IF(P14=6,N14*O14*Q14*0.222*1,IF(P14&gt;6,"",IF(P14&lt;6,"")))</f>
        <v/>
      </c>
      <c r="S14" s="106" t="n">
        <f aca="false">IF(P14=8,N14*O14*Q14*0.395*1,IF(P14&gt;8,"",IF(P14&lt;8,"")))</f>
        <v>14.5992</v>
      </c>
      <c r="T14" s="106" t="str">
        <f aca="false">IF(P14=10,N14*O14*Q14*0.617*1,IF(P14&gt;10,"",IF(P14&lt;10,"")))</f>
        <v/>
      </c>
      <c r="U14" s="106" t="str">
        <f aca="false">IF(P14=12,N14*O14*Q14*0.888*1,IF(P14&gt;12,"",IF(P14&lt;12,"")))</f>
        <v/>
      </c>
      <c r="V14" s="107" t="str">
        <f aca="false">IF(P14=16,N14*O14*Q14*1.578*1,IF(P14&gt;16,"",IF(P14&lt;16,"")))</f>
        <v/>
      </c>
      <c r="W14" s="106" t="str">
        <f aca="false">IF(P14=20,N14*O14*Q14*2.466*1,IF(P14&gt;20,"",IF(P14&lt;20,"")))</f>
        <v/>
      </c>
      <c r="X14" s="106" t="str">
        <f aca="false">IF(P14=25,N14*O14*Q14*3.853*1,IF(P14&gt;25,"",IF(P14&lt;25,"")))</f>
        <v/>
      </c>
      <c r="Y14" s="108" t="str">
        <f aca="false">IF(P14=32,N14*O14*Q14*6.313*1,IF(P14&gt;32,"",IF(P14&lt;32,"")))</f>
        <v/>
      </c>
      <c r="Z14" s="109"/>
      <c r="AA14" s="110" t="str">
        <f aca="false">IF(AC14&gt;0,N14,"")</f>
        <v/>
      </c>
      <c r="AB14" s="111" t="str">
        <f aca="false">IF(AC14&gt;0,O14,"")</f>
        <v/>
      </c>
      <c r="AC14" s="112"/>
      <c r="AD14" s="112"/>
      <c r="AE14" s="113" t="str">
        <f aca="false">IF(AC14&gt;0,P14,"")</f>
        <v/>
      </c>
      <c r="AF14" s="114" t="str">
        <f aca="false">IF(AE14=6,AA14*AB14*AC14*AD14*(AE14/1000)*0.222*1,IF(AE14&gt;6,"",IF(AE14&lt;6,"")))</f>
        <v/>
      </c>
      <c r="AG14" s="107" t="str">
        <f aca="false">IF(AE14=8,AA14*AB14*AC14*AD14*(AE14/1000)*0.395*1,IF(AE14&gt;8,"",IF(AE14&lt;8,"")))</f>
        <v/>
      </c>
      <c r="AH14" s="107" t="str">
        <f aca="false">IF(AE14=10,AA14*AB14*AC14*AD14*(AE14/1000)*0.617*1,IF(AE14&gt;10,"",IF(AE14&lt;10,"")))</f>
        <v/>
      </c>
      <c r="AI14" s="107" t="str">
        <f aca="false">IF(AE14=12,AA14*AB14*AC14*AD14*(AE14/1000)*0.888*1,IF(AE14&gt;12,"",IF(AE14&lt;12,"")))</f>
        <v/>
      </c>
      <c r="AJ14" s="107" t="str">
        <f aca="false">IF(AE14=16,AA14*AB14*AC14*AD14*(AE14/1000)*1.578*1,IF(AE14&gt;16,"",IF(AE14&lt;16,"")))</f>
        <v/>
      </c>
      <c r="AK14" s="107" t="str">
        <f aca="false">IF(AE14=20,AA14*AB14*AC14*AD14*(AE14/1000)*2.466*1,IF(AE14&gt;20,"",IF(AE14&lt;20,"")))</f>
        <v/>
      </c>
      <c r="AL14" s="107" t="str">
        <f aca="false">IF(AE14=25,AA14*AB14*AC14*AD14*(AE14/1000)*3.853*1,IF(AE14&gt;25,"",IF(AE14&lt;25,"")))</f>
        <v/>
      </c>
      <c r="AM14" s="115" t="str">
        <f aca="false">IF(AE14=32,AA14*AB14*AC14*AD14*(AE14/1000)*6.313*1,IF(AE14&gt;32,"",IF(AE14&lt;32,"")))</f>
        <v/>
      </c>
      <c r="AN14" s="128"/>
      <c r="AO14" s="117" t="s">
        <v>160</v>
      </c>
      <c r="AP14" s="118" t="n">
        <f aca="false">SUM(R14:Y14)+SUM(AN14)</f>
        <v>14.5992</v>
      </c>
      <c r="AQ14" s="118" t="n">
        <f aca="false">SUM(AF14:AM14)</f>
        <v>0</v>
      </c>
      <c r="AR14" s="118"/>
      <c r="AS14" s="119" t="s">
        <v>412</v>
      </c>
      <c r="AT14" s="119" t="s">
        <v>162</v>
      </c>
    </row>
    <row r="15" customFormat="false" ht="13.5" hidden="false" customHeight="false" outlineLevel="0" collapsed="false">
      <c r="A15" s="129"/>
      <c r="B15" s="172"/>
      <c r="C15" s="110"/>
      <c r="D15" s="122"/>
      <c r="E15" s="122"/>
      <c r="F15" s="173"/>
      <c r="G15" s="123"/>
      <c r="H15" s="101"/>
      <c r="I15" s="123"/>
      <c r="J15" s="101"/>
      <c r="K15" s="124" t="s">
        <v>407</v>
      </c>
      <c r="L15" s="125" t="n">
        <f aca="false">$F$12-2*0.6*1</f>
        <v>2.42</v>
      </c>
      <c r="M15" s="125" t="n">
        <v>0.15</v>
      </c>
      <c r="N15" s="126" t="n">
        <f aca="false">$C$12*1</f>
        <v>3</v>
      </c>
      <c r="O15" s="126" t="n">
        <f aca="false">CEILING(L15/M15,1)-1</f>
        <v>16</v>
      </c>
      <c r="P15" s="126" t="n">
        <v>8</v>
      </c>
      <c r="Q15" s="127" t="n">
        <f aca="false">2*($D$12-2*0.035)+2*($E$12-2*0.035)+20*8/1000</f>
        <v>0.88</v>
      </c>
      <c r="R15" s="105" t="str">
        <f aca="false">IF(P15=6,N15*O15*Q15*0.222*1,IF(P15&gt;6,"",IF(P15&lt;6,"")))</f>
        <v/>
      </c>
      <c r="S15" s="106" t="n">
        <f aca="false">IF(P15=8,N15*O15*Q15*0.395*1,IF(P15&gt;8,"",IF(P15&lt;8,"")))</f>
        <v>16.6848</v>
      </c>
      <c r="T15" s="106" t="str">
        <f aca="false">IF(P15=10,N15*O15*Q15*0.617*1,IF(P15&gt;10,"",IF(P15&lt;10,"")))</f>
        <v/>
      </c>
      <c r="U15" s="106" t="str">
        <f aca="false">IF(P15=12,N15*O15*Q15*0.888*1,IF(P15&gt;12,"",IF(P15&lt;12,"")))</f>
        <v/>
      </c>
      <c r="V15" s="107" t="str">
        <f aca="false">IF(P15=16,N15*O15*Q15*1.578*1,IF(P15&gt;16,"",IF(P15&lt;16,"")))</f>
        <v/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160</v>
      </c>
      <c r="AP15" s="118" t="n">
        <f aca="false">SUM(R15:Y15)+SUM(AN15)</f>
        <v>16.6848</v>
      </c>
      <c r="AQ15" s="118" t="n">
        <f aca="false">SUM(AF15:AM15)</f>
        <v>0</v>
      </c>
      <c r="AR15" s="118"/>
      <c r="AS15" s="119" t="s">
        <v>408</v>
      </c>
      <c r="AT15" s="119" t="s">
        <v>162</v>
      </c>
    </row>
    <row r="16" customFormat="false" ht="13.5" hidden="false" customHeight="false" outlineLevel="0" collapsed="false">
      <c r="A16" s="129"/>
      <c r="B16" s="130"/>
      <c r="C16" s="110"/>
      <c r="D16" s="122"/>
      <c r="E16" s="122"/>
      <c r="F16" s="122"/>
      <c r="G16" s="123"/>
      <c r="H16" s="101"/>
      <c r="I16" s="123"/>
      <c r="J16" s="101"/>
      <c r="K16" s="124"/>
      <c r="L16" s="125"/>
      <c r="M16" s="125"/>
      <c r="N16" s="126"/>
      <c r="O16" s="126"/>
      <c r="P16" s="126"/>
      <c r="Q16" s="127"/>
      <c r="R16" s="105"/>
      <c r="S16" s="106"/>
      <c r="T16" s="106"/>
      <c r="U16" s="106"/>
      <c r="V16" s="107"/>
      <c r="W16" s="106"/>
      <c r="X16" s="106"/>
      <c r="Y16" s="108"/>
      <c r="Z16" s="109"/>
      <c r="AA16" s="110"/>
      <c r="AB16" s="111"/>
      <c r="AC16" s="112"/>
      <c r="AD16" s="112"/>
      <c r="AE16" s="113"/>
      <c r="AF16" s="114"/>
      <c r="AG16" s="107"/>
      <c r="AH16" s="107"/>
      <c r="AI16" s="107"/>
      <c r="AJ16" s="107"/>
      <c r="AK16" s="107"/>
      <c r="AL16" s="107"/>
      <c r="AM16" s="115"/>
      <c r="AO16" s="117"/>
      <c r="AP16" s="118"/>
      <c r="AQ16" s="118"/>
      <c r="AR16" s="118"/>
      <c r="AS16" s="119"/>
      <c r="AT16" s="119"/>
    </row>
    <row r="17" customFormat="false" ht="13.5" hidden="false" customHeight="false" outlineLevel="0" collapsed="false">
      <c r="A17" s="120"/>
      <c r="B17" s="121" t="s">
        <v>413</v>
      </c>
      <c r="C17" s="110" t="n">
        <v>2</v>
      </c>
      <c r="D17" s="122" t="n">
        <v>0.25</v>
      </c>
      <c r="E17" s="122" t="n">
        <v>0.25</v>
      </c>
      <c r="F17" s="122" t="n">
        <v>5.26</v>
      </c>
      <c r="G17" s="123" t="n">
        <f aca="false">C17*D17*E17*F17</f>
        <v>0.6575</v>
      </c>
      <c r="H17" s="101"/>
      <c r="I17" s="123" t="n">
        <f aca="false">2*(D17+E17)*F17*C17</f>
        <v>10.52</v>
      </c>
      <c r="J17" s="101"/>
      <c r="K17" s="124"/>
      <c r="L17" s="125"/>
      <c r="M17" s="125"/>
      <c r="N17" s="126"/>
      <c r="O17" s="126"/>
      <c r="P17" s="126"/>
      <c r="Q17" s="127"/>
      <c r="R17" s="105" t="str">
        <f aca="false">IF(P17=6,N17*O17*Q17*0.222*1,IF(P17&gt;6,"",IF(P17&lt;6,"")))</f>
        <v/>
      </c>
      <c r="S17" s="106" t="str">
        <f aca="false">IF(P17=8,N17*O17*Q17*0.395*1,IF(P17&gt;8,"",IF(P17&lt;8,"")))</f>
        <v/>
      </c>
      <c r="T17" s="106" t="str">
        <f aca="false">IF(P17=10,N17*O17*Q17*0.617*1,IF(P17&gt;10,"",IF(P17&lt;10,"")))</f>
        <v/>
      </c>
      <c r="U17" s="106" t="str">
        <f aca="false">IF(P17=12,N17*O17*Q17*0.888*1,IF(P17&gt;12,"",IF(P17&lt;12,"")))</f>
        <v/>
      </c>
      <c r="V17" s="107" t="str">
        <f aca="false">IF(P17=16,N17*O17*Q17*1.578*1,IF(P17&gt;16,"",IF(P17&lt;16,"")))</f>
        <v/>
      </c>
      <c r="W17" s="106" t="str">
        <f aca="false">IF(P17=20,N17*O17*Q17*2.466*1,IF(P17&gt;20,"",IF(P17&lt;20,"")))</f>
        <v/>
      </c>
      <c r="X17" s="106" t="str">
        <f aca="false">IF(P17=25,N17*O17*Q17*3.853*1,IF(P17&gt;25,"",IF(P17&lt;25,"")))</f>
        <v/>
      </c>
      <c r="Y17" s="108" t="str">
        <f aca="false">IF(P17=32,N17*O17*Q17*6.313*1,IF(P17&gt;32,"",IF(P17&lt;32,"")))</f>
        <v/>
      </c>
      <c r="Z17" s="109"/>
      <c r="AA17" s="110" t="str">
        <f aca="false">IF(AC17&gt;0,N17,"")</f>
        <v/>
      </c>
      <c r="AB17" s="111" t="str">
        <f aca="false">IF(AC17&gt;0,O17,"")</f>
        <v/>
      </c>
      <c r="AC17" s="112"/>
      <c r="AD17" s="112"/>
      <c r="AE17" s="113" t="str">
        <f aca="false">IF(AC17&gt;0,P17,"")</f>
        <v/>
      </c>
      <c r="AF17" s="114" t="str">
        <f aca="false">IF(AE17=6,AA17*AB17*AC17*AD17*(AE17/1000)*0.222*1,IF(AE17&gt;6,"",IF(AE17&lt;6,"")))</f>
        <v/>
      </c>
      <c r="AG17" s="107" t="str">
        <f aca="false">IF(AE17=8,AA17*AB17*AC17*AD17*(AE17/1000)*0.395*1,IF(AE17&gt;8,"",IF(AE17&lt;8,"")))</f>
        <v/>
      </c>
      <c r="AH17" s="107" t="str">
        <f aca="false">IF(AE17=10,AA17*AB17*AC17*AD17*(AE17/1000)*0.617*1,IF(AE17&gt;10,"",IF(AE17&lt;10,"")))</f>
        <v/>
      </c>
      <c r="AI17" s="107" t="str">
        <f aca="false">IF(AE17=12,AA17*AB17*AC17*AD17*(AE17/1000)*0.888*1,IF(AE17&gt;12,"",IF(AE17&lt;12,"")))</f>
        <v/>
      </c>
      <c r="AJ17" s="107" t="str">
        <f aca="false">IF(AE17=16,AA17*AB17*AC17*AD17*(AE17/1000)*1.578*1,IF(AE17&gt;16,"",IF(AE17&lt;16,"")))</f>
        <v/>
      </c>
      <c r="AK17" s="107" t="str">
        <f aca="false">IF(AE17=20,AA17*AB17*AC17*AD17*(AE17/1000)*2.466*1,IF(AE17&gt;20,"",IF(AE17&lt;20,"")))</f>
        <v/>
      </c>
      <c r="AL17" s="107" t="str">
        <f aca="false">IF(AE17=25,AA17*AB17*AC17*AD17*(AE17/1000)*3.853*1,IF(AE17&gt;25,"",IF(AE17&lt;25,"")))</f>
        <v/>
      </c>
      <c r="AM17" s="115" t="str">
        <f aca="false">IF(AE17=32,AA17*AB17*AC17*AD17*(AE17/1000)*6.313*1,IF(AE17&gt;32,"",IF(AE17&lt;32,"")))</f>
        <v/>
      </c>
      <c r="AN17" s="128"/>
      <c r="AO17" s="117" t="s">
        <v>160</v>
      </c>
      <c r="AP17" s="118" t="n">
        <f aca="false">SUM(R17:Y17)+SUM(AN17)</f>
        <v>0</v>
      </c>
      <c r="AQ17" s="118" t="n">
        <f aca="false">SUM(AF17:AM17)</f>
        <v>0</v>
      </c>
      <c r="AR17" s="118" t="n">
        <v>0.6576</v>
      </c>
      <c r="AS17" s="119" t="s">
        <v>414</v>
      </c>
      <c r="AT17" s="119" t="s">
        <v>209</v>
      </c>
    </row>
    <row r="18" customFormat="false" ht="13.5" hidden="false" customHeight="false" outlineLevel="0" collapsed="false">
      <c r="A18" s="129"/>
      <c r="B18" s="172"/>
      <c r="C18" s="110"/>
      <c r="D18" s="122"/>
      <c r="E18" s="122"/>
      <c r="F18" s="173"/>
      <c r="G18" s="123"/>
      <c r="H18" s="101"/>
      <c r="I18" s="123"/>
      <c r="J18" s="101"/>
      <c r="K18" s="124" t="s">
        <v>403</v>
      </c>
      <c r="L18" s="125"/>
      <c r="M18" s="125"/>
      <c r="N18" s="126" t="n">
        <f aca="false">$C$17</f>
        <v>2</v>
      </c>
      <c r="O18" s="126" t="n">
        <v>4</v>
      </c>
      <c r="P18" s="126" t="n">
        <v>20</v>
      </c>
      <c r="Q18" s="127" t="n">
        <f aca="false">$F$17+2*50*20/1000</f>
        <v>7.26</v>
      </c>
      <c r="R18" s="105" t="str">
        <f aca="false">IF(P18=6,N18*O18*Q18*0.222*1,IF(P18&gt;6,"",IF(P18&lt;6,"")))</f>
        <v/>
      </c>
      <c r="S18" s="106" t="str">
        <f aca="false">IF(P18=8,N18*O18*Q18*0.395*1,IF(P18&gt;8,"",IF(P18&lt;8,"")))</f>
        <v/>
      </c>
      <c r="T18" s="106" t="str">
        <f aca="false">IF(P18=10,N18*O18*Q18*0.617*1,IF(P18&gt;10,"",IF(P18&lt;10,"")))</f>
        <v/>
      </c>
      <c r="U18" s="106" t="str">
        <f aca="false">IF(P18=12,N18*O18*Q18*0.888*1,IF(P18&gt;12,"",IF(P18&lt;12,"")))</f>
        <v/>
      </c>
      <c r="V18" s="107" t="str">
        <f aca="false">IF(P18=16,N18*O18*Q18*1.578*1,IF(P18&gt;16,"",IF(P18&lt;16,"")))</f>
        <v/>
      </c>
      <c r="W18" s="106" t="n">
        <f aca="false">IF(P18=20,N18*O18*Q18*2.466*1,IF(P18&gt;20,"",IF(P18&lt;20,"")))</f>
        <v>143.22528</v>
      </c>
      <c r="X18" s="106" t="str">
        <f aca="false">IF(P18=25,N18*O18*Q18*3.853*1,IF(P18&gt;25,"",IF(P18&lt;25,"")))</f>
        <v/>
      </c>
      <c r="Y18" s="108" t="str">
        <f aca="false">IF(P18=32,N18*O18*Q18*6.313*1,IF(P18&gt;32,"",IF(P18&lt;32,"")))</f>
        <v/>
      </c>
      <c r="Z18" s="109"/>
      <c r="AA18" s="110" t="n">
        <f aca="false">IF(AC18&gt;0,N18,"")</f>
        <v>2</v>
      </c>
      <c r="AB18" s="111" t="n">
        <f aca="false">IF(AC18&gt;0,O18,"")</f>
        <v>4</v>
      </c>
      <c r="AC18" s="112" t="n">
        <v>1</v>
      </c>
      <c r="AD18" s="112" t="n">
        <v>50</v>
      </c>
      <c r="AE18" s="113" t="n">
        <f aca="false">IF(AC18&gt;0,P18,"")</f>
        <v>20</v>
      </c>
      <c r="AF18" s="114" t="str">
        <f aca="false">IF(AE18=6,AA18*AB18*AC18*AD18*(AE18/1000)*0.222*1,IF(AE18&gt;6,"",IF(AE18&lt;6,"")))</f>
        <v/>
      </c>
      <c r="AG18" s="107" t="str">
        <f aca="false">IF(AE18=8,AA18*AB18*AC18*AD18*(AE18/1000)*0.395*1,IF(AE18&gt;8,"",IF(AE18&lt;8,"")))</f>
        <v/>
      </c>
      <c r="AH18" s="107" t="str">
        <f aca="false">IF(AE18=10,AA18*AB18*AC18*AD18*(AE18/1000)*0.617*1,IF(AE18&gt;10,"",IF(AE18&lt;10,"")))</f>
        <v/>
      </c>
      <c r="AI18" s="107" t="str">
        <f aca="false">IF(AE18=12,AA18*AB18*AC18*AD18*(AE18/1000)*0.888*1,IF(AE18&gt;12,"",IF(AE18&lt;12,"")))</f>
        <v/>
      </c>
      <c r="AJ18" s="107" t="str">
        <f aca="false">IF(AE18=16,AA18*AB18*AC18*AD18*(AE18/1000)*1.578*1,IF(AE18&gt;16,"",IF(AE18&lt;16,"")))</f>
        <v/>
      </c>
      <c r="AK18" s="107" t="n">
        <f aca="false">IF(AE18=20,AA18*AB18*AC18*AD18*(AE18/1000)*2.466*1,IF(AE18&gt;20,"",IF(AE18&lt;20,"")))</f>
        <v>19.728</v>
      </c>
      <c r="AL18" s="107" t="str">
        <f aca="false">IF(AE18=25,AA18*AB18*AC18*AD18*(AE18/1000)*3.853*1,IF(AE18&gt;25,"",IF(AE18&lt;25,"")))</f>
        <v/>
      </c>
      <c r="AM18" s="115" t="str">
        <f aca="false">IF(AE18=32,AA18*AB18*AC18*AD18*(AE18/1000)*6.313*1,IF(AE18&gt;32,"",IF(AE18&lt;32,"")))</f>
        <v/>
      </c>
      <c r="AN18" s="128"/>
      <c r="AO18" s="117" t="s">
        <v>160</v>
      </c>
      <c r="AP18" s="118" t="n">
        <f aca="false">SUM(R18:Y18)+SUM(AN18)</f>
        <v>143.22528</v>
      </c>
      <c r="AQ18" s="118" t="n">
        <f aca="false">SUM(AF18:AM18)</f>
        <v>19.728</v>
      </c>
      <c r="AR18" s="118"/>
      <c r="AS18" s="119" t="s">
        <v>415</v>
      </c>
      <c r="AT18" s="119" t="s">
        <v>162</v>
      </c>
    </row>
    <row r="19" customFormat="false" ht="13.5" hidden="false" customHeight="false" outlineLevel="0" collapsed="false">
      <c r="A19" s="129"/>
      <c r="B19" s="172"/>
      <c r="C19" s="110"/>
      <c r="D19" s="122"/>
      <c r="E19" s="122"/>
      <c r="F19" s="173"/>
      <c r="G19" s="123"/>
      <c r="H19" s="101"/>
      <c r="I19" s="123"/>
      <c r="J19" s="101"/>
      <c r="K19" s="124" t="s">
        <v>405</v>
      </c>
      <c r="L19" s="125" t="n">
        <v>0.6</v>
      </c>
      <c r="M19" s="125" t="n">
        <v>0.1</v>
      </c>
      <c r="N19" s="126" t="n">
        <f aca="false">$C$17*2*2*1</f>
        <v>8</v>
      </c>
      <c r="O19" s="126" t="n">
        <f aca="false">CEILING(L19/M19,1)+1</f>
        <v>7</v>
      </c>
      <c r="P19" s="126" t="n">
        <v>8</v>
      </c>
      <c r="Q19" s="127" t="n">
        <f aca="false">2*($D$17-2*0.035)+2*($E$17-2*0.035)+20*8/1000</f>
        <v>0.88</v>
      </c>
      <c r="R19" s="105" t="str">
        <f aca="false">IF(P19=6,N19*O19*Q19*0.222*1,IF(P19&gt;6,"",IF(P19&lt;6,"")))</f>
        <v/>
      </c>
      <c r="S19" s="106" t="n">
        <f aca="false">IF(P19=8,N19*O19*Q19*0.395*1,IF(P19&gt;8,"",IF(P19&lt;8,"")))</f>
        <v>19.4656</v>
      </c>
      <c r="T19" s="106" t="str">
        <f aca="false">IF(P19=10,N19*O19*Q19*0.617*1,IF(P19&gt;10,"",IF(P19&lt;10,"")))</f>
        <v/>
      </c>
      <c r="U19" s="106" t="str">
        <f aca="false">IF(P19=12,N19*O19*Q19*0.888*1,IF(P19&gt;12,"",IF(P19&lt;12,"")))</f>
        <v/>
      </c>
      <c r="V19" s="107" t="str">
        <f aca="false">IF(P19=16,N19*O19*Q19*1.578*1,IF(P19&gt;16,"",IF(P19&lt;16,"")))</f>
        <v/>
      </c>
      <c r="W19" s="106" t="str">
        <f aca="false">IF(P19=20,N19*O19*Q19*2.466*1,IF(P19&gt;20,"",IF(P19&lt;20,"")))</f>
        <v/>
      </c>
      <c r="X19" s="106" t="str">
        <f aca="false">IF(P19=25,N19*O19*Q19*3.853*1,IF(P19&gt;25,"",IF(P19&lt;25,"")))</f>
        <v/>
      </c>
      <c r="Y19" s="108" t="str">
        <f aca="false">IF(P19=32,N19*O19*Q19*6.313*1,IF(P19&gt;32,"",IF(P19&lt;32,"")))</f>
        <v/>
      </c>
      <c r="Z19" s="109"/>
      <c r="AA19" s="110" t="str">
        <f aca="false">IF(AC19&gt;0,N19,"")</f>
        <v/>
      </c>
      <c r="AB19" s="111" t="str">
        <f aca="false">IF(AC19&gt;0,O19,"")</f>
        <v/>
      </c>
      <c r="AC19" s="112"/>
      <c r="AD19" s="112"/>
      <c r="AE19" s="113" t="str">
        <f aca="false">IF(AC19&gt;0,P19,"")</f>
        <v/>
      </c>
      <c r="AF19" s="114" t="str">
        <f aca="false">IF(AE19=6,AA19*AB19*AC19*AD19*(AE19/1000)*0.222*1,IF(AE19&gt;6,"",IF(AE19&lt;6,"")))</f>
        <v/>
      </c>
      <c r="AG19" s="107" t="str">
        <f aca="false">IF(AE19=8,AA19*AB19*AC19*AD19*(AE19/1000)*0.395*1,IF(AE19&gt;8,"",IF(AE19&lt;8,"")))</f>
        <v/>
      </c>
      <c r="AH19" s="107" t="str">
        <f aca="false">IF(AE19=10,AA19*AB19*AC19*AD19*(AE19/1000)*0.617*1,IF(AE19&gt;10,"",IF(AE19&lt;10,"")))</f>
        <v/>
      </c>
      <c r="AI19" s="107" t="str">
        <f aca="false">IF(AE19=12,AA19*AB19*AC19*AD19*(AE19/1000)*0.888*1,IF(AE19&gt;12,"",IF(AE19&lt;12,"")))</f>
        <v/>
      </c>
      <c r="AJ19" s="107" t="str">
        <f aca="false">IF(AE19=16,AA19*AB19*AC19*AD19*(AE19/1000)*1.578*1,IF(AE19&gt;16,"",IF(AE19&lt;16,"")))</f>
        <v/>
      </c>
      <c r="AK19" s="107" t="str">
        <f aca="false">IF(AE19=20,AA19*AB19*AC19*AD19*(AE19/1000)*2.466*1,IF(AE19&gt;20,"",IF(AE19&lt;20,"")))</f>
        <v/>
      </c>
      <c r="AL19" s="107" t="str">
        <f aca="false">IF(AE19=25,AA19*AB19*AC19*AD19*(AE19/1000)*3.853*1,IF(AE19&gt;25,"",IF(AE19&lt;25,"")))</f>
        <v/>
      </c>
      <c r="AM19" s="115" t="str">
        <f aca="false">IF(AE19=32,AA19*AB19*AC19*AD19*(AE19/1000)*6.313*1,IF(AE19&gt;32,"",IF(AE19&lt;32,"")))</f>
        <v/>
      </c>
      <c r="AN19" s="128"/>
      <c r="AO19" s="117" t="s">
        <v>160</v>
      </c>
      <c r="AP19" s="118" t="n">
        <f aca="false">SUM(R19:Y19)+SUM(AN19)</f>
        <v>19.4656</v>
      </c>
      <c r="AQ19" s="118" t="n">
        <f aca="false">SUM(AF19:AM19)</f>
        <v>0</v>
      </c>
      <c r="AR19" s="118"/>
      <c r="AS19" s="119" t="s">
        <v>406</v>
      </c>
      <c r="AT19" s="119" t="s">
        <v>162</v>
      </c>
    </row>
    <row r="20" customFormat="false" ht="13.5" hidden="false" customHeight="false" outlineLevel="0" collapsed="false">
      <c r="A20" s="129"/>
      <c r="B20" s="172"/>
      <c r="C20" s="110"/>
      <c r="D20" s="122"/>
      <c r="E20" s="122"/>
      <c r="F20" s="173"/>
      <c r="G20" s="123"/>
      <c r="H20" s="101"/>
      <c r="I20" s="123"/>
      <c r="J20" s="101"/>
      <c r="K20" s="124" t="s">
        <v>407</v>
      </c>
      <c r="L20" s="125" t="n">
        <f aca="false">$F$17-2*0.6*2</f>
        <v>2.86</v>
      </c>
      <c r="M20" s="125" t="n">
        <v>0.15</v>
      </c>
      <c r="N20" s="126" t="n">
        <f aca="false">$C$17*1</f>
        <v>2</v>
      </c>
      <c r="O20" s="126" t="n">
        <f aca="false">CEILING(L20/M20,1)-1</f>
        <v>19</v>
      </c>
      <c r="P20" s="126" t="n">
        <v>8</v>
      </c>
      <c r="Q20" s="127" t="n">
        <f aca="false">2*($D$17-2*0.035)+2*($E$17-2*0.035)+20*8/1000</f>
        <v>0.88</v>
      </c>
      <c r="R20" s="105" t="str">
        <f aca="false">IF(P20=6,N20*O20*Q20*0.222*1,IF(P20&gt;6,"",IF(P20&lt;6,"")))</f>
        <v/>
      </c>
      <c r="S20" s="106" t="n">
        <f aca="false">IF(P20=8,N20*O20*Q20*0.395*1,IF(P20&gt;8,"",IF(P20&lt;8,"")))</f>
        <v>13.2088</v>
      </c>
      <c r="T20" s="106" t="str">
        <f aca="false">IF(P20=10,N20*O20*Q20*0.617*1,IF(P20&gt;10,"",IF(P20&lt;10,"")))</f>
        <v/>
      </c>
      <c r="U20" s="106" t="str">
        <f aca="false">IF(P20=12,N20*O20*Q20*0.888*1,IF(P20&gt;12,"",IF(P20&lt;12,"")))</f>
        <v/>
      </c>
      <c r="V20" s="107" t="str">
        <f aca="false">IF(P20=16,N20*O20*Q20*1.578*1,IF(P20&gt;16,"",IF(P20&lt;16,"")))</f>
        <v/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str">
        <f aca="false">IF(AC20&gt;0,N20,"")</f>
        <v/>
      </c>
      <c r="AB20" s="111" t="str">
        <f aca="false">IF(AC20&gt;0,O20,"")</f>
        <v/>
      </c>
      <c r="AC20" s="112"/>
      <c r="AD20" s="112"/>
      <c r="AE20" s="113" t="str">
        <f aca="false">IF(AC20&gt;0,P20,"")</f>
        <v/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str">
        <f aca="false">IF(AE20=12,AA20*AB20*AC20*AD20*(AE20/1000)*0.888*1,IF(AE20&gt;12,"",IF(AE20&lt;12,"")))</f>
        <v/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160</v>
      </c>
      <c r="AP20" s="118" t="n">
        <f aca="false">SUM(R20:Y20)+SUM(AN20)</f>
        <v>13.2088</v>
      </c>
      <c r="AQ20" s="118" t="n">
        <f aca="false">SUM(AF20:AM20)</f>
        <v>0</v>
      </c>
      <c r="AR20" s="118"/>
      <c r="AS20" s="119" t="s">
        <v>408</v>
      </c>
      <c r="AT20" s="119" t="s">
        <v>162</v>
      </c>
    </row>
    <row r="21" customFormat="false" ht="13.5" hidden="false" customHeight="false" outlineLevel="0" collapsed="false">
      <c r="A21" s="129"/>
      <c r="B21" s="130"/>
      <c r="C21" s="110"/>
      <c r="D21" s="122"/>
      <c r="E21" s="122"/>
      <c r="F21" s="122"/>
      <c r="G21" s="123"/>
      <c r="H21" s="101"/>
      <c r="I21" s="123"/>
      <c r="J21" s="101"/>
      <c r="K21" s="124"/>
      <c r="L21" s="125"/>
      <c r="M21" s="125"/>
      <c r="N21" s="126"/>
      <c r="O21" s="126"/>
      <c r="P21" s="126"/>
      <c r="Q21" s="127"/>
      <c r="R21" s="105"/>
      <c r="S21" s="106"/>
      <c r="T21" s="106"/>
      <c r="U21" s="106"/>
      <c r="V21" s="107"/>
      <c r="W21" s="106"/>
      <c r="X21" s="106"/>
      <c r="Y21" s="108"/>
      <c r="Z21" s="109"/>
      <c r="AA21" s="110"/>
      <c r="AB21" s="111"/>
      <c r="AC21" s="112"/>
      <c r="AD21" s="112"/>
      <c r="AE21" s="113"/>
      <c r="AF21" s="114"/>
      <c r="AG21" s="107"/>
      <c r="AH21" s="107"/>
      <c r="AI21" s="107"/>
      <c r="AJ21" s="107"/>
      <c r="AK21" s="107"/>
      <c r="AL21" s="107"/>
      <c r="AM21" s="115"/>
      <c r="AO21" s="117"/>
      <c r="AP21" s="118"/>
      <c r="AQ21" s="118"/>
      <c r="AR21" s="118"/>
      <c r="AS21" s="119"/>
      <c r="AT21" s="119"/>
    </row>
    <row r="22" customFormat="false" ht="13.5" hidden="false" customHeight="false" outlineLevel="0" collapsed="false">
      <c r="A22" s="120"/>
      <c r="B22" s="121" t="s">
        <v>416</v>
      </c>
      <c r="C22" s="110" t="n">
        <v>1</v>
      </c>
      <c r="D22" s="122" t="n">
        <v>0.2</v>
      </c>
      <c r="E22" s="122" t="n">
        <v>0.3</v>
      </c>
      <c r="F22" s="122" t="n">
        <v>3.62</v>
      </c>
      <c r="G22" s="123" t="n">
        <f aca="false">C22*D22*E22*F22</f>
        <v>0.2172</v>
      </c>
      <c r="H22" s="101"/>
      <c r="I22" s="123" t="n">
        <f aca="false">2*(D22+E22)*F22*C22</f>
        <v>3.62</v>
      </c>
      <c r="J22" s="101"/>
      <c r="K22" s="124"/>
      <c r="L22" s="125"/>
      <c r="M22" s="125"/>
      <c r="N22" s="126"/>
      <c r="O22" s="126"/>
      <c r="P22" s="126"/>
      <c r="Q22" s="127"/>
      <c r="R22" s="105" t="str">
        <f aca="false">IF(P22=6,N22*O22*Q22*0.222*1,IF(P22&gt;6,"",IF(P22&lt;6,"")))</f>
        <v/>
      </c>
      <c r="S22" s="106" t="str">
        <f aca="false">IF(P22=8,N22*O22*Q22*0.395*1,IF(P22&gt;8,"",IF(P22&lt;8,"")))</f>
        <v/>
      </c>
      <c r="T22" s="106" t="str">
        <f aca="false">IF(P22=10,N22*O22*Q22*0.617*1,IF(P22&gt;10,"",IF(P22&lt;10,"")))</f>
        <v/>
      </c>
      <c r="U22" s="106" t="str">
        <f aca="false">IF(P22=12,N22*O22*Q22*0.888*1,IF(P22&gt;12,"",IF(P22&lt;12,"")))</f>
        <v/>
      </c>
      <c r="V22" s="107" t="str">
        <f aca="false">IF(P22=16,N22*O22*Q22*1.578*1,IF(P22&gt;16,"",IF(P22&lt;16,"")))</f>
        <v/>
      </c>
      <c r="W22" s="106" t="str">
        <f aca="false">IF(P22=20,N22*O22*Q22*2.466*1,IF(P22&gt;20,"",IF(P22&lt;20,"")))</f>
        <v/>
      </c>
      <c r="X22" s="106" t="str">
        <f aca="false">IF(P22=25,N22*O22*Q22*3.853*1,IF(P22&gt;25,"",IF(P22&lt;25,"")))</f>
        <v/>
      </c>
      <c r="Y22" s="108" t="str">
        <f aca="false">IF(P22=32,N22*O22*Q22*6.313*1,IF(P22&gt;32,"",IF(P22&lt;32,"")))</f>
        <v/>
      </c>
      <c r="Z22" s="109"/>
      <c r="AA22" s="110" t="str">
        <f aca="false">IF(AC22&gt;0,N22,"")</f>
        <v/>
      </c>
      <c r="AB22" s="111" t="str">
        <f aca="false">IF(AC22&gt;0,O22,"")</f>
        <v/>
      </c>
      <c r="AC22" s="112"/>
      <c r="AD22" s="112"/>
      <c r="AE22" s="113" t="str">
        <f aca="false">IF(AC22&gt;0,P22,"")</f>
        <v/>
      </c>
      <c r="AF22" s="114" t="str">
        <f aca="false">IF(AE22=6,AA22*AB22*AC22*AD22*(AE22/1000)*0.222*1,IF(AE22&gt;6,"",IF(AE22&lt;6,"")))</f>
        <v/>
      </c>
      <c r="AG22" s="107" t="str">
        <f aca="false">IF(AE22=8,AA22*AB22*AC22*AD22*(AE22/1000)*0.395*1,IF(AE22&gt;8,"",IF(AE22&lt;8,"")))</f>
        <v/>
      </c>
      <c r="AH22" s="107" t="str">
        <f aca="false">IF(AE22=10,AA22*AB22*AC22*AD22*(AE22/1000)*0.617*1,IF(AE22&gt;10,"",IF(AE22&lt;10,"")))</f>
        <v/>
      </c>
      <c r="AI22" s="107" t="str">
        <f aca="false">IF(AE22=12,AA22*AB22*AC22*AD22*(AE22/1000)*0.888*1,IF(AE22&gt;12,"",IF(AE22&lt;12,"")))</f>
        <v/>
      </c>
      <c r="AJ22" s="107" t="str">
        <f aca="false">IF(AE22=16,AA22*AB22*AC22*AD22*(AE22/1000)*1.578*1,IF(AE22&gt;16,"",IF(AE22&lt;16,"")))</f>
        <v/>
      </c>
      <c r="AK22" s="107" t="str">
        <f aca="false">IF(AE22=20,AA22*AB22*AC22*AD22*(AE22/1000)*2.466*1,IF(AE22&gt;20,"",IF(AE22&lt;20,"")))</f>
        <v/>
      </c>
      <c r="AL22" s="107" t="str">
        <f aca="false">IF(AE22=25,AA22*AB22*AC22*AD22*(AE22/1000)*3.853*1,IF(AE22&gt;25,"",IF(AE22&lt;25,"")))</f>
        <v/>
      </c>
      <c r="AM22" s="115" t="str">
        <f aca="false">IF(AE22=32,AA22*AB22*AC22*AD22*(AE22/1000)*6.313*1,IF(AE22&gt;32,"",IF(AE22&lt;32,"")))</f>
        <v/>
      </c>
      <c r="AN22" s="128"/>
      <c r="AO22" s="117" t="s">
        <v>160</v>
      </c>
      <c r="AP22" s="118" t="n">
        <f aca="false">SUM(R22:Y22)+SUM(AN22)</f>
        <v>0</v>
      </c>
      <c r="AQ22" s="118" t="n">
        <f aca="false">SUM(AF22:AM22)</f>
        <v>0</v>
      </c>
      <c r="AR22" s="118" t="n">
        <v>0.2172</v>
      </c>
      <c r="AS22" s="119" t="s">
        <v>410</v>
      </c>
      <c r="AT22" s="119" t="s">
        <v>209</v>
      </c>
    </row>
    <row r="23" customFormat="false" ht="13.5" hidden="false" customHeight="false" outlineLevel="0" collapsed="false">
      <c r="A23" s="129"/>
      <c r="B23" s="172"/>
      <c r="C23" s="110"/>
      <c r="D23" s="122"/>
      <c r="E23" s="122"/>
      <c r="F23" s="173"/>
      <c r="G23" s="123"/>
      <c r="H23" s="101"/>
      <c r="I23" s="123"/>
      <c r="J23" s="101"/>
      <c r="K23" s="124" t="s">
        <v>417</v>
      </c>
      <c r="L23" s="125"/>
      <c r="M23" s="125"/>
      <c r="N23" s="126" t="n">
        <f aca="false">$C$22</f>
        <v>1</v>
      </c>
      <c r="O23" s="126" t="n">
        <v>4</v>
      </c>
      <c r="P23" s="126" t="n">
        <v>16</v>
      </c>
      <c r="Q23" s="127" t="n">
        <f aca="false">$F$22+50*16/1000</f>
        <v>4.42</v>
      </c>
      <c r="R23" s="105" t="str">
        <f aca="false">IF(P23=6,N23*O23*Q23*0.222*1,IF(P23&gt;6,"",IF(P23&lt;6,"")))</f>
        <v/>
      </c>
      <c r="S23" s="106" t="str">
        <f aca="false">IF(P23=8,N23*O23*Q23*0.395*1,IF(P23&gt;8,"",IF(P23&lt;8,"")))</f>
        <v/>
      </c>
      <c r="T23" s="106" t="str">
        <f aca="false">IF(P23=10,N23*O23*Q23*0.617*1,IF(P23&gt;10,"",IF(P23&lt;10,"")))</f>
        <v/>
      </c>
      <c r="U23" s="106" t="str">
        <f aca="false">IF(P23=12,N23*O23*Q23*0.888*1,IF(P23&gt;12,"",IF(P23&lt;12,"")))</f>
        <v/>
      </c>
      <c r="V23" s="107" t="n">
        <f aca="false">IF(P23=16,N23*O23*Q23*1.578*1,IF(P23&gt;16,"",IF(P23&lt;16,"")))</f>
        <v>27.89904</v>
      </c>
      <c r="W23" s="106" t="str">
        <f aca="false">IF(P23=20,N23*O23*Q23*2.466*1,IF(P23&gt;20,"",IF(P23&lt;20,"")))</f>
        <v/>
      </c>
      <c r="X23" s="106" t="str">
        <f aca="false">IF(P23=25,N23*O23*Q23*3.853*1,IF(P23&gt;25,"",IF(P23&lt;25,"")))</f>
        <v/>
      </c>
      <c r="Y23" s="108" t="str">
        <f aca="false">IF(P23=32,N23*O23*Q23*6.313*1,IF(P23&gt;32,"",IF(P23&lt;32,"")))</f>
        <v/>
      </c>
      <c r="Z23" s="109"/>
      <c r="AA23" s="110" t="str">
        <f aca="false">IF(AC23&gt;0,N23,"")</f>
        <v/>
      </c>
      <c r="AB23" s="111" t="str">
        <f aca="false">IF(AC23&gt;0,O23,"")</f>
        <v/>
      </c>
      <c r="AC23" s="112"/>
      <c r="AD23" s="112"/>
      <c r="AE23" s="113" t="str">
        <f aca="false">IF(AC23&gt;0,P23,"")</f>
        <v/>
      </c>
      <c r="AF23" s="114" t="str">
        <f aca="false">IF(AE23=6,AA23*AB23*AC23*AD23*(AE23/1000)*0.222*1,IF(AE23&gt;6,"",IF(AE23&lt;6,"")))</f>
        <v/>
      </c>
      <c r="AG23" s="107" t="str">
        <f aca="false">IF(AE23=8,AA23*AB23*AC23*AD23*(AE23/1000)*0.395*1,IF(AE23&gt;8,"",IF(AE23&lt;8,"")))</f>
        <v/>
      </c>
      <c r="AH23" s="107" t="str">
        <f aca="false">IF(AE23=10,AA23*AB23*AC23*AD23*(AE23/1000)*0.617*1,IF(AE23&gt;10,"",IF(AE23&lt;10,"")))</f>
        <v/>
      </c>
      <c r="AI23" s="107" t="str">
        <f aca="false">IF(AE23=12,AA23*AB23*AC23*AD23*(AE23/1000)*0.888*1,IF(AE23&gt;12,"",IF(AE23&lt;12,"")))</f>
        <v/>
      </c>
      <c r="AJ23" s="107" t="str">
        <f aca="false">IF(AE23=16,AA23*AB23*AC23*AD23*(AE23/1000)*1.578*1,IF(AE23&gt;16,"",IF(AE23&lt;16,"")))</f>
        <v/>
      </c>
      <c r="AK23" s="107" t="str">
        <f aca="false">IF(AE23=20,AA23*AB23*AC23*AD23*(AE23/1000)*2.466*1,IF(AE23&gt;20,"",IF(AE23&lt;20,"")))</f>
        <v/>
      </c>
      <c r="AL23" s="107" t="str">
        <f aca="false">IF(AE23=25,AA23*AB23*AC23*AD23*(AE23/1000)*3.853*1,IF(AE23&gt;25,"",IF(AE23&lt;25,"")))</f>
        <v/>
      </c>
      <c r="AM23" s="115" t="str">
        <f aca="false">IF(AE23=32,AA23*AB23*AC23*AD23*(AE23/1000)*6.313*1,IF(AE23&gt;32,"",IF(AE23&lt;32,"")))</f>
        <v/>
      </c>
      <c r="AN23" s="128"/>
      <c r="AO23" s="117" t="s">
        <v>160</v>
      </c>
      <c r="AP23" s="118" t="n">
        <f aca="false">SUM(R23:Y23)+SUM(AN23)</f>
        <v>27.89904</v>
      </c>
      <c r="AQ23" s="118" t="n">
        <f aca="false">SUM(AF23:AM23)</f>
        <v>0</v>
      </c>
      <c r="AR23" s="118"/>
      <c r="AS23" s="119" t="s">
        <v>411</v>
      </c>
      <c r="AT23" s="119" t="s">
        <v>162</v>
      </c>
    </row>
    <row r="24" customFormat="false" ht="13.5" hidden="false" customHeight="false" outlineLevel="0" collapsed="false">
      <c r="A24" s="129"/>
      <c r="B24" s="172"/>
      <c r="C24" s="110"/>
      <c r="D24" s="122"/>
      <c r="E24" s="122"/>
      <c r="F24" s="173"/>
      <c r="G24" s="123"/>
      <c r="H24" s="101"/>
      <c r="I24" s="123"/>
      <c r="J24" s="101"/>
      <c r="K24" s="124" t="s">
        <v>418</v>
      </c>
      <c r="L24" s="125"/>
      <c r="M24" s="125"/>
      <c r="N24" s="126" t="n">
        <f aca="false">$C$22</f>
        <v>1</v>
      </c>
      <c r="O24" s="126" t="n">
        <v>2</v>
      </c>
      <c r="P24" s="126" t="n">
        <v>12</v>
      </c>
      <c r="Q24" s="127" t="n">
        <f aca="false">$F$22+50*12/1000</f>
        <v>4.22</v>
      </c>
      <c r="R24" s="105" t="str">
        <f aca="false">IF(P24=6,N24*O24*Q24*0.222*1,IF(P24&gt;6,"",IF(P24&lt;6,"")))</f>
        <v/>
      </c>
      <c r="S24" s="106" t="str">
        <f aca="false">IF(P24=8,N24*O24*Q24*0.395*1,IF(P24&gt;8,"",IF(P24&lt;8,"")))</f>
        <v/>
      </c>
      <c r="T24" s="106" t="str">
        <f aca="false">IF(P24=10,N24*O24*Q24*0.617*1,IF(P24&gt;10,"",IF(P24&lt;10,"")))</f>
        <v/>
      </c>
      <c r="U24" s="106" t="n">
        <f aca="false">IF(P24=12,N24*O24*Q24*0.888*1,IF(P24&gt;12,"",IF(P24&lt;12,"")))</f>
        <v>7.49472</v>
      </c>
      <c r="V24" s="107" t="str">
        <f aca="false">IF(P24=16,N24*O24*Q24*1.578*1,IF(P24&gt;16,"",IF(P24&lt;16,"")))</f>
        <v/>
      </c>
      <c r="W24" s="106" t="str">
        <f aca="false">IF(P24=20,N24*O24*Q24*2.466*1,IF(P24&gt;20,"",IF(P24&lt;20,"")))</f>
        <v/>
      </c>
      <c r="X24" s="106" t="str">
        <f aca="false">IF(P24=25,N24*O24*Q24*3.853*1,IF(P24&gt;25,"",IF(P24&lt;25,"")))</f>
        <v/>
      </c>
      <c r="Y24" s="108" t="str">
        <f aca="false">IF(P24=32,N24*O24*Q24*6.313*1,IF(P24&gt;32,"",IF(P24&lt;32,"")))</f>
        <v/>
      </c>
      <c r="Z24" s="109"/>
      <c r="AA24" s="110" t="str">
        <f aca="false">IF(AC24&gt;0,N24,"")</f>
        <v/>
      </c>
      <c r="AB24" s="111" t="str">
        <f aca="false">IF(AC24&gt;0,O24,"")</f>
        <v/>
      </c>
      <c r="AC24" s="112"/>
      <c r="AD24" s="112"/>
      <c r="AE24" s="113" t="str">
        <f aca="false">IF(AC24&gt;0,P24,"")</f>
        <v/>
      </c>
      <c r="AF24" s="114" t="str">
        <f aca="false">IF(AE24=6,AA24*AB24*AC24*AD24*(AE24/1000)*0.222*1,IF(AE24&gt;6,"",IF(AE24&lt;6,"")))</f>
        <v/>
      </c>
      <c r="AG24" s="107" t="str">
        <f aca="false">IF(AE24=8,AA24*AB24*AC24*AD24*(AE24/1000)*0.395*1,IF(AE24&gt;8,"",IF(AE24&lt;8,"")))</f>
        <v/>
      </c>
      <c r="AH24" s="107" t="str">
        <f aca="false">IF(AE24=10,AA24*AB24*AC24*AD24*(AE24/1000)*0.617*1,IF(AE24&gt;10,"",IF(AE24&lt;10,"")))</f>
        <v/>
      </c>
      <c r="AI24" s="107" t="str">
        <f aca="false">IF(AE24=12,AA24*AB24*AC24*AD24*(AE24/1000)*0.888*1,IF(AE24&gt;12,"",IF(AE24&lt;12,"")))</f>
        <v/>
      </c>
      <c r="AJ24" s="107" t="str">
        <f aca="false">IF(AE24=16,AA24*AB24*AC24*AD24*(AE24/1000)*1.578*1,IF(AE24&gt;16,"",IF(AE24&lt;16,"")))</f>
        <v/>
      </c>
      <c r="AK24" s="107" t="str">
        <f aca="false">IF(AE24=20,AA24*AB24*AC24*AD24*(AE24/1000)*2.466*1,IF(AE24&gt;20,"",IF(AE24&lt;20,"")))</f>
        <v/>
      </c>
      <c r="AL24" s="107" t="str">
        <f aca="false">IF(AE24=25,AA24*AB24*AC24*AD24*(AE24/1000)*3.853*1,IF(AE24&gt;25,"",IF(AE24&lt;25,"")))</f>
        <v/>
      </c>
      <c r="AM24" s="115" t="str">
        <f aca="false">IF(AE24=32,AA24*AB24*AC24*AD24*(AE24/1000)*6.313*1,IF(AE24&gt;32,"",IF(AE24&lt;32,"")))</f>
        <v/>
      </c>
      <c r="AN24" s="128"/>
      <c r="AO24" s="117" t="s">
        <v>160</v>
      </c>
      <c r="AP24" s="118" t="n">
        <f aca="false">SUM(R24:Y24)+SUM(AN24)</f>
        <v>7.49472</v>
      </c>
      <c r="AQ24" s="118" t="n">
        <f aca="false">SUM(AF24:AM24)</f>
        <v>0</v>
      </c>
      <c r="AR24" s="118"/>
      <c r="AS24" s="119" t="s">
        <v>411</v>
      </c>
      <c r="AT24" s="119" t="s">
        <v>162</v>
      </c>
    </row>
    <row r="25" customFormat="false" ht="13.5" hidden="false" customHeight="false" outlineLevel="0" collapsed="false">
      <c r="A25" s="129"/>
      <c r="B25" s="172"/>
      <c r="C25" s="110"/>
      <c r="D25" s="122"/>
      <c r="E25" s="122"/>
      <c r="F25" s="173"/>
      <c r="G25" s="123"/>
      <c r="H25" s="101"/>
      <c r="I25" s="123"/>
      <c r="J25" s="101"/>
      <c r="K25" s="124" t="s">
        <v>405</v>
      </c>
      <c r="L25" s="125" t="n">
        <v>0.6</v>
      </c>
      <c r="M25" s="125" t="n">
        <v>0.1</v>
      </c>
      <c r="N25" s="126" t="n">
        <f aca="false">$C$22*2*1*1</f>
        <v>2</v>
      </c>
      <c r="O25" s="126" t="n">
        <f aca="false">CEILING(L25/M25,1)+1</f>
        <v>7</v>
      </c>
      <c r="P25" s="126" t="n">
        <v>8</v>
      </c>
      <c r="Q25" s="127" t="n">
        <f aca="false">2*($D$22-2*0.035)+2*($E$22-2*0.035)+20*8/1000</f>
        <v>0.88</v>
      </c>
      <c r="R25" s="105" t="str">
        <f aca="false">IF(P25=6,N25*O25*Q25*0.222*1,IF(P25&gt;6,"",IF(P25&lt;6,"")))</f>
        <v/>
      </c>
      <c r="S25" s="106" t="n">
        <f aca="false">IF(P25=8,N25*O25*Q25*0.395*1,IF(P25&gt;8,"",IF(P25&lt;8,"")))</f>
        <v>4.8664</v>
      </c>
      <c r="T25" s="106" t="str">
        <f aca="false">IF(P25=10,N25*O25*Q25*0.617*1,IF(P25&gt;10,"",IF(P25&lt;10,"")))</f>
        <v/>
      </c>
      <c r="U25" s="106" t="str">
        <f aca="false">IF(P25=12,N25*O25*Q25*0.888*1,IF(P25&gt;12,"",IF(P25&lt;12,"")))</f>
        <v/>
      </c>
      <c r="V25" s="107" t="str">
        <f aca="false">IF(P25=16,N25*O25*Q25*1.578*1,IF(P25&gt;16,"",IF(P25&lt;16,"")))</f>
        <v/>
      </c>
      <c r="W25" s="106" t="str">
        <f aca="false">IF(P25=20,N25*O25*Q25*2.466*1,IF(P25&gt;20,"",IF(P25&lt;20,"")))</f>
        <v/>
      </c>
      <c r="X25" s="106" t="str">
        <f aca="false">IF(P25=25,N25*O25*Q25*3.853*1,IF(P25&gt;25,"",IF(P25&lt;25,"")))</f>
        <v/>
      </c>
      <c r="Y25" s="108" t="str">
        <f aca="false">IF(P25=32,N25*O25*Q25*6.313*1,IF(P25&gt;32,"",IF(P25&lt;32,"")))</f>
        <v/>
      </c>
      <c r="Z25" s="109"/>
      <c r="AA25" s="110" t="str">
        <f aca="false">IF(AC25&gt;0,N25,"")</f>
        <v/>
      </c>
      <c r="AB25" s="111" t="str">
        <f aca="false">IF(AC25&gt;0,O25,"")</f>
        <v/>
      </c>
      <c r="AC25" s="112"/>
      <c r="AD25" s="112"/>
      <c r="AE25" s="113" t="str">
        <f aca="false">IF(AC25&gt;0,P25,"")</f>
        <v/>
      </c>
      <c r="AF25" s="114" t="str">
        <f aca="false">IF(AE25=6,AA25*AB25*AC25*AD25*(AE25/1000)*0.222*1,IF(AE25&gt;6,"",IF(AE25&lt;6,"")))</f>
        <v/>
      </c>
      <c r="AG25" s="107" t="str">
        <f aca="false">IF(AE25=8,AA25*AB25*AC25*AD25*(AE25/1000)*0.395*1,IF(AE25&gt;8,"",IF(AE25&lt;8,"")))</f>
        <v/>
      </c>
      <c r="AH25" s="107" t="str">
        <f aca="false">IF(AE25=10,AA25*AB25*AC25*AD25*(AE25/1000)*0.617*1,IF(AE25&gt;10,"",IF(AE25&lt;10,"")))</f>
        <v/>
      </c>
      <c r="AI25" s="107" t="str">
        <f aca="false">IF(AE25=12,AA25*AB25*AC25*AD25*(AE25/1000)*0.888*1,IF(AE25&gt;12,"",IF(AE25&lt;12,"")))</f>
        <v/>
      </c>
      <c r="AJ25" s="107" t="str">
        <f aca="false">IF(AE25=16,AA25*AB25*AC25*AD25*(AE25/1000)*1.578*1,IF(AE25&gt;16,"",IF(AE25&lt;16,"")))</f>
        <v/>
      </c>
      <c r="AK25" s="107" t="str">
        <f aca="false">IF(AE25=20,AA25*AB25*AC25*AD25*(AE25/1000)*2.466*1,IF(AE25&gt;20,"",IF(AE25&lt;20,"")))</f>
        <v/>
      </c>
      <c r="AL25" s="107" t="str">
        <f aca="false">IF(AE25=25,AA25*AB25*AC25*AD25*(AE25/1000)*3.853*1,IF(AE25&gt;25,"",IF(AE25&lt;25,"")))</f>
        <v/>
      </c>
      <c r="AM25" s="115" t="str">
        <f aca="false">IF(AE25=32,AA25*AB25*AC25*AD25*(AE25/1000)*6.313*1,IF(AE25&gt;32,"",IF(AE25&lt;32,"")))</f>
        <v/>
      </c>
      <c r="AN25" s="128"/>
      <c r="AO25" s="117" t="s">
        <v>160</v>
      </c>
      <c r="AP25" s="118" t="n">
        <f aca="false">SUM(R25:Y25)+SUM(AN25)</f>
        <v>4.8664</v>
      </c>
      <c r="AQ25" s="118" t="n">
        <f aca="false">SUM(AF25:AM25)</f>
        <v>0</v>
      </c>
      <c r="AR25" s="118"/>
      <c r="AS25" s="119" t="s">
        <v>412</v>
      </c>
      <c r="AT25" s="119" t="s">
        <v>162</v>
      </c>
    </row>
    <row r="26" customFormat="false" ht="13.5" hidden="false" customHeight="false" outlineLevel="0" collapsed="false">
      <c r="A26" s="129"/>
      <c r="B26" s="172"/>
      <c r="C26" s="110"/>
      <c r="D26" s="122"/>
      <c r="E26" s="122"/>
      <c r="F26" s="173"/>
      <c r="G26" s="123"/>
      <c r="H26" s="101"/>
      <c r="I26" s="123"/>
      <c r="J26" s="101"/>
      <c r="K26" s="124" t="s">
        <v>407</v>
      </c>
      <c r="L26" s="125" t="n">
        <f aca="false">$F$22-2*0.6*1</f>
        <v>2.42</v>
      </c>
      <c r="M26" s="125" t="n">
        <v>0.15</v>
      </c>
      <c r="N26" s="126" t="n">
        <f aca="false">$C$22*1</f>
        <v>1</v>
      </c>
      <c r="O26" s="126" t="n">
        <f aca="false">CEILING(L26/M26,1)-1</f>
        <v>16</v>
      </c>
      <c r="P26" s="126" t="n">
        <v>8</v>
      </c>
      <c r="Q26" s="127" t="n">
        <f aca="false">2*($D$22-2*0.035)+2*($E$22-2*0.035)+20*8/1000</f>
        <v>0.88</v>
      </c>
      <c r="R26" s="105" t="str">
        <f aca="false">IF(P26=6,N26*O26*Q26*0.222*1,IF(P26&gt;6,"",IF(P26&lt;6,"")))</f>
        <v/>
      </c>
      <c r="S26" s="106" t="n">
        <f aca="false">IF(P26=8,N26*O26*Q26*0.395*1,IF(P26&gt;8,"",IF(P26&lt;8,"")))</f>
        <v>5.5616</v>
      </c>
      <c r="T26" s="106" t="str">
        <f aca="false">IF(P26=10,N26*O26*Q26*0.617*1,IF(P26&gt;10,"",IF(P26&lt;10,"")))</f>
        <v/>
      </c>
      <c r="U26" s="106" t="str">
        <f aca="false">IF(P26=12,N26*O26*Q26*0.888*1,IF(P26&gt;12,"",IF(P26&lt;12,"")))</f>
        <v/>
      </c>
      <c r="V26" s="107" t="str">
        <f aca="false">IF(P26=16,N26*O26*Q26*1.578*1,IF(P26&gt;16,"",IF(P26&lt;16,"")))</f>
        <v/>
      </c>
      <c r="W26" s="106" t="str">
        <f aca="false">IF(P26=20,N26*O26*Q26*2.466*1,IF(P26&gt;20,"",IF(P26&lt;20,"")))</f>
        <v/>
      </c>
      <c r="X26" s="106" t="str">
        <f aca="false">IF(P26=25,N26*O26*Q26*3.853*1,IF(P26&gt;25,"",IF(P26&lt;25,"")))</f>
        <v/>
      </c>
      <c r="Y26" s="108" t="str">
        <f aca="false">IF(P26=32,N26*O26*Q26*6.313*1,IF(P26&gt;32,"",IF(P26&lt;32,"")))</f>
        <v/>
      </c>
      <c r="Z26" s="109"/>
      <c r="AA26" s="110" t="str">
        <f aca="false">IF(AC26&gt;0,N26,"")</f>
        <v/>
      </c>
      <c r="AB26" s="111" t="str">
        <f aca="false">IF(AC26&gt;0,O26,"")</f>
        <v/>
      </c>
      <c r="AC26" s="112"/>
      <c r="AD26" s="112"/>
      <c r="AE26" s="113" t="str">
        <f aca="false">IF(AC26&gt;0,P26,"")</f>
        <v/>
      </c>
      <c r="AF26" s="114" t="str">
        <f aca="false">IF(AE26=6,AA26*AB26*AC26*AD26*(AE26/1000)*0.222*1,IF(AE26&gt;6,"",IF(AE26&lt;6,"")))</f>
        <v/>
      </c>
      <c r="AG26" s="107" t="str">
        <f aca="false">IF(AE26=8,AA26*AB26*AC26*AD26*(AE26/1000)*0.395*1,IF(AE26&gt;8,"",IF(AE26&lt;8,"")))</f>
        <v/>
      </c>
      <c r="AH26" s="107" t="str">
        <f aca="false">IF(AE26=10,AA26*AB26*AC26*AD26*(AE26/1000)*0.617*1,IF(AE26&gt;10,"",IF(AE26&lt;10,"")))</f>
        <v/>
      </c>
      <c r="AI26" s="107" t="str">
        <f aca="false">IF(AE26=12,AA26*AB26*AC26*AD26*(AE26/1000)*0.888*1,IF(AE26&gt;12,"",IF(AE26&lt;12,"")))</f>
        <v/>
      </c>
      <c r="AJ26" s="107" t="str">
        <f aca="false">IF(AE26=16,AA26*AB26*AC26*AD26*(AE26/1000)*1.578*1,IF(AE26&gt;16,"",IF(AE26&lt;16,"")))</f>
        <v/>
      </c>
      <c r="AK26" s="107" t="str">
        <f aca="false">IF(AE26=20,AA26*AB26*AC26*AD26*(AE26/1000)*2.466*1,IF(AE26&gt;20,"",IF(AE26&lt;20,"")))</f>
        <v/>
      </c>
      <c r="AL26" s="107" t="str">
        <f aca="false">IF(AE26=25,AA26*AB26*AC26*AD26*(AE26/1000)*3.853*1,IF(AE26&gt;25,"",IF(AE26&lt;25,"")))</f>
        <v/>
      </c>
      <c r="AM26" s="115" t="str">
        <f aca="false">IF(AE26=32,AA26*AB26*AC26*AD26*(AE26/1000)*6.313*1,IF(AE26&gt;32,"",IF(AE26&lt;32,"")))</f>
        <v/>
      </c>
      <c r="AN26" s="128"/>
      <c r="AO26" s="117" t="s">
        <v>160</v>
      </c>
      <c r="AP26" s="118" t="n">
        <f aca="false">SUM(R26:Y26)+SUM(AN26)</f>
        <v>5.5616</v>
      </c>
      <c r="AQ26" s="118" t="n">
        <f aca="false">SUM(AF26:AM26)</f>
        <v>0</v>
      </c>
      <c r="AR26" s="118"/>
      <c r="AS26" s="119" t="s">
        <v>408</v>
      </c>
      <c r="AT26" s="119" t="s">
        <v>162</v>
      </c>
    </row>
    <row r="27" customFormat="false" ht="13.5" hidden="false" customHeight="false" outlineLevel="0" collapsed="false">
      <c r="A27" s="129"/>
      <c r="B27" s="130"/>
      <c r="C27" s="110"/>
      <c r="D27" s="122"/>
      <c r="E27" s="122"/>
      <c r="F27" s="122"/>
      <c r="G27" s="123"/>
      <c r="H27" s="101"/>
      <c r="I27" s="123"/>
      <c r="J27" s="101"/>
      <c r="K27" s="124"/>
      <c r="L27" s="125"/>
      <c r="M27" s="125"/>
      <c r="N27" s="126"/>
      <c r="O27" s="126"/>
      <c r="P27" s="126"/>
      <c r="Q27" s="127"/>
      <c r="R27" s="105"/>
      <c r="S27" s="106"/>
      <c r="T27" s="106"/>
      <c r="U27" s="106"/>
      <c r="V27" s="107"/>
      <c r="W27" s="106"/>
      <c r="X27" s="106"/>
      <c r="Y27" s="108"/>
      <c r="Z27" s="109"/>
      <c r="AA27" s="110"/>
      <c r="AB27" s="111"/>
      <c r="AC27" s="112"/>
      <c r="AD27" s="112"/>
      <c r="AE27" s="113"/>
      <c r="AF27" s="114"/>
      <c r="AG27" s="107"/>
      <c r="AH27" s="107"/>
      <c r="AI27" s="107"/>
      <c r="AJ27" s="107"/>
      <c r="AK27" s="107"/>
      <c r="AL27" s="107"/>
      <c r="AM27" s="115"/>
      <c r="AO27" s="117"/>
      <c r="AP27" s="118"/>
      <c r="AQ27" s="118"/>
      <c r="AR27" s="118"/>
      <c r="AS27" s="119"/>
      <c r="AT27" s="119"/>
    </row>
    <row r="28" customFormat="false" ht="13.5" hidden="false" customHeight="false" outlineLevel="0" collapsed="false">
      <c r="A28" s="120"/>
      <c r="B28" s="121" t="s">
        <v>419</v>
      </c>
      <c r="C28" s="110" t="n">
        <v>3</v>
      </c>
      <c r="D28" s="122" t="n">
        <v>0.25</v>
      </c>
      <c r="E28" s="122" t="n">
        <v>0.25</v>
      </c>
      <c r="F28" s="122" t="n">
        <v>8.88</v>
      </c>
      <c r="G28" s="123" t="n">
        <f aca="false">C28*D28*E28*F28</f>
        <v>1.665</v>
      </c>
      <c r="H28" s="101"/>
      <c r="I28" s="123" t="n">
        <f aca="false">2*(D28+E28)*F28*C28</f>
        <v>26.64</v>
      </c>
      <c r="J28" s="101"/>
      <c r="K28" s="124"/>
      <c r="L28" s="125"/>
      <c r="M28" s="125"/>
      <c r="N28" s="126"/>
      <c r="O28" s="126"/>
      <c r="P28" s="126"/>
      <c r="Q28" s="127"/>
      <c r="R28" s="105" t="str">
        <f aca="false">IF(P28=6,N28*O28*Q28*0.222*1,IF(P28&gt;6,"",IF(P28&lt;6,"")))</f>
        <v/>
      </c>
      <c r="S28" s="106" t="str">
        <f aca="false">IF(P28=8,N28*O28*Q28*0.395*1,IF(P28&gt;8,"",IF(P28&lt;8,"")))</f>
        <v/>
      </c>
      <c r="T28" s="106" t="str">
        <f aca="false">IF(P28=10,N28*O28*Q28*0.617*1,IF(P28&gt;10,"",IF(P28&lt;10,"")))</f>
        <v/>
      </c>
      <c r="U28" s="106" t="str">
        <f aca="false">IF(P28=12,N28*O28*Q28*0.888*1,IF(P28&gt;12,"",IF(P28&lt;12,"")))</f>
        <v/>
      </c>
      <c r="V28" s="107" t="str">
        <f aca="false">IF(P28=16,N28*O28*Q28*1.578*1,IF(P28&gt;16,"",IF(P28&lt;16,"")))</f>
        <v/>
      </c>
      <c r="W28" s="106" t="str">
        <f aca="false">IF(P28=20,N28*O28*Q28*2.466*1,IF(P28&gt;20,"",IF(P28&lt;20,"")))</f>
        <v/>
      </c>
      <c r="X28" s="106" t="str">
        <f aca="false">IF(P28=25,N28*O28*Q28*3.853*1,IF(P28&gt;25,"",IF(P28&lt;25,"")))</f>
        <v/>
      </c>
      <c r="Y28" s="108" t="str">
        <f aca="false">IF(P28=32,N28*O28*Q28*6.313*1,IF(P28&gt;32,"",IF(P28&lt;32,"")))</f>
        <v/>
      </c>
      <c r="Z28" s="109"/>
      <c r="AA28" s="110" t="str">
        <f aca="false">IF(AC28&gt;0,N28,"")</f>
        <v/>
      </c>
      <c r="AB28" s="111" t="str">
        <f aca="false">IF(AC28&gt;0,O28,"")</f>
        <v/>
      </c>
      <c r="AC28" s="112"/>
      <c r="AD28" s="112"/>
      <c r="AE28" s="113" t="str">
        <f aca="false">IF(AC28&gt;0,P28,"")</f>
        <v/>
      </c>
      <c r="AF28" s="114" t="str">
        <f aca="false">IF(AE28=6,AA28*AB28*AC28*AD28*(AE28/1000)*0.222*1,IF(AE28&gt;6,"",IF(AE28&lt;6,"")))</f>
        <v/>
      </c>
      <c r="AG28" s="107" t="str">
        <f aca="false">IF(AE28=8,AA28*AB28*AC28*AD28*(AE28/1000)*0.395*1,IF(AE28&gt;8,"",IF(AE28&lt;8,"")))</f>
        <v/>
      </c>
      <c r="AH28" s="107" t="str">
        <f aca="false">IF(AE28=10,AA28*AB28*AC28*AD28*(AE28/1000)*0.617*1,IF(AE28&gt;10,"",IF(AE28&lt;10,"")))</f>
        <v/>
      </c>
      <c r="AI28" s="107" t="str">
        <f aca="false">IF(AE28=12,AA28*AB28*AC28*AD28*(AE28/1000)*0.888*1,IF(AE28&gt;12,"",IF(AE28&lt;12,"")))</f>
        <v/>
      </c>
      <c r="AJ28" s="107" t="str">
        <f aca="false">IF(AE28=16,AA28*AB28*AC28*AD28*(AE28/1000)*1.578*1,IF(AE28&gt;16,"",IF(AE28&lt;16,"")))</f>
        <v/>
      </c>
      <c r="AK28" s="107" t="str">
        <f aca="false">IF(AE28=20,AA28*AB28*AC28*AD28*(AE28/1000)*2.466*1,IF(AE28&gt;20,"",IF(AE28&lt;20,"")))</f>
        <v/>
      </c>
      <c r="AL28" s="107" t="str">
        <f aca="false">IF(AE28=25,AA28*AB28*AC28*AD28*(AE28/1000)*3.853*1,IF(AE28&gt;25,"",IF(AE28&lt;25,"")))</f>
        <v/>
      </c>
      <c r="AM28" s="115" t="str">
        <f aca="false">IF(AE28=32,AA28*AB28*AC28*AD28*(AE28/1000)*6.313*1,IF(AE28&gt;32,"",IF(AE28&lt;32,"")))</f>
        <v/>
      </c>
      <c r="AN28" s="128"/>
      <c r="AO28" s="117" t="s">
        <v>160</v>
      </c>
      <c r="AP28" s="118" t="n">
        <f aca="false">SUM(R28:Y28)+SUM(AN28)</f>
        <v>0</v>
      </c>
      <c r="AQ28" s="118" t="n">
        <f aca="false">SUM(AF28:AM28)</f>
        <v>0</v>
      </c>
      <c r="AR28" s="118" t="n">
        <v>1.665</v>
      </c>
      <c r="AS28" s="119" t="s">
        <v>420</v>
      </c>
      <c r="AT28" s="119" t="s">
        <v>209</v>
      </c>
    </row>
    <row r="29" customFormat="false" ht="13.5" hidden="false" customHeight="false" outlineLevel="0" collapsed="false">
      <c r="A29" s="129"/>
      <c r="B29" s="172"/>
      <c r="C29" s="110"/>
      <c r="D29" s="122"/>
      <c r="E29" s="122"/>
      <c r="F29" s="173"/>
      <c r="G29" s="123"/>
      <c r="H29" s="101"/>
      <c r="I29" s="123"/>
      <c r="J29" s="101"/>
      <c r="K29" s="124" t="s">
        <v>403</v>
      </c>
      <c r="L29" s="125"/>
      <c r="M29" s="125"/>
      <c r="N29" s="126" t="n">
        <f aca="false">$C$28</f>
        <v>3</v>
      </c>
      <c r="O29" s="126" t="n">
        <v>4</v>
      </c>
      <c r="P29" s="126" t="n">
        <v>20</v>
      </c>
      <c r="Q29" s="127" t="n">
        <f aca="false">$F$28+50*20/1000</f>
        <v>9.88</v>
      </c>
      <c r="R29" s="105" t="str">
        <f aca="false">IF(P29=6,N29*O29*Q29*0.222*1,IF(P29&gt;6,"",IF(P29&lt;6,"")))</f>
        <v/>
      </c>
      <c r="S29" s="106" t="str">
        <f aca="false">IF(P29=8,N29*O29*Q29*0.395*1,IF(P29&gt;8,"",IF(P29&lt;8,"")))</f>
        <v/>
      </c>
      <c r="T29" s="106" t="str">
        <f aca="false">IF(P29=10,N29*O29*Q29*0.617*1,IF(P29&gt;10,"",IF(P29&lt;10,"")))</f>
        <v/>
      </c>
      <c r="U29" s="106" t="str">
        <f aca="false">IF(P29=12,N29*O29*Q29*0.888*1,IF(P29&gt;12,"",IF(P29&lt;12,"")))</f>
        <v/>
      </c>
      <c r="V29" s="107" t="str">
        <f aca="false">IF(P29=16,N29*O29*Q29*1.578*1,IF(P29&gt;16,"",IF(P29&lt;16,"")))</f>
        <v/>
      </c>
      <c r="W29" s="106" t="n">
        <f aca="false">IF(P29=20,N29*O29*Q29*2.466*1,IF(P29&gt;20,"",IF(P29&lt;20,"")))</f>
        <v>292.36896</v>
      </c>
      <c r="X29" s="106" t="str">
        <f aca="false">IF(P29=25,N29*O29*Q29*3.853*1,IF(P29&gt;25,"",IF(P29&lt;25,"")))</f>
        <v/>
      </c>
      <c r="Y29" s="108" t="str">
        <f aca="false">IF(P29=32,N29*O29*Q29*6.313*1,IF(P29&gt;32,"",IF(P29&lt;32,"")))</f>
        <v/>
      </c>
      <c r="Z29" s="109"/>
      <c r="AA29" s="110" t="n">
        <f aca="false">IF(AC29&gt;0,N29,"")</f>
        <v>3</v>
      </c>
      <c r="AB29" s="111" t="n">
        <f aca="false">IF(AC29&gt;0,O29,"")</f>
        <v>4</v>
      </c>
      <c r="AC29" s="112" t="n">
        <v>2</v>
      </c>
      <c r="AD29" s="112" t="n">
        <v>50</v>
      </c>
      <c r="AE29" s="113" t="n">
        <f aca="false">IF(AC29&gt;0,P29,"")</f>
        <v>20</v>
      </c>
      <c r="AF29" s="114" t="str">
        <f aca="false">IF(AE29=6,AA29*AB29*AC29*AD29*(AE29/1000)*0.222*1,IF(AE29&gt;6,"",IF(AE29&lt;6,"")))</f>
        <v/>
      </c>
      <c r="AG29" s="107" t="str">
        <f aca="false">IF(AE29=8,AA29*AB29*AC29*AD29*(AE29/1000)*0.395*1,IF(AE29&gt;8,"",IF(AE29&lt;8,"")))</f>
        <v/>
      </c>
      <c r="AH29" s="107" t="str">
        <f aca="false">IF(AE29=10,AA29*AB29*AC29*AD29*(AE29/1000)*0.617*1,IF(AE29&gt;10,"",IF(AE29&lt;10,"")))</f>
        <v/>
      </c>
      <c r="AI29" s="107" t="str">
        <f aca="false">IF(AE29=12,AA29*AB29*AC29*AD29*(AE29/1000)*0.888*1,IF(AE29&gt;12,"",IF(AE29&lt;12,"")))</f>
        <v/>
      </c>
      <c r="AJ29" s="107" t="str">
        <f aca="false">IF(AE29=16,AA29*AB29*AC29*AD29*(AE29/1000)*1.578*1,IF(AE29&gt;16,"",IF(AE29&lt;16,"")))</f>
        <v/>
      </c>
      <c r="AK29" s="107" t="n">
        <f aca="false">IF(AE29=20,AA29*AB29*AC29*AD29*(AE29/1000)*2.466*1,IF(AE29&gt;20,"",IF(AE29&lt;20,"")))</f>
        <v>59.184</v>
      </c>
      <c r="AL29" s="107" t="str">
        <f aca="false">IF(AE29=25,AA29*AB29*AC29*AD29*(AE29/1000)*3.853*1,IF(AE29&gt;25,"",IF(AE29&lt;25,"")))</f>
        <v/>
      </c>
      <c r="AM29" s="115" t="str">
        <f aca="false">IF(AE29=32,AA29*AB29*AC29*AD29*(AE29/1000)*6.313*1,IF(AE29&gt;32,"",IF(AE29&lt;32,"")))</f>
        <v/>
      </c>
      <c r="AN29" s="128"/>
      <c r="AO29" s="117" t="s">
        <v>160</v>
      </c>
      <c r="AP29" s="118" t="n">
        <f aca="false">SUM(R29:Y29)+SUM(AN29)</f>
        <v>292.36896</v>
      </c>
      <c r="AQ29" s="118" t="n">
        <f aca="false">SUM(AF29:AM29)</f>
        <v>59.184</v>
      </c>
      <c r="AR29" s="118"/>
      <c r="AS29" s="119" t="s">
        <v>421</v>
      </c>
      <c r="AT29" s="119" t="s">
        <v>162</v>
      </c>
    </row>
    <row r="30" customFormat="false" ht="13.5" hidden="false" customHeight="false" outlineLevel="0" collapsed="false">
      <c r="A30" s="129"/>
      <c r="B30" s="172"/>
      <c r="C30" s="110"/>
      <c r="D30" s="122"/>
      <c r="E30" s="122"/>
      <c r="F30" s="173"/>
      <c r="G30" s="123"/>
      <c r="H30" s="101"/>
      <c r="I30" s="123"/>
      <c r="J30" s="101"/>
      <c r="K30" s="124" t="s">
        <v>405</v>
      </c>
      <c r="L30" s="125" t="n">
        <v>0.6</v>
      </c>
      <c r="M30" s="125" t="n">
        <v>0.1</v>
      </c>
      <c r="N30" s="126" t="n">
        <f aca="false">$C$28*2*3*1</f>
        <v>18</v>
      </c>
      <c r="O30" s="126" t="n">
        <f aca="false">CEILING(L30/M30,1)+1</f>
        <v>7</v>
      </c>
      <c r="P30" s="126" t="n">
        <v>8</v>
      </c>
      <c r="Q30" s="127" t="n">
        <f aca="false">2*($D$28-2*0.035)+2*($E$28-2*0.035)+20*8/1000</f>
        <v>0.88</v>
      </c>
      <c r="R30" s="105" t="str">
        <f aca="false">IF(P30=6,N30*O30*Q30*0.222*1,IF(P30&gt;6,"",IF(P30&lt;6,"")))</f>
        <v/>
      </c>
      <c r="S30" s="106" t="n">
        <f aca="false">IF(P30=8,N30*O30*Q30*0.395*1,IF(P30&gt;8,"",IF(P30&lt;8,"")))</f>
        <v>43.7976</v>
      </c>
      <c r="T30" s="106" t="str">
        <f aca="false">IF(P30=10,N30*O30*Q30*0.617*1,IF(P30&gt;10,"",IF(P30&lt;10,"")))</f>
        <v/>
      </c>
      <c r="U30" s="106" t="str">
        <f aca="false">IF(P30=12,N30*O30*Q30*0.888*1,IF(P30&gt;12,"",IF(P30&lt;12,"")))</f>
        <v/>
      </c>
      <c r="V30" s="107" t="str">
        <f aca="false">IF(P30=16,N30*O30*Q30*1.578*1,IF(P30&gt;16,"",IF(P30&lt;16,"")))</f>
        <v/>
      </c>
      <c r="W30" s="106" t="str">
        <f aca="false">IF(P30=20,N30*O30*Q30*2.466*1,IF(P30&gt;20,"",IF(P30&lt;20,"")))</f>
        <v/>
      </c>
      <c r="X30" s="106" t="str">
        <f aca="false">IF(P30=25,N30*O30*Q30*3.853*1,IF(P30&gt;25,"",IF(P30&lt;25,"")))</f>
        <v/>
      </c>
      <c r="Y30" s="108" t="str">
        <f aca="false">IF(P30=32,N30*O30*Q30*6.313*1,IF(P30&gt;32,"",IF(P30&lt;32,"")))</f>
        <v/>
      </c>
      <c r="Z30" s="109"/>
      <c r="AA30" s="110" t="str">
        <f aca="false">IF(AC30&gt;0,N30,"")</f>
        <v/>
      </c>
      <c r="AB30" s="111" t="str">
        <f aca="false">IF(AC30&gt;0,O30,"")</f>
        <v/>
      </c>
      <c r="AC30" s="112"/>
      <c r="AD30" s="112"/>
      <c r="AE30" s="113" t="str">
        <f aca="false">IF(AC30&gt;0,P30,"")</f>
        <v/>
      </c>
      <c r="AF30" s="114" t="str">
        <f aca="false">IF(AE30=6,AA30*AB30*AC30*AD30*(AE30/1000)*0.222*1,IF(AE30&gt;6,"",IF(AE30&lt;6,"")))</f>
        <v/>
      </c>
      <c r="AG30" s="107" t="str">
        <f aca="false">IF(AE30=8,AA30*AB30*AC30*AD30*(AE30/1000)*0.395*1,IF(AE30&gt;8,"",IF(AE30&lt;8,"")))</f>
        <v/>
      </c>
      <c r="AH30" s="107" t="str">
        <f aca="false">IF(AE30=10,AA30*AB30*AC30*AD30*(AE30/1000)*0.617*1,IF(AE30&gt;10,"",IF(AE30&lt;10,"")))</f>
        <v/>
      </c>
      <c r="AI30" s="107" t="str">
        <f aca="false">IF(AE30=12,AA30*AB30*AC30*AD30*(AE30/1000)*0.888*1,IF(AE30&gt;12,"",IF(AE30&lt;12,"")))</f>
        <v/>
      </c>
      <c r="AJ30" s="107" t="str">
        <f aca="false">IF(AE30=16,AA30*AB30*AC30*AD30*(AE30/1000)*1.578*1,IF(AE30&gt;16,"",IF(AE30&lt;16,"")))</f>
        <v/>
      </c>
      <c r="AK30" s="107" t="str">
        <f aca="false">IF(AE30=20,AA30*AB30*AC30*AD30*(AE30/1000)*2.466*1,IF(AE30&gt;20,"",IF(AE30&lt;20,"")))</f>
        <v/>
      </c>
      <c r="AL30" s="107" t="str">
        <f aca="false">IF(AE30=25,AA30*AB30*AC30*AD30*(AE30/1000)*3.853*1,IF(AE30&gt;25,"",IF(AE30&lt;25,"")))</f>
        <v/>
      </c>
      <c r="AM30" s="115" t="str">
        <f aca="false">IF(AE30=32,AA30*AB30*AC30*AD30*(AE30/1000)*6.313*1,IF(AE30&gt;32,"",IF(AE30&lt;32,"")))</f>
        <v/>
      </c>
      <c r="AN30" s="128"/>
      <c r="AO30" s="117" t="s">
        <v>160</v>
      </c>
      <c r="AP30" s="118" t="n">
        <f aca="false">SUM(R30:Y30)+SUM(AN30)</f>
        <v>43.7976</v>
      </c>
      <c r="AQ30" s="118" t="n">
        <f aca="false">SUM(AF30:AM30)</f>
        <v>0</v>
      </c>
      <c r="AR30" s="118"/>
      <c r="AS30" s="119" t="s">
        <v>422</v>
      </c>
      <c r="AT30" s="119" t="s">
        <v>162</v>
      </c>
    </row>
    <row r="31" s="116" customFormat="true" ht="13.5" hidden="false" customHeight="false" outlineLevel="0" collapsed="false">
      <c r="A31" s="129"/>
      <c r="B31" s="172"/>
      <c r="C31" s="110"/>
      <c r="D31" s="122"/>
      <c r="E31" s="122"/>
      <c r="F31" s="173"/>
      <c r="G31" s="123"/>
      <c r="H31" s="101"/>
      <c r="I31" s="123"/>
      <c r="J31" s="101"/>
      <c r="K31" s="124" t="s">
        <v>407</v>
      </c>
      <c r="L31" s="125" t="n">
        <f aca="false">$F$28-2*0.6*3</f>
        <v>5.28</v>
      </c>
      <c r="M31" s="125" t="n">
        <v>0.15</v>
      </c>
      <c r="N31" s="126" t="n">
        <f aca="false">$C$28*1</f>
        <v>3</v>
      </c>
      <c r="O31" s="126" t="n">
        <f aca="false">CEILING(L31/M31,1)-1</f>
        <v>35</v>
      </c>
      <c r="P31" s="126" t="n">
        <v>8</v>
      </c>
      <c r="Q31" s="127" t="n">
        <f aca="false">2*($D$28-2*0.035)+2*($E$28-2*0.035)+20*8/1000</f>
        <v>0.88</v>
      </c>
      <c r="R31" s="105" t="str">
        <f aca="false">IF(P31=6,N31*O31*Q31*0.222*1,IF(P31&gt;6,"",IF(P31&lt;6,"")))</f>
        <v/>
      </c>
      <c r="S31" s="106" t="n">
        <f aca="false">IF(P31=8,N31*O31*Q31*0.395*1,IF(P31&gt;8,"",IF(P31&lt;8,"")))</f>
        <v>36.498</v>
      </c>
      <c r="T31" s="106" t="str">
        <f aca="false">IF(P31=10,N31*O31*Q31*0.617*1,IF(P31&gt;10,"",IF(P31&lt;10,"")))</f>
        <v/>
      </c>
      <c r="U31" s="106" t="str">
        <f aca="false">IF(P31=12,N31*O31*Q31*0.888*1,IF(P31&gt;12,"",IF(P31&lt;12,"")))</f>
        <v/>
      </c>
      <c r="V31" s="107" t="str">
        <f aca="false">IF(P31=16,N31*O31*Q31*1.578*1,IF(P31&gt;16,"",IF(P31&lt;16,"")))</f>
        <v/>
      </c>
      <c r="W31" s="106" t="str">
        <f aca="false">IF(P31=20,N31*O31*Q31*2.466*1,IF(P31&gt;20,"",IF(P31&lt;20,"")))</f>
        <v/>
      </c>
      <c r="X31" s="106" t="str">
        <f aca="false">IF(P31=25,N31*O31*Q31*3.853*1,IF(P31&gt;25,"",IF(P31&lt;25,"")))</f>
        <v/>
      </c>
      <c r="Y31" s="108" t="str">
        <f aca="false">IF(P31=32,N31*O31*Q31*6.313*1,IF(P31&gt;32,"",IF(P31&lt;32,"")))</f>
        <v/>
      </c>
      <c r="Z31" s="109"/>
      <c r="AA31" s="110" t="str">
        <f aca="false">IF(AC31&gt;0,N31,"")</f>
        <v/>
      </c>
      <c r="AB31" s="111" t="str">
        <f aca="false">IF(AC31&gt;0,O31,"")</f>
        <v/>
      </c>
      <c r="AC31" s="112"/>
      <c r="AD31" s="112"/>
      <c r="AE31" s="113" t="str">
        <f aca="false">IF(AC31&gt;0,P31,"")</f>
        <v/>
      </c>
      <c r="AF31" s="114" t="str">
        <f aca="false">IF(AE31=6,AA31*AB31*AC31*AD31*(AE31/1000)*0.222*1,IF(AE31&gt;6,"",IF(AE31&lt;6,"")))</f>
        <v/>
      </c>
      <c r="AG31" s="107" t="str">
        <f aca="false">IF(AE31=8,AA31*AB31*AC31*AD31*(AE31/1000)*0.395*1,IF(AE31&gt;8,"",IF(AE31&lt;8,"")))</f>
        <v/>
      </c>
      <c r="AH31" s="107" t="str">
        <f aca="false">IF(AE31=10,AA31*AB31*AC31*AD31*(AE31/1000)*0.617*1,IF(AE31&gt;10,"",IF(AE31&lt;10,"")))</f>
        <v/>
      </c>
      <c r="AI31" s="107" t="str">
        <f aca="false">IF(AE31=12,AA31*AB31*AC31*AD31*(AE31/1000)*0.888*1,IF(AE31&gt;12,"",IF(AE31&lt;12,"")))</f>
        <v/>
      </c>
      <c r="AJ31" s="107" t="str">
        <f aca="false">IF(AE31=16,AA31*AB31*AC31*AD31*(AE31/1000)*1.578*1,IF(AE31&gt;16,"",IF(AE31&lt;16,"")))</f>
        <v/>
      </c>
      <c r="AK31" s="107" t="str">
        <f aca="false">IF(AE31=20,AA31*AB31*AC31*AD31*(AE31/1000)*2.466*1,IF(AE31&gt;20,"",IF(AE31&lt;20,"")))</f>
        <v/>
      </c>
      <c r="AL31" s="107" t="str">
        <f aca="false">IF(AE31=25,AA31*AB31*AC31*AD31*(AE31/1000)*3.853*1,IF(AE31&gt;25,"",IF(AE31&lt;25,"")))</f>
        <v/>
      </c>
      <c r="AM31" s="115" t="str">
        <f aca="false">IF(AE31=32,AA31*AB31*AC31*AD31*(AE31/1000)*6.313*1,IF(AE31&gt;32,"",IF(AE31&lt;32,"")))</f>
        <v/>
      </c>
      <c r="AN31" s="128"/>
      <c r="AO31" s="117" t="s">
        <v>160</v>
      </c>
      <c r="AP31" s="118" t="n">
        <f aca="false">SUM(R31:Y31)+SUM(AN31)</f>
        <v>36.498</v>
      </c>
      <c r="AQ31" s="118" t="n">
        <f aca="false">SUM(AF31:AM31)</f>
        <v>0</v>
      </c>
      <c r="AR31" s="118"/>
      <c r="AS31" s="119" t="s">
        <v>408</v>
      </c>
      <c r="AT31" s="119" t="s">
        <v>162</v>
      </c>
    </row>
    <row r="32" customFormat="false" ht="13.5" hidden="false" customHeight="false" outlineLevel="0" collapsed="false">
      <c r="A32" s="129"/>
      <c r="B32" s="130"/>
      <c r="C32" s="110"/>
      <c r="D32" s="122"/>
      <c r="E32" s="122"/>
      <c r="F32" s="122"/>
      <c r="G32" s="123"/>
      <c r="H32" s="101"/>
      <c r="I32" s="123"/>
      <c r="J32" s="101"/>
      <c r="K32" s="124"/>
      <c r="L32" s="125"/>
      <c r="M32" s="125"/>
      <c r="N32" s="126"/>
      <c r="O32" s="126"/>
      <c r="P32" s="126"/>
      <c r="Q32" s="127"/>
      <c r="R32" s="105"/>
      <c r="S32" s="106"/>
      <c r="T32" s="106"/>
      <c r="U32" s="106"/>
      <c r="V32" s="107"/>
      <c r="W32" s="106"/>
      <c r="X32" s="106"/>
      <c r="Y32" s="108"/>
      <c r="Z32" s="109"/>
      <c r="AA32" s="110"/>
      <c r="AB32" s="111"/>
      <c r="AC32" s="112"/>
      <c r="AD32" s="112"/>
      <c r="AE32" s="113"/>
      <c r="AF32" s="114"/>
      <c r="AG32" s="107"/>
      <c r="AH32" s="107"/>
      <c r="AI32" s="107"/>
      <c r="AJ32" s="107"/>
      <c r="AK32" s="107"/>
      <c r="AL32" s="107"/>
      <c r="AM32" s="115"/>
      <c r="AO32" s="117"/>
      <c r="AP32" s="118"/>
      <c r="AQ32" s="118"/>
      <c r="AR32" s="118"/>
      <c r="AS32" s="119"/>
      <c r="AT32" s="119"/>
    </row>
    <row r="33" customFormat="false" ht="13.5" hidden="false" customHeight="false" outlineLevel="0" collapsed="false">
      <c r="A33" s="96"/>
      <c r="B33" s="97" t="s">
        <v>423</v>
      </c>
      <c r="C33" s="98"/>
      <c r="D33" s="99"/>
      <c r="E33" s="99"/>
      <c r="F33" s="99"/>
      <c r="G33" s="100"/>
      <c r="H33" s="101"/>
      <c r="I33" s="100"/>
      <c r="J33" s="101"/>
      <c r="K33" s="102"/>
      <c r="L33" s="103"/>
      <c r="M33" s="103"/>
      <c r="N33" s="104"/>
      <c r="O33" s="104"/>
      <c r="P33" s="104"/>
      <c r="Q33" s="100"/>
      <c r="R33" s="105"/>
      <c r="S33" s="106"/>
      <c r="T33" s="106"/>
      <c r="U33" s="106"/>
      <c r="V33" s="107"/>
      <c r="W33" s="106"/>
      <c r="X33" s="106"/>
      <c r="Y33" s="108"/>
      <c r="Z33" s="109"/>
      <c r="AA33" s="110"/>
      <c r="AB33" s="111"/>
      <c r="AC33" s="112"/>
      <c r="AD33" s="112"/>
      <c r="AE33" s="113"/>
      <c r="AF33" s="114"/>
      <c r="AG33" s="107"/>
      <c r="AH33" s="107"/>
      <c r="AI33" s="107"/>
      <c r="AJ33" s="107"/>
      <c r="AK33" s="107"/>
      <c r="AL33" s="107"/>
      <c r="AM33" s="115"/>
      <c r="AO33" s="117"/>
      <c r="AP33" s="118"/>
      <c r="AQ33" s="118"/>
      <c r="AR33" s="118"/>
      <c r="AS33" s="119"/>
      <c r="AT33" s="119"/>
    </row>
    <row r="34" customFormat="false" ht="13.5" hidden="false" customHeight="false" outlineLevel="0" collapsed="false">
      <c r="A34" s="120"/>
      <c r="B34" s="121" t="s">
        <v>424</v>
      </c>
      <c r="C34" s="110" t="n">
        <v>4</v>
      </c>
      <c r="D34" s="122" t="n">
        <v>0.2</v>
      </c>
      <c r="E34" s="122" t="n">
        <v>0.3</v>
      </c>
      <c r="F34" s="122" t="n">
        <v>3.553</v>
      </c>
      <c r="G34" s="123" t="n">
        <f aca="false">C34*D34*E34*F34</f>
        <v>0.85272</v>
      </c>
      <c r="H34" s="101"/>
      <c r="I34" s="123" t="n">
        <f aca="false">2*(D34+E34)*F34*C34</f>
        <v>14.212</v>
      </c>
      <c r="J34" s="101"/>
      <c r="K34" s="124"/>
      <c r="L34" s="125"/>
      <c r="M34" s="125"/>
      <c r="N34" s="126"/>
      <c r="O34" s="126"/>
      <c r="P34" s="126"/>
      <c r="Q34" s="127"/>
      <c r="R34" s="105" t="str">
        <f aca="false">IF(P34=6,N34*O34*Q34*0.222*1,IF(P34&gt;6,"",IF(P34&lt;6,"")))</f>
        <v/>
      </c>
      <c r="S34" s="106" t="str">
        <f aca="false">IF(P34=8,N34*O34*Q34*0.395*1,IF(P34&gt;8,"",IF(P34&lt;8,"")))</f>
        <v/>
      </c>
      <c r="T34" s="106" t="str">
        <f aca="false">IF(P34=10,N34*O34*Q34*0.617*1,IF(P34&gt;10,"",IF(P34&lt;10,"")))</f>
        <v/>
      </c>
      <c r="U34" s="106" t="str">
        <f aca="false">IF(P34=12,N34*O34*Q34*0.888*1,IF(P34&gt;12,"",IF(P34&lt;12,"")))</f>
        <v/>
      </c>
      <c r="V34" s="107" t="str">
        <f aca="false">IF(P34=16,N34*O34*Q34*1.578*1,IF(P34&gt;16,"",IF(P34&lt;16,"")))</f>
        <v/>
      </c>
      <c r="W34" s="106" t="str">
        <f aca="false">IF(P34=20,N34*O34*Q34*2.466*1,IF(P34&gt;20,"",IF(P34&lt;20,"")))</f>
        <v/>
      </c>
      <c r="X34" s="106" t="str">
        <f aca="false">IF(P34=25,N34*O34*Q34*3.853*1,IF(P34&gt;25,"",IF(P34&lt;25,"")))</f>
        <v/>
      </c>
      <c r="Y34" s="108" t="str">
        <f aca="false">IF(P34=32,N34*O34*Q34*6.313*1,IF(P34&gt;32,"",IF(P34&lt;32,"")))</f>
        <v/>
      </c>
      <c r="Z34" s="109"/>
      <c r="AA34" s="110" t="str">
        <f aca="false">IF(AC34&gt;0,N34,"")</f>
        <v/>
      </c>
      <c r="AB34" s="111" t="str">
        <f aca="false">IF(AC34&gt;0,O34,"")</f>
        <v/>
      </c>
      <c r="AC34" s="112"/>
      <c r="AD34" s="112"/>
      <c r="AE34" s="113" t="str">
        <f aca="false">IF(AC34&gt;0,P34,"")</f>
        <v/>
      </c>
      <c r="AF34" s="114" t="str">
        <f aca="false">IF(AE34=6,AA34*AB34*AC34*AD34*(AE34/1000)*0.222*1,IF(AE34&gt;6,"",IF(AE34&lt;6,"")))</f>
        <v/>
      </c>
      <c r="AG34" s="107" t="str">
        <f aca="false">IF(AE34=8,AA34*AB34*AC34*AD34*(AE34/1000)*0.395*1,IF(AE34&gt;8,"",IF(AE34&lt;8,"")))</f>
        <v/>
      </c>
      <c r="AH34" s="107" t="str">
        <f aca="false">IF(AE34=10,AA34*AB34*AC34*AD34*(AE34/1000)*0.617*1,IF(AE34&gt;10,"",IF(AE34&lt;10,"")))</f>
        <v/>
      </c>
      <c r="AI34" s="107" t="str">
        <f aca="false">IF(AE34=12,AA34*AB34*AC34*AD34*(AE34/1000)*0.888*1,IF(AE34&gt;12,"",IF(AE34&lt;12,"")))</f>
        <v/>
      </c>
      <c r="AJ34" s="107" t="str">
        <f aca="false">IF(AE34=16,AA34*AB34*AC34*AD34*(AE34/1000)*1.578*1,IF(AE34&gt;16,"",IF(AE34&lt;16,"")))</f>
        <v/>
      </c>
      <c r="AK34" s="107" t="str">
        <f aca="false">IF(AE34=20,AA34*AB34*AC34*AD34*(AE34/1000)*2.466*1,IF(AE34&gt;20,"",IF(AE34&lt;20,"")))</f>
        <v/>
      </c>
      <c r="AL34" s="107" t="str">
        <f aca="false">IF(AE34=25,AA34*AB34*AC34*AD34*(AE34/1000)*3.853*1,IF(AE34&gt;25,"",IF(AE34&lt;25,"")))</f>
        <v/>
      </c>
      <c r="AM34" s="115" t="str">
        <f aca="false">IF(AE34=32,AA34*AB34*AC34*AD34*(AE34/1000)*6.313*1,IF(AE34&gt;32,"",IF(AE34&lt;32,"")))</f>
        <v/>
      </c>
      <c r="AN34" s="128"/>
      <c r="AO34" s="117" t="s">
        <v>170</v>
      </c>
      <c r="AP34" s="118" t="n">
        <f aca="false">SUM(R34:Y34)+SUM(AN34)</f>
        <v>0</v>
      </c>
      <c r="AQ34" s="118" t="n">
        <f aca="false">SUM(AF34:AM34)</f>
        <v>0</v>
      </c>
      <c r="AR34" s="118" t="n">
        <v>0.8048</v>
      </c>
      <c r="AS34" s="119" t="s">
        <v>425</v>
      </c>
      <c r="AT34" s="119" t="s">
        <v>209</v>
      </c>
    </row>
    <row r="35" customFormat="false" ht="13.5" hidden="false" customHeight="false" outlineLevel="0" collapsed="false">
      <c r="A35" s="129"/>
      <c r="B35" s="172"/>
      <c r="C35" s="110"/>
      <c r="D35" s="122"/>
      <c r="E35" s="122"/>
      <c r="F35" s="173"/>
      <c r="G35" s="123"/>
      <c r="H35" s="101"/>
      <c r="I35" s="123"/>
      <c r="J35" s="101"/>
      <c r="K35" s="124" t="s">
        <v>417</v>
      </c>
      <c r="L35" s="125"/>
      <c r="M35" s="125"/>
      <c r="N35" s="126" t="n">
        <f aca="false">$C$34</f>
        <v>4</v>
      </c>
      <c r="O35" s="126" t="n">
        <v>4</v>
      </c>
      <c r="P35" s="126" t="n">
        <v>16</v>
      </c>
      <c r="Q35" s="127" t="n">
        <f aca="false">$F$34+50*16/1000</f>
        <v>4.353</v>
      </c>
      <c r="R35" s="105" t="str">
        <f aca="false">IF(P35=6,N35*O35*Q35*0.222*1,IF(P35&gt;6,"",IF(P35&lt;6,"")))</f>
        <v/>
      </c>
      <c r="S35" s="106" t="str">
        <f aca="false">IF(P35=8,N35*O35*Q35*0.395*1,IF(P35&gt;8,"",IF(P35&lt;8,"")))</f>
        <v/>
      </c>
      <c r="T35" s="106" t="str">
        <f aca="false">IF(P35=10,N35*O35*Q35*0.617*1,IF(P35&gt;10,"",IF(P35&lt;10,"")))</f>
        <v/>
      </c>
      <c r="U35" s="106" t="str">
        <f aca="false">IF(P35=12,N35*O35*Q35*0.888*1,IF(P35&gt;12,"",IF(P35&lt;12,"")))</f>
        <v/>
      </c>
      <c r="V35" s="107" t="n">
        <f aca="false">IF(P35=16,N35*O35*Q35*1.578*1,IF(P35&gt;16,"",IF(P35&lt;16,"")))</f>
        <v>109.904544</v>
      </c>
      <c r="W35" s="106" t="str">
        <f aca="false">IF(P35=20,N35*O35*Q35*2.466*1,IF(P35&gt;20,"",IF(P35&lt;20,"")))</f>
        <v/>
      </c>
      <c r="X35" s="106" t="str">
        <f aca="false">IF(P35=25,N35*O35*Q35*3.853*1,IF(P35&gt;25,"",IF(P35&lt;25,"")))</f>
        <v/>
      </c>
      <c r="Y35" s="108" t="str">
        <f aca="false">IF(P35=32,N35*O35*Q35*6.313*1,IF(P35&gt;32,"",IF(P35&lt;32,"")))</f>
        <v/>
      </c>
      <c r="Z35" s="109"/>
      <c r="AA35" s="110" t="str">
        <f aca="false">IF(AC35&gt;0,N35,"")</f>
        <v/>
      </c>
      <c r="AB35" s="111" t="str">
        <f aca="false">IF(AC35&gt;0,O35,"")</f>
        <v/>
      </c>
      <c r="AC35" s="112"/>
      <c r="AD35" s="112"/>
      <c r="AE35" s="113" t="str">
        <f aca="false">IF(AC35&gt;0,P35,"")</f>
        <v/>
      </c>
      <c r="AF35" s="114" t="str">
        <f aca="false">IF(AE35=6,AA35*AB35*AC35*AD35*(AE35/1000)*0.222*1,IF(AE35&gt;6,"",IF(AE35&lt;6,"")))</f>
        <v/>
      </c>
      <c r="AG35" s="107" t="str">
        <f aca="false">IF(AE35=8,AA35*AB35*AC35*AD35*(AE35/1000)*0.395*1,IF(AE35&gt;8,"",IF(AE35&lt;8,"")))</f>
        <v/>
      </c>
      <c r="AH35" s="107" t="str">
        <f aca="false">IF(AE35=10,AA35*AB35*AC35*AD35*(AE35/1000)*0.617*1,IF(AE35&gt;10,"",IF(AE35&lt;10,"")))</f>
        <v/>
      </c>
      <c r="AI35" s="107" t="str">
        <f aca="false">IF(AE35=12,AA35*AB35*AC35*AD35*(AE35/1000)*0.888*1,IF(AE35&gt;12,"",IF(AE35&lt;12,"")))</f>
        <v/>
      </c>
      <c r="AJ35" s="107" t="str">
        <f aca="false">IF(AE35=16,AA35*AB35*AC35*AD35*(AE35/1000)*1.578*1,IF(AE35&gt;16,"",IF(AE35&lt;16,"")))</f>
        <v/>
      </c>
      <c r="AK35" s="107" t="str">
        <f aca="false">IF(AE35=20,AA35*AB35*AC35*AD35*(AE35/1000)*2.466*1,IF(AE35&gt;20,"",IF(AE35&lt;20,"")))</f>
        <v/>
      </c>
      <c r="AL35" s="107" t="str">
        <f aca="false">IF(AE35=25,AA35*AB35*AC35*AD35*(AE35/1000)*3.853*1,IF(AE35&gt;25,"",IF(AE35&lt;25,"")))</f>
        <v/>
      </c>
      <c r="AM35" s="115" t="str">
        <f aca="false">IF(AE35=32,AA35*AB35*AC35*AD35*(AE35/1000)*6.313*1,IF(AE35&gt;32,"",IF(AE35&lt;32,"")))</f>
        <v/>
      </c>
      <c r="AN35" s="128"/>
      <c r="AO35" s="117" t="s">
        <v>170</v>
      </c>
      <c r="AP35" s="118" t="n">
        <f aca="false">SUM(R35:Y35)+SUM(AN35)</f>
        <v>109.904544</v>
      </c>
      <c r="AQ35" s="118" t="n">
        <f aca="false">SUM(AF35:AM35)</f>
        <v>0</v>
      </c>
      <c r="AR35" s="118"/>
      <c r="AS35" s="119" t="s">
        <v>411</v>
      </c>
      <c r="AT35" s="119" t="s">
        <v>162</v>
      </c>
    </row>
    <row r="36" customFormat="false" ht="13.5" hidden="false" customHeight="false" outlineLevel="0" collapsed="false">
      <c r="A36" s="129"/>
      <c r="B36" s="172"/>
      <c r="C36" s="110"/>
      <c r="D36" s="122"/>
      <c r="E36" s="122"/>
      <c r="F36" s="173"/>
      <c r="G36" s="123"/>
      <c r="H36" s="101"/>
      <c r="I36" s="123"/>
      <c r="J36" s="101"/>
      <c r="K36" s="124" t="s">
        <v>418</v>
      </c>
      <c r="L36" s="125"/>
      <c r="M36" s="125"/>
      <c r="N36" s="126" t="n">
        <f aca="false">$C$34</f>
        <v>4</v>
      </c>
      <c r="O36" s="126" t="n">
        <v>2</v>
      </c>
      <c r="P36" s="126" t="n">
        <v>12</v>
      </c>
      <c r="Q36" s="127" t="n">
        <f aca="false">$F$34+50*12/1000</f>
        <v>4.153</v>
      </c>
      <c r="R36" s="105" t="str">
        <f aca="false">IF(P36=6,N36*O36*Q36*0.222*1,IF(P36&gt;6,"",IF(P36&lt;6,"")))</f>
        <v/>
      </c>
      <c r="S36" s="106" t="str">
        <f aca="false">IF(P36=8,N36*O36*Q36*0.395*1,IF(P36&gt;8,"",IF(P36&lt;8,"")))</f>
        <v/>
      </c>
      <c r="T36" s="106" t="str">
        <f aca="false">IF(P36=10,N36*O36*Q36*0.617*1,IF(P36&gt;10,"",IF(P36&lt;10,"")))</f>
        <v/>
      </c>
      <c r="U36" s="106" t="n">
        <f aca="false">IF(P36=12,N36*O36*Q36*0.888*1,IF(P36&gt;12,"",IF(P36&lt;12,"")))</f>
        <v>29.502912</v>
      </c>
      <c r="V36" s="107" t="str">
        <f aca="false">IF(P36=16,N36*O36*Q36*1.578*1,IF(P36&gt;16,"",IF(P36&lt;16,"")))</f>
        <v/>
      </c>
      <c r="W36" s="106" t="str">
        <f aca="false">IF(P36=20,N36*O36*Q36*2.466*1,IF(P36&gt;20,"",IF(P36&lt;20,"")))</f>
        <v/>
      </c>
      <c r="X36" s="106" t="str">
        <f aca="false">IF(P36=25,N36*O36*Q36*3.853*1,IF(P36&gt;25,"",IF(P36&lt;25,"")))</f>
        <v/>
      </c>
      <c r="Y36" s="108" t="str">
        <f aca="false">IF(P36=32,N36*O36*Q36*6.313*1,IF(P36&gt;32,"",IF(P36&lt;32,"")))</f>
        <v/>
      </c>
      <c r="Z36" s="109"/>
      <c r="AA36" s="110" t="str">
        <f aca="false">IF(AC36&gt;0,N36,"")</f>
        <v/>
      </c>
      <c r="AB36" s="111" t="str">
        <f aca="false">IF(AC36&gt;0,O36,"")</f>
        <v/>
      </c>
      <c r="AC36" s="112"/>
      <c r="AD36" s="112"/>
      <c r="AE36" s="113" t="str">
        <f aca="false">IF(AC36&gt;0,P36,"")</f>
        <v/>
      </c>
      <c r="AF36" s="114" t="str">
        <f aca="false">IF(AE36=6,AA36*AB36*AC36*AD36*(AE36/1000)*0.222*1,IF(AE36&gt;6,"",IF(AE36&lt;6,"")))</f>
        <v/>
      </c>
      <c r="AG36" s="107" t="str">
        <f aca="false">IF(AE36=8,AA36*AB36*AC36*AD36*(AE36/1000)*0.395*1,IF(AE36&gt;8,"",IF(AE36&lt;8,"")))</f>
        <v/>
      </c>
      <c r="AH36" s="107" t="str">
        <f aca="false">IF(AE36=10,AA36*AB36*AC36*AD36*(AE36/1000)*0.617*1,IF(AE36&gt;10,"",IF(AE36&lt;10,"")))</f>
        <v/>
      </c>
      <c r="AI36" s="107" t="str">
        <f aca="false">IF(AE36=12,AA36*AB36*AC36*AD36*(AE36/1000)*0.888*1,IF(AE36&gt;12,"",IF(AE36&lt;12,"")))</f>
        <v/>
      </c>
      <c r="AJ36" s="107" t="str">
        <f aca="false">IF(AE36=16,AA36*AB36*AC36*AD36*(AE36/1000)*1.578*1,IF(AE36&gt;16,"",IF(AE36&lt;16,"")))</f>
        <v/>
      </c>
      <c r="AK36" s="107" t="str">
        <f aca="false">IF(AE36=20,AA36*AB36*AC36*AD36*(AE36/1000)*2.466*1,IF(AE36&gt;20,"",IF(AE36&lt;20,"")))</f>
        <v/>
      </c>
      <c r="AL36" s="107" t="str">
        <f aca="false">IF(AE36=25,AA36*AB36*AC36*AD36*(AE36/1000)*3.853*1,IF(AE36&gt;25,"",IF(AE36&lt;25,"")))</f>
        <v/>
      </c>
      <c r="AM36" s="115" t="str">
        <f aca="false">IF(AE36=32,AA36*AB36*AC36*AD36*(AE36/1000)*6.313*1,IF(AE36&gt;32,"",IF(AE36&lt;32,"")))</f>
        <v/>
      </c>
      <c r="AN36" s="128"/>
      <c r="AO36" s="117" t="s">
        <v>170</v>
      </c>
      <c r="AP36" s="118" t="n">
        <f aca="false">SUM(R36:Y36)+SUM(AN36)</f>
        <v>29.502912</v>
      </c>
      <c r="AQ36" s="118" t="n">
        <f aca="false">SUM(AF36:AM36)</f>
        <v>0</v>
      </c>
      <c r="AR36" s="118"/>
      <c r="AS36" s="119" t="s">
        <v>411</v>
      </c>
      <c r="AT36" s="119" t="s">
        <v>162</v>
      </c>
    </row>
    <row r="37" customFormat="false" ht="13.5" hidden="false" customHeight="false" outlineLevel="0" collapsed="false">
      <c r="A37" s="129"/>
      <c r="B37" s="172"/>
      <c r="C37" s="110"/>
      <c r="D37" s="122"/>
      <c r="E37" s="122"/>
      <c r="F37" s="173"/>
      <c r="G37" s="123"/>
      <c r="H37" s="101"/>
      <c r="I37" s="123"/>
      <c r="J37" s="101"/>
      <c r="K37" s="124" t="s">
        <v>405</v>
      </c>
      <c r="L37" s="125" t="n">
        <v>0.6</v>
      </c>
      <c r="M37" s="125" t="n">
        <v>0.1</v>
      </c>
      <c r="N37" s="126" t="n">
        <f aca="false">$C$34*2*1*1</f>
        <v>8</v>
      </c>
      <c r="O37" s="126" t="n">
        <f aca="false">CEILING(L37/M37,1)+1</f>
        <v>7</v>
      </c>
      <c r="P37" s="126" t="n">
        <v>8</v>
      </c>
      <c r="Q37" s="127" t="n">
        <f aca="false">2*($D$34-2*0.035)+2*($E$34-2*0.035)+20*8/1000</f>
        <v>0.88</v>
      </c>
      <c r="R37" s="105" t="str">
        <f aca="false">IF(P37=6,N37*O37*Q37*0.222*1,IF(P37&gt;6,"",IF(P37&lt;6,"")))</f>
        <v/>
      </c>
      <c r="S37" s="106" t="n">
        <f aca="false">IF(P37=8,N37*O37*Q37*0.395*1,IF(P37&gt;8,"",IF(P37&lt;8,"")))</f>
        <v>19.4656</v>
      </c>
      <c r="T37" s="106" t="str">
        <f aca="false">IF(P37=10,N37*O37*Q37*0.617*1,IF(P37&gt;10,"",IF(P37&lt;10,"")))</f>
        <v/>
      </c>
      <c r="U37" s="106" t="str">
        <f aca="false">IF(P37=12,N37*O37*Q37*0.888*1,IF(P37&gt;12,"",IF(P37&lt;12,"")))</f>
        <v/>
      </c>
      <c r="V37" s="107" t="str">
        <f aca="false">IF(P37=16,N37*O37*Q37*1.578*1,IF(P37&gt;16,"",IF(P37&lt;16,"")))</f>
        <v/>
      </c>
      <c r="W37" s="106" t="str">
        <f aca="false">IF(P37=20,N37*O37*Q37*2.466*1,IF(P37&gt;20,"",IF(P37&lt;20,"")))</f>
        <v/>
      </c>
      <c r="X37" s="106" t="str">
        <f aca="false">IF(P37=25,N37*O37*Q37*3.853*1,IF(P37&gt;25,"",IF(P37&lt;25,"")))</f>
        <v/>
      </c>
      <c r="Y37" s="108" t="str">
        <f aca="false">IF(P37=32,N37*O37*Q37*6.313*1,IF(P37&gt;32,"",IF(P37&lt;32,"")))</f>
        <v/>
      </c>
      <c r="Z37" s="109"/>
      <c r="AA37" s="110" t="str">
        <f aca="false">IF(AC37&gt;0,N37,"")</f>
        <v/>
      </c>
      <c r="AB37" s="111" t="str">
        <f aca="false">IF(AC37&gt;0,O37,"")</f>
        <v/>
      </c>
      <c r="AC37" s="112"/>
      <c r="AD37" s="112"/>
      <c r="AE37" s="113" t="str">
        <f aca="false">IF(AC37&gt;0,P37,"")</f>
        <v/>
      </c>
      <c r="AF37" s="114" t="str">
        <f aca="false">IF(AE37=6,AA37*AB37*AC37*AD37*(AE37/1000)*0.222*1,IF(AE37&gt;6,"",IF(AE37&lt;6,"")))</f>
        <v/>
      </c>
      <c r="AG37" s="107" t="str">
        <f aca="false">IF(AE37=8,AA37*AB37*AC37*AD37*(AE37/1000)*0.395*1,IF(AE37&gt;8,"",IF(AE37&lt;8,"")))</f>
        <v/>
      </c>
      <c r="AH37" s="107" t="str">
        <f aca="false">IF(AE37=10,AA37*AB37*AC37*AD37*(AE37/1000)*0.617*1,IF(AE37&gt;10,"",IF(AE37&lt;10,"")))</f>
        <v/>
      </c>
      <c r="AI37" s="107" t="str">
        <f aca="false">IF(AE37=12,AA37*AB37*AC37*AD37*(AE37/1000)*0.888*1,IF(AE37&gt;12,"",IF(AE37&lt;12,"")))</f>
        <v/>
      </c>
      <c r="AJ37" s="107" t="str">
        <f aca="false">IF(AE37=16,AA37*AB37*AC37*AD37*(AE37/1000)*1.578*1,IF(AE37&gt;16,"",IF(AE37&lt;16,"")))</f>
        <v/>
      </c>
      <c r="AK37" s="107" t="str">
        <f aca="false">IF(AE37=20,AA37*AB37*AC37*AD37*(AE37/1000)*2.466*1,IF(AE37&gt;20,"",IF(AE37&lt;20,"")))</f>
        <v/>
      </c>
      <c r="AL37" s="107" t="str">
        <f aca="false">IF(AE37=25,AA37*AB37*AC37*AD37*(AE37/1000)*3.853*1,IF(AE37&gt;25,"",IF(AE37&lt;25,"")))</f>
        <v/>
      </c>
      <c r="AM37" s="115" t="str">
        <f aca="false">IF(AE37=32,AA37*AB37*AC37*AD37*(AE37/1000)*6.313*1,IF(AE37&gt;32,"",IF(AE37&lt;32,"")))</f>
        <v/>
      </c>
      <c r="AN37" s="128"/>
      <c r="AO37" s="117" t="s">
        <v>170</v>
      </c>
      <c r="AP37" s="118" t="n">
        <f aca="false">SUM(R37:Y37)+SUM(AN37)</f>
        <v>19.4656</v>
      </c>
      <c r="AQ37" s="118" t="n">
        <f aca="false">SUM(AF37:AM37)</f>
        <v>0</v>
      </c>
      <c r="AR37" s="118"/>
      <c r="AS37" s="119" t="s">
        <v>412</v>
      </c>
      <c r="AT37" s="119" t="s">
        <v>162</v>
      </c>
    </row>
    <row r="38" customFormat="false" ht="13.5" hidden="false" customHeight="false" outlineLevel="0" collapsed="false">
      <c r="A38" s="129"/>
      <c r="B38" s="172"/>
      <c r="C38" s="110"/>
      <c r="D38" s="122"/>
      <c r="E38" s="122"/>
      <c r="F38" s="173"/>
      <c r="G38" s="123"/>
      <c r="H38" s="101"/>
      <c r="I38" s="123"/>
      <c r="J38" s="101"/>
      <c r="K38" s="124" t="s">
        <v>407</v>
      </c>
      <c r="L38" s="125" t="n">
        <f aca="false">$F$34-2*0.6*1</f>
        <v>2.353</v>
      </c>
      <c r="M38" s="125" t="n">
        <v>0.15</v>
      </c>
      <c r="N38" s="126" t="n">
        <f aca="false">$C$34*1</f>
        <v>4</v>
      </c>
      <c r="O38" s="126" t="n">
        <f aca="false">CEILING(L38/M38,1)-1</f>
        <v>15</v>
      </c>
      <c r="P38" s="126" t="n">
        <v>8</v>
      </c>
      <c r="Q38" s="127" t="n">
        <f aca="false">2*($D$34-2*0.035)+2*($E$34-2*0.035)+20*8/1000</f>
        <v>0.88</v>
      </c>
      <c r="R38" s="105" t="str">
        <f aca="false">IF(P38=6,N38*O38*Q38*0.222*1,IF(P38&gt;6,"",IF(P38&lt;6,"")))</f>
        <v/>
      </c>
      <c r="S38" s="106" t="n">
        <f aca="false">IF(P38=8,N38*O38*Q38*0.395*1,IF(P38&gt;8,"",IF(P38&lt;8,"")))</f>
        <v>20.856</v>
      </c>
      <c r="T38" s="106" t="str">
        <f aca="false">IF(P38=10,N38*O38*Q38*0.617*1,IF(P38&gt;10,"",IF(P38&lt;10,"")))</f>
        <v/>
      </c>
      <c r="U38" s="106" t="str">
        <f aca="false">IF(P38=12,N38*O38*Q38*0.888*1,IF(P38&gt;12,"",IF(P38&lt;12,"")))</f>
        <v/>
      </c>
      <c r="V38" s="107" t="str">
        <f aca="false">IF(P38=16,N38*O38*Q38*1.578*1,IF(P38&gt;16,"",IF(P38&lt;16,"")))</f>
        <v/>
      </c>
      <c r="W38" s="106" t="str">
        <f aca="false">IF(P38=20,N38*O38*Q38*2.466*1,IF(P38&gt;20,"",IF(P38&lt;20,"")))</f>
        <v/>
      </c>
      <c r="X38" s="106" t="str">
        <f aca="false">IF(P38=25,N38*O38*Q38*3.853*1,IF(P38&gt;25,"",IF(P38&lt;25,"")))</f>
        <v/>
      </c>
      <c r="Y38" s="108" t="str">
        <f aca="false">IF(P38=32,N38*O38*Q38*6.313*1,IF(P38&gt;32,"",IF(P38&lt;32,"")))</f>
        <v/>
      </c>
      <c r="Z38" s="109"/>
      <c r="AA38" s="110" t="str">
        <f aca="false">IF(AC38&gt;0,N38,"")</f>
        <v/>
      </c>
      <c r="AB38" s="111" t="str">
        <f aca="false">IF(AC38&gt;0,O38,"")</f>
        <v/>
      </c>
      <c r="AC38" s="112"/>
      <c r="AD38" s="112"/>
      <c r="AE38" s="113" t="str">
        <f aca="false">IF(AC38&gt;0,P38,"")</f>
        <v/>
      </c>
      <c r="AF38" s="114" t="str">
        <f aca="false">IF(AE38=6,AA38*AB38*AC38*AD38*(AE38/1000)*0.222*1,IF(AE38&gt;6,"",IF(AE38&lt;6,"")))</f>
        <v/>
      </c>
      <c r="AG38" s="107" t="str">
        <f aca="false">IF(AE38=8,AA38*AB38*AC38*AD38*(AE38/1000)*0.395*1,IF(AE38&gt;8,"",IF(AE38&lt;8,"")))</f>
        <v/>
      </c>
      <c r="AH38" s="107" t="str">
        <f aca="false">IF(AE38=10,AA38*AB38*AC38*AD38*(AE38/1000)*0.617*1,IF(AE38&gt;10,"",IF(AE38&lt;10,"")))</f>
        <v/>
      </c>
      <c r="AI38" s="107" t="str">
        <f aca="false">IF(AE38=12,AA38*AB38*AC38*AD38*(AE38/1000)*0.888*1,IF(AE38&gt;12,"",IF(AE38&lt;12,"")))</f>
        <v/>
      </c>
      <c r="AJ38" s="107" t="str">
        <f aca="false">IF(AE38=16,AA38*AB38*AC38*AD38*(AE38/1000)*1.578*1,IF(AE38&gt;16,"",IF(AE38&lt;16,"")))</f>
        <v/>
      </c>
      <c r="AK38" s="107" t="str">
        <f aca="false">IF(AE38=20,AA38*AB38*AC38*AD38*(AE38/1000)*2.466*1,IF(AE38&gt;20,"",IF(AE38&lt;20,"")))</f>
        <v/>
      </c>
      <c r="AL38" s="107" t="str">
        <f aca="false">IF(AE38=25,AA38*AB38*AC38*AD38*(AE38/1000)*3.853*1,IF(AE38&gt;25,"",IF(AE38&lt;25,"")))</f>
        <v/>
      </c>
      <c r="AM38" s="115" t="str">
        <f aca="false">IF(AE38=32,AA38*AB38*AC38*AD38*(AE38/1000)*6.313*1,IF(AE38&gt;32,"",IF(AE38&lt;32,"")))</f>
        <v/>
      </c>
      <c r="AN38" s="128"/>
      <c r="AO38" s="117" t="s">
        <v>170</v>
      </c>
      <c r="AP38" s="118" t="n">
        <f aca="false">SUM(R38:Y38)+SUM(AN38)</f>
        <v>20.856</v>
      </c>
      <c r="AQ38" s="118" t="n">
        <f aca="false">SUM(AF38:AM38)</f>
        <v>0</v>
      </c>
      <c r="AR38" s="118"/>
      <c r="AS38" s="119" t="s">
        <v>408</v>
      </c>
      <c r="AT38" s="119" t="s">
        <v>162</v>
      </c>
    </row>
    <row r="39" customFormat="false" ht="13.5" hidden="false" customHeight="false" outlineLevel="0" collapsed="false">
      <c r="A39" s="129"/>
      <c r="B39" s="130"/>
      <c r="C39" s="110"/>
      <c r="D39" s="122"/>
      <c r="E39" s="122"/>
      <c r="F39" s="122"/>
      <c r="G39" s="123"/>
      <c r="H39" s="101"/>
      <c r="I39" s="123"/>
      <c r="J39" s="101"/>
      <c r="K39" s="124"/>
      <c r="L39" s="125"/>
      <c r="M39" s="125"/>
      <c r="N39" s="126"/>
      <c r="O39" s="126"/>
      <c r="P39" s="126"/>
      <c r="Q39" s="127"/>
      <c r="R39" s="105"/>
      <c r="S39" s="106"/>
      <c r="T39" s="106"/>
      <c r="U39" s="106"/>
      <c r="V39" s="107"/>
      <c r="W39" s="106"/>
      <c r="X39" s="106"/>
      <c r="Y39" s="108"/>
      <c r="Z39" s="109"/>
      <c r="AA39" s="110"/>
      <c r="AB39" s="111"/>
      <c r="AC39" s="112"/>
      <c r="AD39" s="112"/>
      <c r="AE39" s="113"/>
      <c r="AF39" s="114"/>
      <c r="AG39" s="107"/>
      <c r="AH39" s="107"/>
      <c r="AI39" s="107"/>
      <c r="AJ39" s="107"/>
      <c r="AK39" s="107"/>
      <c r="AL39" s="107"/>
      <c r="AM39" s="115"/>
      <c r="AO39" s="117"/>
      <c r="AP39" s="118"/>
      <c r="AQ39" s="118"/>
      <c r="AR39" s="118"/>
      <c r="AS39" s="119"/>
      <c r="AT39" s="119"/>
    </row>
    <row r="40" customFormat="false" ht="13.5" hidden="false" customHeight="false" outlineLevel="0" collapsed="false">
      <c r="A40" s="120"/>
      <c r="B40" s="121" t="s">
        <v>426</v>
      </c>
      <c r="C40" s="110" t="n">
        <v>1</v>
      </c>
      <c r="D40" s="122" t="n">
        <v>0.25</v>
      </c>
      <c r="E40" s="122" t="n">
        <v>0.25</v>
      </c>
      <c r="F40" s="122" t="n">
        <v>3.553</v>
      </c>
      <c r="G40" s="123" t="n">
        <f aca="false">C40*D40*E40*F40</f>
        <v>0.2220625</v>
      </c>
      <c r="H40" s="101"/>
      <c r="I40" s="123" t="n">
        <f aca="false">2*(D40+E40)*F40*C40</f>
        <v>3.553</v>
      </c>
      <c r="J40" s="101"/>
      <c r="K40" s="124"/>
      <c r="L40" s="125"/>
      <c r="M40" s="125"/>
      <c r="N40" s="126"/>
      <c r="O40" s="126"/>
      <c r="P40" s="126"/>
      <c r="Q40" s="127"/>
      <c r="R40" s="105" t="str">
        <f aca="false">IF(P40=6,N40*O40*Q40*0.222*1,IF(P40&gt;6,"",IF(P40&lt;6,"")))</f>
        <v/>
      </c>
      <c r="S40" s="106" t="str">
        <f aca="false">IF(P40=8,N40*O40*Q40*0.395*1,IF(P40&gt;8,"",IF(P40&lt;8,"")))</f>
        <v/>
      </c>
      <c r="T40" s="106" t="str">
        <f aca="false">IF(P40=10,N40*O40*Q40*0.617*1,IF(P40&gt;10,"",IF(P40&lt;10,"")))</f>
        <v/>
      </c>
      <c r="U40" s="106" t="str">
        <f aca="false">IF(P40=12,N40*O40*Q40*0.888*1,IF(P40&gt;12,"",IF(P40&lt;12,"")))</f>
        <v/>
      </c>
      <c r="V40" s="107" t="str">
        <f aca="false">IF(P40=16,N40*O40*Q40*1.578*1,IF(P40&gt;16,"",IF(P40&lt;16,"")))</f>
        <v/>
      </c>
      <c r="W40" s="106" t="str">
        <f aca="false">IF(P40=20,N40*O40*Q40*2.466*1,IF(P40&gt;20,"",IF(P40&lt;20,"")))</f>
        <v/>
      </c>
      <c r="X40" s="106" t="str">
        <f aca="false">IF(P40=25,N40*O40*Q40*3.853*1,IF(P40&gt;25,"",IF(P40&lt;25,"")))</f>
        <v/>
      </c>
      <c r="Y40" s="108" t="str">
        <f aca="false">IF(P40=32,N40*O40*Q40*6.313*1,IF(P40&gt;32,"",IF(P40&lt;32,"")))</f>
        <v/>
      </c>
      <c r="Z40" s="109"/>
      <c r="AA40" s="110" t="str">
        <f aca="false">IF(AC40&gt;0,N40,"")</f>
        <v/>
      </c>
      <c r="AB40" s="111" t="str">
        <f aca="false">IF(AC40&gt;0,O40,"")</f>
        <v/>
      </c>
      <c r="AC40" s="112"/>
      <c r="AD40" s="112"/>
      <c r="AE40" s="113" t="str">
        <f aca="false">IF(AC40&gt;0,P40,"")</f>
        <v/>
      </c>
      <c r="AF40" s="114" t="str">
        <f aca="false">IF(AE40=6,AA40*AB40*AC40*AD40*(AE40/1000)*0.222*1,IF(AE40&gt;6,"",IF(AE40&lt;6,"")))</f>
        <v/>
      </c>
      <c r="AG40" s="107" t="str">
        <f aca="false">IF(AE40=8,AA40*AB40*AC40*AD40*(AE40/1000)*0.395*1,IF(AE40&gt;8,"",IF(AE40&lt;8,"")))</f>
        <v/>
      </c>
      <c r="AH40" s="107" t="str">
        <f aca="false">IF(AE40=10,AA40*AB40*AC40*AD40*(AE40/1000)*0.617*1,IF(AE40&gt;10,"",IF(AE40&lt;10,"")))</f>
        <v/>
      </c>
      <c r="AI40" s="107" t="str">
        <f aca="false">IF(AE40=12,AA40*AB40*AC40*AD40*(AE40/1000)*0.888*1,IF(AE40&gt;12,"",IF(AE40&lt;12,"")))</f>
        <v/>
      </c>
      <c r="AJ40" s="107" t="str">
        <f aca="false">IF(AE40=16,AA40*AB40*AC40*AD40*(AE40/1000)*1.578*1,IF(AE40&gt;16,"",IF(AE40&lt;16,"")))</f>
        <v/>
      </c>
      <c r="AK40" s="107" t="str">
        <f aca="false">IF(AE40=20,AA40*AB40*AC40*AD40*(AE40/1000)*2.466*1,IF(AE40&gt;20,"",IF(AE40&lt;20,"")))</f>
        <v/>
      </c>
      <c r="AL40" s="107" t="str">
        <f aca="false">IF(AE40=25,AA40*AB40*AC40*AD40*(AE40/1000)*3.853*1,IF(AE40&gt;25,"",IF(AE40&lt;25,"")))</f>
        <v/>
      </c>
      <c r="AM40" s="115" t="str">
        <f aca="false">IF(AE40=32,AA40*AB40*AC40*AD40*(AE40/1000)*6.313*1,IF(AE40&gt;32,"",IF(AE40&lt;32,"")))</f>
        <v/>
      </c>
      <c r="AN40" s="128"/>
      <c r="AO40" s="117" t="s">
        <v>170</v>
      </c>
      <c r="AP40" s="118" t="n">
        <f aca="false">SUM(R40:Y40)+SUM(AN40)</f>
        <v>0</v>
      </c>
      <c r="AQ40" s="118" t="n">
        <f aca="false">SUM(AF40:AM40)</f>
        <v>0</v>
      </c>
      <c r="AR40" s="118" t="n">
        <v>0.2096</v>
      </c>
      <c r="AS40" s="119" t="s">
        <v>425</v>
      </c>
      <c r="AT40" s="119" t="s">
        <v>209</v>
      </c>
    </row>
    <row r="41" customFormat="false" ht="13.5" hidden="false" customHeight="false" outlineLevel="0" collapsed="false">
      <c r="A41" s="129"/>
      <c r="B41" s="172"/>
      <c r="C41" s="110"/>
      <c r="D41" s="122"/>
      <c r="E41" s="122"/>
      <c r="F41" s="173"/>
      <c r="G41" s="123"/>
      <c r="H41" s="101"/>
      <c r="I41" s="123"/>
      <c r="J41" s="101"/>
      <c r="K41" s="124" t="s">
        <v>417</v>
      </c>
      <c r="L41" s="125"/>
      <c r="M41" s="125"/>
      <c r="N41" s="126" t="n">
        <f aca="false">$C$40</f>
        <v>1</v>
      </c>
      <c r="O41" s="126" t="n">
        <v>4</v>
      </c>
      <c r="P41" s="126" t="n">
        <v>16</v>
      </c>
      <c r="Q41" s="127" t="n">
        <f aca="false">$F$40+50*16/1000</f>
        <v>4.353</v>
      </c>
      <c r="R41" s="105" t="str">
        <f aca="false">IF(P41=6,N41*O41*Q41*0.222*1,IF(P41&gt;6,"",IF(P41&lt;6,"")))</f>
        <v/>
      </c>
      <c r="S41" s="106" t="str">
        <f aca="false">IF(P41=8,N41*O41*Q41*0.395*1,IF(P41&gt;8,"",IF(P41&lt;8,"")))</f>
        <v/>
      </c>
      <c r="T41" s="106" t="str">
        <f aca="false">IF(P41=10,N41*O41*Q41*0.617*1,IF(P41&gt;10,"",IF(P41&lt;10,"")))</f>
        <v/>
      </c>
      <c r="U41" s="106" t="str">
        <f aca="false">IF(P41=12,N41*O41*Q41*0.888*1,IF(P41&gt;12,"",IF(P41&lt;12,"")))</f>
        <v/>
      </c>
      <c r="V41" s="107" t="n">
        <f aca="false">IF(P41=16,N41*O41*Q41*1.578*1,IF(P41&gt;16,"",IF(P41&lt;16,"")))</f>
        <v>27.476136</v>
      </c>
      <c r="W41" s="106" t="str">
        <f aca="false">IF(P41=20,N41*O41*Q41*2.466*1,IF(P41&gt;20,"",IF(P41&lt;20,"")))</f>
        <v/>
      </c>
      <c r="X41" s="106" t="str">
        <f aca="false">IF(P41=25,N41*O41*Q41*3.853*1,IF(P41&gt;25,"",IF(P41&lt;25,"")))</f>
        <v/>
      </c>
      <c r="Y41" s="108" t="str">
        <f aca="false">IF(P41=32,N41*O41*Q41*6.313*1,IF(P41&gt;32,"",IF(P41&lt;32,"")))</f>
        <v/>
      </c>
      <c r="Z41" s="109"/>
      <c r="AA41" s="110" t="str">
        <f aca="false">IF(AC41&gt;0,N41,"")</f>
        <v/>
      </c>
      <c r="AB41" s="111" t="str">
        <f aca="false">IF(AC41&gt;0,O41,"")</f>
        <v/>
      </c>
      <c r="AC41" s="112"/>
      <c r="AD41" s="112"/>
      <c r="AE41" s="113" t="str">
        <f aca="false">IF(AC41&gt;0,P41,"")</f>
        <v/>
      </c>
      <c r="AF41" s="114" t="str">
        <f aca="false">IF(AE41=6,AA41*AB41*AC41*AD41*(AE41/1000)*0.222*1,IF(AE41&gt;6,"",IF(AE41&lt;6,"")))</f>
        <v/>
      </c>
      <c r="AG41" s="107" t="str">
        <f aca="false">IF(AE41=8,AA41*AB41*AC41*AD41*(AE41/1000)*0.395*1,IF(AE41&gt;8,"",IF(AE41&lt;8,"")))</f>
        <v/>
      </c>
      <c r="AH41" s="107" t="str">
        <f aca="false">IF(AE41=10,AA41*AB41*AC41*AD41*(AE41/1000)*0.617*1,IF(AE41&gt;10,"",IF(AE41&lt;10,"")))</f>
        <v/>
      </c>
      <c r="AI41" s="107" t="str">
        <f aca="false">IF(AE41=12,AA41*AB41*AC41*AD41*(AE41/1000)*0.888*1,IF(AE41&gt;12,"",IF(AE41&lt;12,"")))</f>
        <v/>
      </c>
      <c r="AJ41" s="107" t="str">
        <f aca="false">IF(AE41=16,AA41*AB41*AC41*AD41*(AE41/1000)*1.578*1,IF(AE41&gt;16,"",IF(AE41&lt;16,"")))</f>
        <v/>
      </c>
      <c r="AK41" s="107" t="str">
        <f aca="false">IF(AE41=20,AA41*AB41*AC41*AD41*(AE41/1000)*2.466*1,IF(AE41&gt;20,"",IF(AE41&lt;20,"")))</f>
        <v/>
      </c>
      <c r="AL41" s="107" t="str">
        <f aca="false">IF(AE41=25,AA41*AB41*AC41*AD41*(AE41/1000)*3.853*1,IF(AE41&gt;25,"",IF(AE41&lt;25,"")))</f>
        <v/>
      </c>
      <c r="AM41" s="115" t="str">
        <f aca="false">IF(AE41=32,AA41*AB41*AC41*AD41*(AE41/1000)*6.313*1,IF(AE41&gt;32,"",IF(AE41&lt;32,"")))</f>
        <v/>
      </c>
      <c r="AN41" s="128"/>
      <c r="AO41" s="117" t="s">
        <v>170</v>
      </c>
      <c r="AP41" s="118" t="n">
        <f aca="false">SUM(R41:Y41)+SUM(AN41)</f>
        <v>27.476136</v>
      </c>
      <c r="AQ41" s="118" t="n">
        <f aca="false">SUM(AF41:AM41)</f>
        <v>0</v>
      </c>
      <c r="AR41" s="118"/>
      <c r="AS41" s="119" t="s">
        <v>411</v>
      </c>
      <c r="AT41" s="119" t="s">
        <v>162</v>
      </c>
    </row>
    <row r="42" customFormat="false" ht="13.5" hidden="false" customHeight="false" outlineLevel="0" collapsed="false">
      <c r="A42" s="129"/>
      <c r="B42" s="172"/>
      <c r="C42" s="110"/>
      <c r="D42" s="122"/>
      <c r="E42" s="122"/>
      <c r="F42" s="173"/>
      <c r="G42" s="123"/>
      <c r="H42" s="101"/>
      <c r="I42" s="123"/>
      <c r="J42" s="101"/>
      <c r="K42" s="124" t="s">
        <v>405</v>
      </c>
      <c r="L42" s="125" t="n">
        <v>0.6</v>
      </c>
      <c r="M42" s="125" t="n">
        <v>0.1</v>
      </c>
      <c r="N42" s="126" t="n">
        <f aca="false">$C$40*2*1*1</f>
        <v>2</v>
      </c>
      <c r="O42" s="126" t="n">
        <f aca="false">CEILING(L42/M42,1)+1</f>
        <v>7</v>
      </c>
      <c r="P42" s="126" t="n">
        <v>8</v>
      </c>
      <c r="Q42" s="127" t="n">
        <f aca="false">2*($D$40-2*0.035)+2*($E$40-2*0.035)+20*8/1000</f>
        <v>0.88</v>
      </c>
      <c r="R42" s="105" t="str">
        <f aca="false">IF(P42=6,N42*O42*Q42*0.222*1,IF(P42&gt;6,"",IF(P42&lt;6,"")))</f>
        <v/>
      </c>
      <c r="S42" s="106" t="n">
        <f aca="false">IF(P42=8,N42*O42*Q42*0.395*1,IF(P42&gt;8,"",IF(P42&lt;8,"")))</f>
        <v>4.8664</v>
      </c>
      <c r="T42" s="106" t="str">
        <f aca="false">IF(P42=10,N42*O42*Q42*0.617*1,IF(P42&gt;10,"",IF(P42&lt;10,"")))</f>
        <v/>
      </c>
      <c r="U42" s="106" t="str">
        <f aca="false">IF(P42=12,N42*O42*Q42*0.888*1,IF(P42&gt;12,"",IF(P42&lt;12,"")))</f>
        <v/>
      </c>
      <c r="V42" s="107" t="str">
        <f aca="false">IF(P42=16,N42*O42*Q42*1.578*1,IF(P42&gt;16,"",IF(P42&lt;16,"")))</f>
        <v/>
      </c>
      <c r="W42" s="106" t="str">
        <f aca="false">IF(P42=20,N42*O42*Q42*2.466*1,IF(P42&gt;20,"",IF(P42&lt;20,"")))</f>
        <v/>
      </c>
      <c r="X42" s="106" t="str">
        <f aca="false">IF(P42=25,N42*O42*Q42*3.853*1,IF(P42&gt;25,"",IF(P42&lt;25,"")))</f>
        <v/>
      </c>
      <c r="Y42" s="108" t="str">
        <f aca="false">IF(P42=32,N42*O42*Q42*6.313*1,IF(P42&gt;32,"",IF(P42&lt;32,"")))</f>
        <v/>
      </c>
      <c r="Z42" s="109"/>
      <c r="AA42" s="110" t="str">
        <f aca="false">IF(AC42&gt;0,N42,"")</f>
        <v/>
      </c>
      <c r="AB42" s="111" t="str">
        <f aca="false">IF(AC42&gt;0,O42,"")</f>
        <v/>
      </c>
      <c r="AC42" s="112"/>
      <c r="AD42" s="112"/>
      <c r="AE42" s="113" t="str">
        <f aca="false">IF(AC42&gt;0,P42,"")</f>
        <v/>
      </c>
      <c r="AF42" s="114" t="str">
        <f aca="false">IF(AE42=6,AA42*AB42*AC42*AD42*(AE42/1000)*0.222*1,IF(AE42&gt;6,"",IF(AE42&lt;6,"")))</f>
        <v/>
      </c>
      <c r="AG42" s="107" t="str">
        <f aca="false">IF(AE42=8,AA42*AB42*AC42*AD42*(AE42/1000)*0.395*1,IF(AE42&gt;8,"",IF(AE42&lt;8,"")))</f>
        <v/>
      </c>
      <c r="AH42" s="107" t="str">
        <f aca="false">IF(AE42=10,AA42*AB42*AC42*AD42*(AE42/1000)*0.617*1,IF(AE42&gt;10,"",IF(AE42&lt;10,"")))</f>
        <v/>
      </c>
      <c r="AI42" s="107" t="str">
        <f aca="false">IF(AE42=12,AA42*AB42*AC42*AD42*(AE42/1000)*0.888*1,IF(AE42&gt;12,"",IF(AE42&lt;12,"")))</f>
        <v/>
      </c>
      <c r="AJ42" s="107" t="str">
        <f aca="false">IF(AE42=16,AA42*AB42*AC42*AD42*(AE42/1000)*1.578*1,IF(AE42&gt;16,"",IF(AE42&lt;16,"")))</f>
        <v/>
      </c>
      <c r="AK42" s="107" t="str">
        <f aca="false">IF(AE42=20,AA42*AB42*AC42*AD42*(AE42/1000)*2.466*1,IF(AE42&gt;20,"",IF(AE42&lt;20,"")))</f>
        <v/>
      </c>
      <c r="AL42" s="107" t="str">
        <f aca="false">IF(AE42=25,AA42*AB42*AC42*AD42*(AE42/1000)*3.853*1,IF(AE42&gt;25,"",IF(AE42&lt;25,"")))</f>
        <v/>
      </c>
      <c r="AM42" s="115" t="str">
        <f aca="false">IF(AE42=32,AA42*AB42*AC42*AD42*(AE42/1000)*6.313*1,IF(AE42&gt;32,"",IF(AE42&lt;32,"")))</f>
        <v/>
      </c>
      <c r="AN42" s="128"/>
      <c r="AO42" s="117" t="s">
        <v>170</v>
      </c>
      <c r="AP42" s="118" t="n">
        <f aca="false">SUM(R42:Y42)+SUM(AN42)</f>
        <v>4.8664</v>
      </c>
      <c r="AQ42" s="118" t="n">
        <f aca="false">SUM(AF42:AM42)</f>
        <v>0</v>
      </c>
      <c r="AR42" s="118"/>
      <c r="AS42" s="119" t="s">
        <v>412</v>
      </c>
      <c r="AT42" s="119" t="s">
        <v>162</v>
      </c>
    </row>
    <row r="43" customFormat="false" ht="13.5" hidden="false" customHeight="false" outlineLevel="0" collapsed="false">
      <c r="A43" s="129"/>
      <c r="B43" s="172"/>
      <c r="C43" s="110"/>
      <c r="D43" s="122"/>
      <c r="E43" s="122"/>
      <c r="F43" s="173"/>
      <c r="G43" s="123"/>
      <c r="H43" s="101"/>
      <c r="I43" s="123"/>
      <c r="J43" s="101"/>
      <c r="K43" s="124" t="s">
        <v>407</v>
      </c>
      <c r="L43" s="125" t="n">
        <f aca="false">$F$40-2*0.6*1</f>
        <v>2.353</v>
      </c>
      <c r="M43" s="125" t="n">
        <v>0.15</v>
      </c>
      <c r="N43" s="126" t="n">
        <f aca="false">$C$40*1</f>
        <v>1</v>
      </c>
      <c r="O43" s="126" t="n">
        <f aca="false">CEILING(L43/M43,1)-1</f>
        <v>15</v>
      </c>
      <c r="P43" s="126" t="n">
        <v>8</v>
      </c>
      <c r="Q43" s="127" t="n">
        <f aca="false">2*($D$40-2*0.035)+2*($E$40-2*0.035)+20*8/1000</f>
        <v>0.88</v>
      </c>
      <c r="R43" s="105" t="str">
        <f aca="false">IF(P43=6,N43*O43*Q43*0.222*1,IF(P43&gt;6,"",IF(P43&lt;6,"")))</f>
        <v/>
      </c>
      <c r="S43" s="106" t="n">
        <f aca="false">IF(P43=8,N43*O43*Q43*0.395*1,IF(P43&gt;8,"",IF(P43&lt;8,"")))</f>
        <v>5.214</v>
      </c>
      <c r="T43" s="106" t="str">
        <f aca="false">IF(P43=10,N43*O43*Q43*0.617*1,IF(P43&gt;10,"",IF(P43&lt;10,"")))</f>
        <v/>
      </c>
      <c r="U43" s="106" t="str">
        <f aca="false">IF(P43=12,N43*O43*Q43*0.888*1,IF(P43&gt;12,"",IF(P43&lt;12,"")))</f>
        <v/>
      </c>
      <c r="V43" s="107" t="str">
        <f aca="false">IF(P43=16,N43*O43*Q43*1.578*1,IF(P43&gt;16,"",IF(P43&lt;16,"")))</f>
        <v/>
      </c>
      <c r="W43" s="106" t="str">
        <f aca="false">IF(P43=20,N43*O43*Q43*2.466*1,IF(P43&gt;20,"",IF(P43&lt;20,"")))</f>
        <v/>
      </c>
      <c r="X43" s="106" t="str">
        <f aca="false">IF(P43=25,N43*O43*Q43*3.853*1,IF(P43&gt;25,"",IF(P43&lt;25,"")))</f>
        <v/>
      </c>
      <c r="Y43" s="108" t="str">
        <f aca="false">IF(P43=32,N43*O43*Q43*6.313*1,IF(P43&gt;32,"",IF(P43&lt;32,"")))</f>
        <v/>
      </c>
      <c r="Z43" s="109"/>
      <c r="AA43" s="110" t="str">
        <f aca="false">IF(AC43&gt;0,N43,"")</f>
        <v/>
      </c>
      <c r="AB43" s="111" t="str">
        <f aca="false">IF(AC43&gt;0,O43,"")</f>
        <v/>
      </c>
      <c r="AC43" s="112"/>
      <c r="AD43" s="112"/>
      <c r="AE43" s="113" t="str">
        <f aca="false">IF(AC43&gt;0,P43,"")</f>
        <v/>
      </c>
      <c r="AF43" s="114" t="str">
        <f aca="false">IF(AE43=6,AA43*AB43*AC43*AD43*(AE43/1000)*0.222*1,IF(AE43&gt;6,"",IF(AE43&lt;6,"")))</f>
        <v/>
      </c>
      <c r="AG43" s="107" t="str">
        <f aca="false">IF(AE43=8,AA43*AB43*AC43*AD43*(AE43/1000)*0.395*1,IF(AE43&gt;8,"",IF(AE43&lt;8,"")))</f>
        <v/>
      </c>
      <c r="AH43" s="107" t="str">
        <f aca="false">IF(AE43=10,AA43*AB43*AC43*AD43*(AE43/1000)*0.617*1,IF(AE43&gt;10,"",IF(AE43&lt;10,"")))</f>
        <v/>
      </c>
      <c r="AI43" s="107" t="str">
        <f aca="false">IF(AE43=12,AA43*AB43*AC43*AD43*(AE43/1000)*0.888*1,IF(AE43&gt;12,"",IF(AE43&lt;12,"")))</f>
        <v/>
      </c>
      <c r="AJ43" s="107" t="str">
        <f aca="false">IF(AE43=16,AA43*AB43*AC43*AD43*(AE43/1000)*1.578*1,IF(AE43&gt;16,"",IF(AE43&lt;16,"")))</f>
        <v/>
      </c>
      <c r="AK43" s="107" t="str">
        <f aca="false">IF(AE43=20,AA43*AB43*AC43*AD43*(AE43/1000)*2.466*1,IF(AE43&gt;20,"",IF(AE43&lt;20,"")))</f>
        <v/>
      </c>
      <c r="AL43" s="107" t="str">
        <f aca="false">IF(AE43=25,AA43*AB43*AC43*AD43*(AE43/1000)*3.853*1,IF(AE43&gt;25,"",IF(AE43&lt;25,"")))</f>
        <v/>
      </c>
      <c r="AM43" s="115" t="str">
        <f aca="false">IF(AE43=32,AA43*AB43*AC43*AD43*(AE43/1000)*6.313*1,IF(AE43&gt;32,"",IF(AE43&lt;32,"")))</f>
        <v/>
      </c>
      <c r="AN43" s="128"/>
      <c r="AO43" s="117" t="s">
        <v>170</v>
      </c>
      <c r="AP43" s="118" t="n">
        <f aca="false">SUM(R43:Y43)+SUM(AN43)</f>
        <v>5.214</v>
      </c>
      <c r="AQ43" s="118" t="n">
        <f aca="false">SUM(AF43:AM43)</f>
        <v>0</v>
      </c>
      <c r="AR43" s="118"/>
      <c r="AS43" s="119" t="s">
        <v>408</v>
      </c>
      <c r="AT43" s="119" t="s">
        <v>162</v>
      </c>
    </row>
    <row r="44" customFormat="false" ht="13.5" hidden="false" customHeight="false" outlineLevel="0" collapsed="false">
      <c r="A44" s="129"/>
      <c r="B44" s="130"/>
      <c r="C44" s="110"/>
      <c r="D44" s="122"/>
      <c r="E44" s="122"/>
      <c r="F44" s="122"/>
      <c r="G44" s="123"/>
      <c r="H44" s="101"/>
      <c r="I44" s="123"/>
      <c r="J44" s="101"/>
      <c r="K44" s="124"/>
      <c r="L44" s="125"/>
      <c r="M44" s="125"/>
      <c r="N44" s="126"/>
      <c r="O44" s="126"/>
      <c r="P44" s="126"/>
      <c r="Q44" s="127"/>
      <c r="R44" s="105"/>
      <c r="S44" s="106"/>
      <c r="T44" s="106"/>
      <c r="U44" s="106"/>
      <c r="V44" s="107"/>
      <c r="W44" s="106"/>
      <c r="X44" s="106"/>
      <c r="Y44" s="108"/>
      <c r="Z44" s="109"/>
      <c r="AA44" s="110"/>
      <c r="AB44" s="111"/>
      <c r="AC44" s="112"/>
      <c r="AD44" s="112"/>
      <c r="AE44" s="113"/>
      <c r="AF44" s="114"/>
      <c r="AG44" s="107"/>
      <c r="AH44" s="107"/>
      <c r="AI44" s="107"/>
      <c r="AJ44" s="107"/>
      <c r="AK44" s="107"/>
      <c r="AL44" s="107"/>
      <c r="AM44" s="115"/>
      <c r="AO44" s="117"/>
      <c r="AP44" s="118"/>
      <c r="AQ44" s="118"/>
      <c r="AR44" s="118"/>
      <c r="AS44" s="119"/>
      <c r="AT44" s="119"/>
    </row>
    <row r="45" customFormat="false" ht="13.5" hidden="false" customHeight="false" outlineLevel="0" collapsed="false">
      <c r="A45" s="120"/>
      <c r="B45" s="121" t="s">
        <v>427</v>
      </c>
      <c r="C45" s="110" t="n">
        <v>4</v>
      </c>
      <c r="D45" s="122" t="n">
        <v>0.25</v>
      </c>
      <c r="E45" s="122" t="n">
        <v>0.3</v>
      </c>
      <c r="F45" s="122" t="n">
        <v>6.4</v>
      </c>
      <c r="G45" s="123" t="n">
        <f aca="false">C45*D45*E45*F45</f>
        <v>1.92</v>
      </c>
      <c r="H45" s="101"/>
      <c r="I45" s="123" t="n">
        <f aca="false">2*(D45+E45)*F45*C45</f>
        <v>28.16</v>
      </c>
      <c r="J45" s="101"/>
      <c r="K45" s="124"/>
      <c r="L45" s="125"/>
      <c r="M45" s="125"/>
      <c r="N45" s="126"/>
      <c r="O45" s="126"/>
      <c r="P45" s="126"/>
      <c r="Q45" s="127"/>
      <c r="R45" s="105" t="str">
        <f aca="false">IF(P45=6,N45*O45*Q45*0.222*1,IF(P45&gt;6,"",IF(P45&lt;6,"")))</f>
        <v/>
      </c>
      <c r="S45" s="106" t="str">
        <f aca="false">IF(P45=8,N45*O45*Q45*0.395*1,IF(P45&gt;8,"",IF(P45&lt;8,"")))</f>
        <v/>
      </c>
      <c r="T45" s="106" t="str">
        <f aca="false">IF(P45=10,N45*O45*Q45*0.617*1,IF(P45&gt;10,"",IF(P45&lt;10,"")))</f>
        <v/>
      </c>
      <c r="U45" s="106" t="str">
        <f aca="false">IF(P45=12,N45*O45*Q45*0.888*1,IF(P45&gt;12,"",IF(P45&lt;12,"")))</f>
        <v/>
      </c>
      <c r="V45" s="107" t="str">
        <f aca="false">IF(P45=16,N45*O45*Q45*1.578*1,IF(P45&gt;16,"",IF(P45&lt;16,"")))</f>
        <v/>
      </c>
      <c r="W45" s="106" t="str">
        <f aca="false">IF(P45=20,N45*O45*Q45*2.466*1,IF(P45&gt;20,"",IF(P45&lt;20,"")))</f>
        <v/>
      </c>
      <c r="X45" s="106" t="str">
        <f aca="false">IF(P45=25,N45*O45*Q45*3.853*1,IF(P45&gt;25,"",IF(P45&lt;25,"")))</f>
        <v/>
      </c>
      <c r="Y45" s="108" t="str">
        <f aca="false">IF(P45=32,N45*O45*Q45*6.313*1,IF(P45&gt;32,"",IF(P45&lt;32,"")))</f>
        <v/>
      </c>
      <c r="Z45" s="109"/>
      <c r="AA45" s="110" t="str">
        <f aca="false">IF(AC45&gt;0,N45,"")</f>
        <v/>
      </c>
      <c r="AB45" s="111" t="str">
        <f aca="false">IF(AC45&gt;0,O45,"")</f>
        <v/>
      </c>
      <c r="AC45" s="112"/>
      <c r="AD45" s="112"/>
      <c r="AE45" s="113" t="str">
        <f aca="false">IF(AC45&gt;0,P45,"")</f>
        <v/>
      </c>
      <c r="AF45" s="114" t="str">
        <f aca="false">IF(AE45=6,AA45*AB45*AC45*AD45*(AE45/1000)*0.222*1,IF(AE45&gt;6,"",IF(AE45&lt;6,"")))</f>
        <v/>
      </c>
      <c r="AG45" s="107" t="str">
        <f aca="false">IF(AE45=8,AA45*AB45*AC45*AD45*(AE45/1000)*0.395*1,IF(AE45&gt;8,"",IF(AE45&lt;8,"")))</f>
        <v/>
      </c>
      <c r="AH45" s="107" t="str">
        <f aca="false">IF(AE45=10,AA45*AB45*AC45*AD45*(AE45/1000)*0.617*1,IF(AE45&gt;10,"",IF(AE45&lt;10,"")))</f>
        <v/>
      </c>
      <c r="AI45" s="107" t="str">
        <f aca="false">IF(AE45=12,AA45*AB45*AC45*AD45*(AE45/1000)*0.888*1,IF(AE45&gt;12,"",IF(AE45&lt;12,"")))</f>
        <v/>
      </c>
      <c r="AJ45" s="107" t="str">
        <f aca="false">IF(AE45=16,AA45*AB45*AC45*AD45*(AE45/1000)*1.578*1,IF(AE45&gt;16,"",IF(AE45&lt;16,"")))</f>
        <v/>
      </c>
      <c r="AK45" s="107" t="str">
        <f aca="false">IF(AE45=20,AA45*AB45*AC45*AD45*(AE45/1000)*2.466*1,IF(AE45&gt;20,"",IF(AE45&lt;20,"")))</f>
        <v/>
      </c>
      <c r="AL45" s="107" t="str">
        <f aca="false">IF(AE45=25,AA45*AB45*AC45*AD45*(AE45/1000)*3.853*1,IF(AE45&gt;25,"",IF(AE45&lt;25,"")))</f>
        <v/>
      </c>
      <c r="AM45" s="115" t="str">
        <f aca="false">IF(AE45=32,AA45*AB45*AC45*AD45*(AE45/1000)*6.313*1,IF(AE45&gt;32,"",IF(AE45&lt;32,"")))</f>
        <v/>
      </c>
      <c r="AN45" s="128"/>
      <c r="AO45" s="117" t="s">
        <v>170</v>
      </c>
      <c r="AP45" s="118" t="n">
        <f aca="false">SUM(R45:Y45)+SUM(AN45)</f>
        <v>0</v>
      </c>
      <c r="AQ45" s="118" t="n">
        <f aca="false">SUM(AF45:AM45)</f>
        <v>0</v>
      </c>
      <c r="AR45" s="118" t="n">
        <v>1.92</v>
      </c>
      <c r="AS45" s="119" t="s">
        <v>428</v>
      </c>
      <c r="AT45" s="119" t="s">
        <v>209</v>
      </c>
    </row>
    <row r="46" customFormat="false" ht="13.5" hidden="false" customHeight="false" outlineLevel="0" collapsed="false">
      <c r="A46" s="129"/>
      <c r="B46" s="172"/>
      <c r="C46" s="110"/>
      <c r="D46" s="122"/>
      <c r="E46" s="122"/>
      <c r="F46" s="173"/>
      <c r="G46" s="123"/>
      <c r="H46" s="101"/>
      <c r="I46" s="123"/>
      <c r="J46" s="101"/>
      <c r="K46" s="124" t="s">
        <v>429</v>
      </c>
      <c r="L46" s="125"/>
      <c r="M46" s="125"/>
      <c r="N46" s="126" t="n">
        <f aca="false">$C$45</f>
        <v>4</v>
      </c>
      <c r="O46" s="126" t="n">
        <v>6</v>
      </c>
      <c r="P46" s="126" t="n">
        <v>20</v>
      </c>
      <c r="Q46" s="127" t="n">
        <f aca="false">$F$45+50*20/1000</f>
        <v>7.4</v>
      </c>
      <c r="R46" s="105" t="str">
        <f aca="false">IF(P46=6,N46*O46*Q46*0.222*1,IF(P46&gt;6,"",IF(P46&lt;6,"")))</f>
        <v/>
      </c>
      <c r="S46" s="106" t="str">
        <f aca="false">IF(P46=8,N46*O46*Q46*0.395*1,IF(P46&gt;8,"",IF(P46&lt;8,"")))</f>
        <v/>
      </c>
      <c r="T46" s="106" t="str">
        <f aca="false">IF(P46=10,N46*O46*Q46*0.617*1,IF(P46&gt;10,"",IF(P46&lt;10,"")))</f>
        <v/>
      </c>
      <c r="U46" s="106" t="str">
        <f aca="false">IF(P46=12,N46*O46*Q46*0.888*1,IF(P46&gt;12,"",IF(P46&lt;12,"")))</f>
        <v/>
      </c>
      <c r="V46" s="107" t="str">
        <f aca="false">IF(P46=16,N46*O46*Q46*1.578*1,IF(P46&gt;16,"",IF(P46&lt;16,"")))</f>
        <v/>
      </c>
      <c r="W46" s="106" t="n">
        <f aca="false">IF(P46=20,N46*O46*Q46*2.466*1,IF(P46&gt;20,"",IF(P46&lt;20,"")))</f>
        <v>437.9616</v>
      </c>
      <c r="X46" s="106" t="str">
        <f aca="false">IF(P46=25,N46*O46*Q46*3.853*1,IF(P46&gt;25,"",IF(P46&lt;25,"")))</f>
        <v/>
      </c>
      <c r="Y46" s="108" t="str">
        <f aca="false">IF(P46=32,N46*O46*Q46*6.313*1,IF(P46&gt;32,"",IF(P46&lt;32,"")))</f>
        <v/>
      </c>
      <c r="Z46" s="109"/>
      <c r="AA46" s="110" t="n">
        <f aca="false">IF(AC46&gt;0,N46,"")</f>
        <v>4</v>
      </c>
      <c r="AB46" s="111" t="n">
        <f aca="false">IF(AC46&gt;0,O46,"")</f>
        <v>6</v>
      </c>
      <c r="AC46" s="112" t="n">
        <v>1</v>
      </c>
      <c r="AD46" s="112" t="n">
        <v>50</v>
      </c>
      <c r="AE46" s="113" t="n">
        <f aca="false">IF(AC46&gt;0,P46,"")</f>
        <v>20</v>
      </c>
      <c r="AF46" s="114" t="str">
        <f aca="false">IF(AE46=6,AA46*AB46*AC46*AD46*(AE46/1000)*0.222*1,IF(AE46&gt;6,"",IF(AE46&lt;6,"")))</f>
        <v/>
      </c>
      <c r="AG46" s="107" t="str">
        <f aca="false">IF(AE46=8,AA46*AB46*AC46*AD46*(AE46/1000)*0.395*1,IF(AE46&gt;8,"",IF(AE46&lt;8,"")))</f>
        <v/>
      </c>
      <c r="AH46" s="107" t="str">
        <f aca="false">IF(AE46=10,AA46*AB46*AC46*AD46*(AE46/1000)*0.617*1,IF(AE46&gt;10,"",IF(AE46&lt;10,"")))</f>
        <v/>
      </c>
      <c r="AI46" s="107" t="str">
        <f aca="false">IF(AE46=12,AA46*AB46*AC46*AD46*(AE46/1000)*0.888*1,IF(AE46&gt;12,"",IF(AE46&lt;12,"")))</f>
        <v/>
      </c>
      <c r="AJ46" s="107" t="str">
        <f aca="false">IF(AE46=16,AA46*AB46*AC46*AD46*(AE46/1000)*1.578*1,IF(AE46&gt;16,"",IF(AE46&lt;16,"")))</f>
        <v/>
      </c>
      <c r="AK46" s="107" t="n">
        <f aca="false">IF(AE46=20,AA46*AB46*AC46*AD46*(AE46/1000)*2.466*1,IF(AE46&gt;20,"",IF(AE46&lt;20,"")))</f>
        <v>59.184</v>
      </c>
      <c r="AL46" s="107" t="str">
        <f aca="false">IF(AE46=25,AA46*AB46*AC46*AD46*(AE46/1000)*3.853*1,IF(AE46&gt;25,"",IF(AE46&lt;25,"")))</f>
        <v/>
      </c>
      <c r="AM46" s="115" t="str">
        <f aca="false">IF(AE46=32,AA46*AB46*AC46*AD46*(AE46/1000)*6.313*1,IF(AE46&gt;32,"",IF(AE46&lt;32,"")))</f>
        <v/>
      </c>
      <c r="AN46" s="128"/>
      <c r="AO46" s="117" t="s">
        <v>170</v>
      </c>
      <c r="AP46" s="118" t="n">
        <f aca="false">SUM(R46:Y46)+SUM(AN46)</f>
        <v>437.9616</v>
      </c>
      <c r="AQ46" s="118" t="n">
        <f aca="false">SUM(AF46:AM46)</f>
        <v>59.184</v>
      </c>
      <c r="AR46" s="118"/>
      <c r="AS46" s="119" t="s">
        <v>404</v>
      </c>
      <c r="AT46" s="119" t="s">
        <v>162</v>
      </c>
    </row>
    <row r="47" customFormat="false" ht="13.5" hidden="false" customHeight="false" outlineLevel="0" collapsed="false">
      <c r="A47" s="129"/>
      <c r="B47" s="172"/>
      <c r="C47" s="110"/>
      <c r="D47" s="122"/>
      <c r="E47" s="122"/>
      <c r="F47" s="173"/>
      <c r="G47" s="123"/>
      <c r="H47" s="101"/>
      <c r="I47" s="123"/>
      <c r="J47" s="101"/>
      <c r="K47" s="124" t="s">
        <v>405</v>
      </c>
      <c r="L47" s="125" t="n">
        <v>0.6</v>
      </c>
      <c r="M47" s="125" t="n">
        <v>0.1</v>
      </c>
      <c r="N47" s="126" t="n">
        <f aca="false">$C$45*2*2*1</f>
        <v>16</v>
      </c>
      <c r="O47" s="126" t="n">
        <f aca="false">CEILING(L47/M47,1)+1</f>
        <v>7</v>
      </c>
      <c r="P47" s="126" t="n">
        <v>8</v>
      </c>
      <c r="Q47" s="127" t="n">
        <f aca="false">2*($D$45-2*0.035)+2*($E$45-2*0.035)+20*8/1000</f>
        <v>0.98</v>
      </c>
      <c r="R47" s="105" t="str">
        <f aca="false">IF(P47=6,N47*O47*Q47*0.222*1,IF(P47&gt;6,"",IF(P47&lt;6,"")))</f>
        <v/>
      </c>
      <c r="S47" s="106" t="n">
        <f aca="false">IF(P47=8,N47*O47*Q47*0.395*1,IF(P47&gt;8,"",IF(P47&lt;8,"")))</f>
        <v>43.3552</v>
      </c>
      <c r="T47" s="106" t="str">
        <f aca="false">IF(P47=10,N47*O47*Q47*0.617*1,IF(P47&gt;10,"",IF(P47&lt;10,"")))</f>
        <v/>
      </c>
      <c r="U47" s="106" t="str">
        <f aca="false">IF(P47=12,N47*O47*Q47*0.888*1,IF(P47&gt;12,"",IF(P47&lt;12,"")))</f>
        <v/>
      </c>
      <c r="V47" s="107" t="str">
        <f aca="false">IF(P47=16,N47*O47*Q47*1.578*1,IF(P47&gt;16,"",IF(P47&lt;16,"")))</f>
        <v/>
      </c>
      <c r="W47" s="106" t="str">
        <f aca="false">IF(P47=20,N47*O47*Q47*2.466*1,IF(P47&gt;20,"",IF(P47&lt;20,"")))</f>
        <v/>
      </c>
      <c r="X47" s="106" t="str">
        <f aca="false">IF(P47=25,N47*O47*Q47*3.853*1,IF(P47&gt;25,"",IF(P47&lt;25,"")))</f>
        <v/>
      </c>
      <c r="Y47" s="108" t="str">
        <f aca="false">IF(P47=32,N47*O47*Q47*6.313*1,IF(P47&gt;32,"",IF(P47&lt;32,"")))</f>
        <v/>
      </c>
      <c r="Z47" s="109"/>
      <c r="AA47" s="110" t="str">
        <f aca="false">IF(AC47&gt;0,N47,"")</f>
        <v/>
      </c>
      <c r="AB47" s="111" t="str">
        <f aca="false">IF(AC47&gt;0,O47,"")</f>
        <v/>
      </c>
      <c r="AC47" s="112"/>
      <c r="AD47" s="112"/>
      <c r="AE47" s="113" t="str">
        <f aca="false">IF(AC47&gt;0,P47,"")</f>
        <v/>
      </c>
      <c r="AF47" s="114" t="str">
        <f aca="false">IF(AE47=6,AA47*AB47*AC47*AD47*(AE47/1000)*0.222*1,IF(AE47&gt;6,"",IF(AE47&lt;6,"")))</f>
        <v/>
      </c>
      <c r="AG47" s="107" t="str">
        <f aca="false">IF(AE47=8,AA47*AB47*AC47*AD47*(AE47/1000)*0.395*1,IF(AE47&gt;8,"",IF(AE47&lt;8,"")))</f>
        <v/>
      </c>
      <c r="AH47" s="107" t="str">
        <f aca="false">IF(AE47=10,AA47*AB47*AC47*AD47*(AE47/1000)*0.617*1,IF(AE47&gt;10,"",IF(AE47&lt;10,"")))</f>
        <v/>
      </c>
      <c r="AI47" s="107" t="str">
        <f aca="false">IF(AE47=12,AA47*AB47*AC47*AD47*(AE47/1000)*0.888*1,IF(AE47&gt;12,"",IF(AE47&lt;12,"")))</f>
        <v/>
      </c>
      <c r="AJ47" s="107" t="str">
        <f aca="false">IF(AE47=16,AA47*AB47*AC47*AD47*(AE47/1000)*1.578*1,IF(AE47&gt;16,"",IF(AE47&lt;16,"")))</f>
        <v/>
      </c>
      <c r="AK47" s="107" t="str">
        <f aca="false">IF(AE47=20,AA47*AB47*AC47*AD47*(AE47/1000)*2.466*1,IF(AE47&gt;20,"",IF(AE47&lt;20,"")))</f>
        <v/>
      </c>
      <c r="AL47" s="107" t="str">
        <f aca="false">IF(AE47=25,AA47*AB47*AC47*AD47*(AE47/1000)*3.853*1,IF(AE47&gt;25,"",IF(AE47&lt;25,"")))</f>
        <v/>
      </c>
      <c r="AM47" s="115" t="str">
        <f aca="false">IF(AE47=32,AA47*AB47*AC47*AD47*(AE47/1000)*6.313*1,IF(AE47&gt;32,"",IF(AE47&lt;32,"")))</f>
        <v/>
      </c>
      <c r="AN47" s="128"/>
      <c r="AO47" s="117" t="s">
        <v>170</v>
      </c>
      <c r="AP47" s="118" t="n">
        <f aca="false">SUM(R47:Y47)+SUM(AN47)</f>
        <v>43.3552</v>
      </c>
      <c r="AQ47" s="118" t="n">
        <f aca="false">SUM(AF47:AM47)</f>
        <v>0</v>
      </c>
      <c r="AR47" s="118"/>
      <c r="AS47" s="119" t="s">
        <v>406</v>
      </c>
      <c r="AT47" s="119" t="s">
        <v>162</v>
      </c>
    </row>
    <row r="48" s="116" customFormat="true" ht="13.5" hidden="false" customHeight="false" outlineLevel="0" collapsed="false">
      <c r="A48" s="129"/>
      <c r="B48" s="172"/>
      <c r="C48" s="110"/>
      <c r="D48" s="122"/>
      <c r="E48" s="122"/>
      <c r="F48" s="173"/>
      <c r="G48" s="123"/>
      <c r="H48" s="101"/>
      <c r="I48" s="123"/>
      <c r="J48" s="101"/>
      <c r="K48" s="124" t="s">
        <v>407</v>
      </c>
      <c r="L48" s="125" t="n">
        <f aca="false">$F$45-2*0.6*2</f>
        <v>4</v>
      </c>
      <c r="M48" s="125" t="n">
        <v>0.15</v>
      </c>
      <c r="N48" s="126" t="n">
        <f aca="false">$C$45*1</f>
        <v>4</v>
      </c>
      <c r="O48" s="126" t="n">
        <f aca="false">CEILING(L48/M48,1)-1</f>
        <v>26</v>
      </c>
      <c r="P48" s="126" t="n">
        <v>8</v>
      </c>
      <c r="Q48" s="127" t="n">
        <f aca="false">2*($D$45-2*0.035)+2*($E$45-2*0.035)+20*8/1000</f>
        <v>0.98</v>
      </c>
      <c r="R48" s="105" t="str">
        <f aca="false">IF(P48=6,N48*O48*Q48*0.222*1,IF(P48&gt;6,"",IF(P48&lt;6,"")))</f>
        <v/>
      </c>
      <c r="S48" s="106" t="n">
        <f aca="false">IF(P48=8,N48*O48*Q48*0.395*1,IF(P48&gt;8,"",IF(P48&lt;8,"")))</f>
        <v>40.2584</v>
      </c>
      <c r="T48" s="106" t="str">
        <f aca="false">IF(P48=10,N48*O48*Q48*0.617*1,IF(P48&gt;10,"",IF(P48&lt;10,"")))</f>
        <v/>
      </c>
      <c r="U48" s="106" t="str">
        <f aca="false">IF(P48=12,N48*O48*Q48*0.888*1,IF(P48&gt;12,"",IF(P48&lt;12,"")))</f>
        <v/>
      </c>
      <c r="V48" s="107" t="str">
        <f aca="false">IF(P48=16,N48*O48*Q48*1.578*1,IF(P48&gt;16,"",IF(P48&lt;16,"")))</f>
        <v/>
      </c>
      <c r="W48" s="106" t="str">
        <f aca="false">IF(P48=20,N48*O48*Q48*2.466*1,IF(P48&gt;20,"",IF(P48&lt;20,"")))</f>
        <v/>
      </c>
      <c r="X48" s="106" t="str">
        <f aca="false">IF(P48=25,N48*O48*Q48*3.853*1,IF(P48&gt;25,"",IF(P48&lt;25,"")))</f>
        <v/>
      </c>
      <c r="Y48" s="108" t="str">
        <f aca="false">IF(P48=32,N48*O48*Q48*6.313*1,IF(P48&gt;32,"",IF(P48&lt;32,"")))</f>
        <v/>
      </c>
      <c r="Z48" s="109"/>
      <c r="AA48" s="110" t="str">
        <f aca="false">IF(AC48&gt;0,N48,"")</f>
        <v/>
      </c>
      <c r="AB48" s="111" t="str">
        <f aca="false">IF(AC48&gt;0,O48,"")</f>
        <v/>
      </c>
      <c r="AC48" s="112"/>
      <c r="AD48" s="112"/>
      <c r="AE48" s="113" t="str">
        <f aca="false">IF(AC48&gt;0,P48,"")</f>
        <v/>
      </c>
      <c r="AF48" s="114" t="str">
        <f aca="false">IF(AE48=6,AA48*AB48*AC48*AD48*(AE48/1000)*0.222*1,IF(AE48&gt;6,"",IF(AE48&lt;6,"")))</f>
        <v/>
      </c>
      <c r="AG48" s="107" t="str">
        <f aca="false">IF(AE48=8,AA48*AB48*AC48*AD48*(AE48/1000)*0.395*1,IF(AE48&gt;8,"",IF(AE48&lt;8,"")))</f>
        <v/>
      </c>
      <c r="AH48" s="107" t="str">
        <f aca="false">IF(AE48=10,AA48*AB48*AC48*AD48*(AE48/1000)*0.617*1,IF(AE48&gt;10,"",IF(AE48&lt;10,"")))</f>
        <v/>
      </c>
      <c r="AI48" s="107" t="str">
        <f aca="false">IF(AE48=12,AA48*AB48*AC48*AD48*(AE48/1000)*0.888*1,IF(AE48&gt;12,"",IF(AE48&lt;12,"")))</f>
        <v/>
      </c>
      <c r="AJ48" s="107" t="str">
        <f aca="false">IF(AE48=16,AA48*AB48*AC48*AD48*(AE48/1000)*1.578*1,IF(AE48&gt;16,"",IF(AE48&lt;16,"")))</f>
        <v/>
      </c>
      <c r="AK48" s="107" t="str">
        <f aca="false">IF(AE48=20,AA48*AB48*AC48*AD48*(AE48/1000)*2.466*1,IF(AE48&gt;20,"",IF(AE48&lt;20,"")))</f>
        <v/>
      </c>
      <c r="AL48" s="107" t="str">
        <f aca="false">IF(AE48=25,AA48*AB48*AC48*AD48*(AE48/1000)*3.853*1,IF(AE48&gt;25,"",IF(AE48&lt;25,"")))</f>
        <v/>
      </c>
      <c r="AM48" s="115" t="str">
        <f aca="false">IF(AE48=32,AA48*AB48*AC48*AD48*(AE48/1000)*6.313*1,IF(AE48&gt;32,"",IF(AE48&lt;32,"")))</f>
        <v/>
      </c>
      <c r="AN48" s="128"/>
      <c r="AO48" s="117" t="s">
        <v>170</v>
      </c>
      <c r="AP48" s="118" t="n">
        <f aca="false">SUM(R48:Y48)+SUM(AN48)</f>
        <v>40.2584</v>
      </c>
      <c r="AQ48" s="118" t="n">
        <f aca="false">SUM(AF48:AM48)</f>
        <v>0</v>
      </c>
      <c r="AR48" s="118"/>
      <c r="AS48" s="119" t="s">
        <v>408</v>
      </c>
      <c r="AT48" s="119" t="s">
        <v>162</v>
      </c>
    </row>
    <row r="49" customFormat="false" ht="13.5" hidden="false" customHeight="false" outlineLevel="0" collapsed="false">
      <c r="A49" s="129"/>
      <c r="B49" s="130"/>
      <c r="C49" s="110"/>
      <c r="D49" s="122"/>
      <c r="E49" s="122"/>
      <c r="F49" s="122"/>
      <c r="G49" s="123"/>
      <c r="H49" s="101"/>
      <c r="I49" s="123"/>
      <c r="J49" s="101"/>
      <c r="K49" s="124"/>
      <c r="L49" s="125"/>
      <c r="M49" s="125"/>
      <c r="N49" s="126"/>
      <c r="O49" s="126"/>
      <c r="P49" s="126"/>
      <c r="Q49" s="127"/>
      <c r="R49" s="105"/>
      <c r="S49" s="106"/>
      <c r="T49" s="106"/>
      <c r="U49" s="106"/>
      <c r="V49" s="107"/>
      <c r="W49" s="106"/>
      <c r="X49" s="106"/>
      <c r="Y49" s="108"/>
      <c r="Z49" s="109"/>
      <c r="AA49" s="110"/>
      <c r="AB49" s="111"/>
      <c r="AC49" s="112"/>
      <c r="AD49" s="112"/>
      <c r="AE49" s="113"/>
      <c r="AF49" s="114"/>
      <c r="AG49" s="107"/>
      <c r="AH49" s="107"/>
      <c r="AI49" s="107"/>
      <c r="AJ49" s="107"/>
      <c r="AK49" s="107"/>
      <c r="AL49" s="107"/>
      <c r="AM49" s="115"/>
      <c r="AO49" s="117"/>
      <c r="AP49" s="118"/>
      <c r="AQ49" s="118"/>
      <c r="AR49" s="118"/>
      <c r="AS49" s="119"/>
      <c r="AT49" s="119"/>
    </row>
    <row r="50" customFormat="false" ht="13.5" hidden="false" customHeight="false" outlineLevel="0" collapsed="false">
      <c r="A50" s="96"/>
      <c r="B50" s="97" t="s">
        <v>430</v>
      </c>
      <c r="C50" s="98"/>
      <c r="D50" s="99"/>
      <c r="E50" s="99"/>
      <c r="F50" s="99"/>
      <c r="G50" s="100"/>
      <c r="H50" s="101"/>
      <c r="I50" s="100"/>
      <c r="J50" s="101"/>
      <c r="K50" s="102"/>
      <c r="L50" s="103"/>
      <c r="M50" s="103"/>
      <c r="N50" s="104"/>
      <c r="O50" s="104"/>
      <c r="P50" s="104"/>
      <c r="Q50" s="100"/>
      <c r="R50" s="105"/>
      <c r="S50" s="106"/>
      <c r="T50" s="106"/>
      <c r="U50" s="106"/>
      <c r="V50" s="107"/>
      <c r="W50" s="106"/>
      <c r="X50" s="106"/>
      <c r="Y50" s="108"/>
      <c r="Z50" s="109"/>
      <c r="AA50" s="110"/>
      <c r="AB50" s="111"/>
      <c r="AC50" s="112"/>
      <c r="AD50" s="112"/>
      <c r="AE50" s="113"/>
      <c r="AF50" s="114"/>
      <c r="AG50" s="107"/>
      <c r="AH50" s="107"/>
      <c r="AI50" s="107"/>
      <c r="AJ50" s="107"/>
      <c r="AK50" s="107"/>
      <c r="AL50" s="107"/>
      <c r="AM50" s="115"/>
      <c r="AO50" s="117"/>
      <c r="AP50" s="118"/>
      <c r="AQ50" s="118"/>
      <c r="AR50" s="118"/>
      <c r="AS50" s="119"/>
      <c r="AT50" s="119"/>
    </row>
    <row r="51" customFormat="false" ht="13.5" hidden="false" customHeight="false" outlineLevel="0" collapsed="false">
      <c r="A51" s="120"/>
      <c r="B51" s="121" t="s">
        <v>431</v>
      </c>
      <c r="C51" s="110" t="n">
        <v>6</v>
      </c>
      <c r="D51" s="122" t="n">
        <v>0.24</v>
      </c>
      <c r="E51" s="122" t="n">
        <v>0.3</v>
      </c>
      <c r="F51" s="122" t="n">
        <v>4.53</v>
      </c>
      <c r="G51" s="123" t="n">
        <f aca="false">C51*D51*E51*F51</f>
        <v>1.95696</v>
      </c>
      <c r="H51" s="101"/>
      <c r="I51" s="123" t="n">
        <f aca="false">2*(D51+E51)*F51*C51</f>
        <v>29.3544</v>
      </c>
      <c r="J51" s="101"/>
      <c r="K51" s="124"/>
      <c r="L51" s="125"/>
      <c r="M51" s="125"/>
      <c r="N51" s="126"/>
      <c r="O51" s="126"/>
      <c r="P51" s="126"/>
      <c r="Q51" s="127"/>
      <c r="R51" s="105" t="str">
        <f aca="false">IF(P51=6,N51*O51*Q51*0.222*1,IF(P51&gt;6,"",IF(P51&lt;6,"")))</f>
        <v/>
      </c>
      <c r="S51" s="106" t="str">
        <f aca="false">IF(P51=8,N51*O51*Q51*0.395*1,IF(P51&gt;8,"",IF(P51&lt;8,"")))</f>
        <v/>
      </c>
      <c r="T51" s="106" t="str">
        <f aca="false">IF(P51=10,N51*O51*Q51*0.617*1,IF(P51&gt;10,"",IF(P51&lt;10,"")))</f>
        <v/>
      </c>
      <c r="U51" s="106" t="str">
        <f aca="false">IF(P51=12,N51*O51*Q51*0.888*1,IF(P51&gt;12,"",IF(P51&lt;12,"")))</f>
        <v/>
      </c>
      <c r="V51" s="107" t="str">
        <f aca="false">IF(P51=16,N51*O51*Q51*1.578*1,IF(P51&gt;16,"",IF(P51&lt;16,"")))</f>
        <v/>
      </c>
      <c r="W51" s="106" t="str">
        <f aca="false">IF(P51=20,N51*O51*Q51*2.466*1,IF(P51&gt;20,"",IF(P51&lt;20,"")))</f>
        <v/>
      </c>
      <c r="X51" s="106" t="str">
        <f aca="false">IF(P51=25,N51*O51*Q51*3.853*1,IF(P51&gt;25,"",IF(P51&lt;25,"")))</f>
        <v/>
      </c>
      <c r="Y51" s="108" t="str">
        <f aca="false">IF(P51=32,N51*O51*Q51*6.313*1,IF(P51&gt;32,"",IF(P51&lt;32,"")))</f>
        <v/>
      </c>
      <c r="Z51" s="109"/>
      <c r="AA51" s="110" t="str">
        <f aca="false">IF(AC51&gt;0,N51,"")</f>
        <v/>
      </c>
      <c r="AB51" s="111" t="str">
        <f aca="false">IF(AC51&gt;0,O51,"")</f>
        <v/>
      </c>
      <c r="AC51" s="112"/>
      <c r="AD51" s="112"/>
      <c r="AE51" s="113" t="str">
        <f aca="false">IF(AC51&gt;0,P51,"")</f>
        <v/>
      </c>
      <c r="AF51" s="114" t="str">
        <f aca="false">IF(AE51=6,AA51*AB51*AC51*AD51*(AE51/1000)*0.222*1,IF(AE51&gt;6,"",IF(AE51&lt;6,"")))</f>
        <v/>
      </c>
      <c r="AG51" s="107" t="str">
        <f aca="false">IF(AE51=8,AA51*AB51*AC51*AD51*(AE51/1000)*0.395*1,IF(AE51&gt;8,"",IF(AE51&lt;8,"")))</f>
        <v/>
      </c>
      <c r="AH51" s="107" t="str">
        <f aca="false">IF(AE51=10,AA51*AB51*AC51*AD51*(AE51/1000)*0.617*1,IF(AE51&gt;10,"",IF(AE51&lt;10,"")))</f>
        <v/>
      </c>
      <c r="AI51" s="107" t="str">
        <f aca="false">IF(AE51=12,AA51*AB51*AC51*AD51*(AE51/1000)*0.888*1,IF(AE51&gt;12,"",IF(AE51&lt;12,"")))</f>
        <v/>
      </c>
      <c r="AJ51" s="107" t="str">
        <f aca="false">IF(AE51=16,AA51*AB51*AC51*AD51*(AE51/1000)*1.578*1,IF(AE51&gt;16,"",IF(AE51&lt;16,"")))</f>
        <v/>
      </c>
      <c r="AK51" s="107" t="str">
        <f aca="false">IF(AE51=20,AA51*AB51*AC51*AD51*(AE51/1000)*2.466*1,IF(AE51&gt;20,"",IF(AE51&lt;20,"")))</f>
        <v/>
      </c>
      <c r="AL51" s="107" t="str">
        <f aca="false">IF(AE51=25,AA51*AB51*AC51*AD51*(AE51/1000)*3.853*1,IF(AE51&gt;25,"",IF(AE51&lt;25,"")))</f>
        <v/>
      </c>
      <c r="AM51" s="115" t="str">
        <f aca="false">IF(AE51=32,AA51*AB51*AC51*AD51*(AE51/1000)*6.313*1,IF(AE51&gt;32,"",IF(AE51&lt;32,"")))</f>
        <v/>
      </c>
      <c r="AN51" s="128"/>
      <c r="AO51" s="117" t="s">
        <v>178</v>
      </c>
      <c r="AP51" s="118" t="n">
        <f aca="false">SUM(R51:Y51)+SUM(AN51)</f>
        <v>0</v>
      </c>
      <c r="AQ51" s="118" t="n">
        <f aca="false">SUM(AF51:AM51)</f>
        <v>0</v>
      </c>
      <c r="AR51" s="118" t="n">
        <v>1.9572</v>
      </c>
      <c r="AS51" s="119" t="s">
        <v>432</v>
      </c>
      <c r="AT51" s="119" t="s">
        <v>209</v>
      </c>
    </row>
    <row r="52" customFormat="false" ht="13.5" hidden="false" customHeight="false" outlineLevel="0" collapsed="false">
      <c r="A52" s="129"/>
      <c r="B52" s="172"/>
      <c r="C52" s="110"/>
      <c r="D52" s="122"/>
      <c r="E52" s="122"/>
      <c r="F52" s="173"/>
      <c r="G52" s="123"/>
      <c r="H52" s="101"/>
      <c r="I52" s="123"/>
      <c r="J52" s="101"/>
      <c r="K52" s="124" t="s">
        <v>417</v>
      </c>
      <c r="L52" s="125"/>
      <c r="M52" s="125"/>
      <c r="N52" s="126" t="n">
        <f aca="false">$C$51</f>
        <v>6</v>
      </c>
      <c r="O52" s="126" t="n">
        <v>4</v>
      </c>
      <c r="P52" s="126" t="n">
        <v>16</v>
      </c>
      <c r="Q52" s="127" t="n">
        <f aca="false">$F$51+50*16/1000</f>
        <v>5.33</v>
      </c>
      <c r="R52" s="105" t="str">
        <f aca="false">IF(P52=6,N52*O52*Q52*0.222*1,IF(P52&gt;6,"",IF(P52&lt;6,"")))</f>
        <v/>
      </c>
      <c r="S52" s="106" t="str">
        <f aca="false">IF(P52=8,N52*O52*Q52*0.395*1,IF(P52&gt;8,"",IF(P52&lt;8,"")))</f>
        <v/>
      </c>
      <c r="T52" s="106" t="str">
        <f aca="false">IF(P52=10,N52*O52*Q52*0.617*1,IF(P52&gt;10,"",IF(P52&lt;10,"")))</f>
        <v/>
      </c>
      <c r="U52" s="106" t="str">
        <f aca="false">IF(P52=12,N52*O52*Q52*0.888*1,IF(P52&gt;12,"",IF(P52&lt;12,"")))</f>
        <v/>
      </c>
      <c r="V52" s="107" t="n">
        <f aca="false">IF(P52=16,N52*O52*Q52*1.578*1,IF(P52&gt;16,"",IF(P52&lt;16,"")))</f>
        <v>201.85776</v>
      </c>
      <c r="W52" s="106" t="str">
        <f aca="false">IF(P52=20,N52*O52*Q52*2.466*1,IF(P52&gt;20,"",IF(P52&lt;20,"")))</f>
        <v/>
      </c>
      <c r="X52" s="106" t="str">
        <f aca="false">IF(P52=25,N52*O52*Q52*3.853*1,IF(P52&gt;25,"",IF(P52&lt;25,"")))</f>
        <v/>
      </c>
      <c r="Y52" s="108" t="str">
        <f aca="false">IF(P52=32,N52*O52*Q52*6.313*1,IF(P52&gt;32,"",IF(P52&lt;32,"")))</f>
        <v/>
      </c>
      <c r="Z52" s="109"/>
      <c r="AA52" s="110" t="str">
        <f aca="false">IF(AC52&gt;0,N52,"")</f>
        <v/>
      </c>
      <c r="AB52" s="111" t="str">
        <f aca="false">IF(AC52&gt;0,O52,"")</f>
        <v/>
      </c>
      <c r="AC52" s="112"/>
      <c r="AD52" s="112"/>
      <c r="AE52" s="113" t="str">
        <f aca="false">IF(AC52&gt;0,P52,"")</f>
        <v/>
      </c>
      <c r="AF52" s="114" t="str">
        <f aca="false">IF(AE52=6,AA52*AB52*AC52*AD52*(AE52/1000)*0.222*1,IF(AE52&gt;6,"",IF(AE52&lt;6,"")))</f>
        <v/>
      </c>
      <c r="AG52" s="107" t="str">
        <f aca="false">IF(AE52=8,AA52*AB52*AC52*AD52*(AE52/1000)*0.395*1,IF(AE52&gt;8,"",IF(AE52&lt;8,"")))</f>
        <v/>
      </c>
      <c r="AH52" s="107" t="str">
        <f aca="false">IF(AE52=10,AA52*AB52*AC52*AD52*(AE52/1000)*0.617*1,IF(AE52&gt;10,"",IF(AE52&lt;10,"")))</f>
        <v/>
      </c>
      <c r="AI52" s="107" t="str">
        <f aca="false">IF(AE52=12,AA52*AB52*AC52*AD52*(AE52/1000)*0.888*1,IF(AE52&gt;12,"",IF(AE52&lt;12,"")))</f>
        <v/>
      </c>
      <c r="AJ52" s="107" t="str">
        <f aca="false">IF(AE52=16,AA52*AB52*AC52*AD52*(AE52/1000)*1.578*1,IF(AE52&gt;16,"",IF(AE52&lt;16,"")))</f>
        <v/>
      </c>
      <c r="AK52" s="107" t="str">
        <f aca="false">IF(AE52=20,AA52*AB52*AC52*AD52*(AE52/1000)*2.466*1,IF(AE52&gt;20,"",IF(AE52&lt;20,"")))</f>
        <v/>
      </c>
      <c r="AL52" s="107" t="str">
        <f aca="false">IF(AE52=25,AA52*AB52*AC52*AD52*(AE52/1000)*3.853*1,IF(AE52&gt;25,"",IF(AE52&lt;25,"")))</f>
        <v/>
      </c>
      <c r="AM52" s="115" t="str">
        <f aca="false">IF(AE52=32,AA52*AB52*AC52*AD52*(AE52/1000)*6.313*1,IF(AE52&gt;32,"",IF(AE52&lt;32,"")))</f>
        <v/>
      </c>
      <c r="AN52" s="128"/>
      <c r="AO52" s="117" t="s">
        <v>178</v>
      </c>
      <c r="AP52" s="118" t="n">
        <f aca="false">SUM(R52:Y52)+SUM(AN52)</f>
        <v>201.85776</v>
      </c>
      <c r="AQ52" s="118" t="n">
        <f aca="false">SUM(AF52:AM52)</f>
        <v>0</v>
      </c>
      <c r="AR52" s="118"/>
      <c r="AS52" s="119" t="s">
        <v>411</v>
      </c>
      <c r="AT52" s="119" t="s">
        <v>162</v>
      </c>
    </row>
    <row r="53" customFormat="false" ht="13.5" hidden="false" customHeight="false" outlineLevel="0" collapsed="false">
      <c r="A53" s="129"/>
      <c r="B53" s="172"/>
      <c r="C53" s="110"/>
      <c r="D53" s="122"/>
      <c r="E53" s="122"/>
      <c r="F53" s="173"/>
      <c r="G53" s="123"/>
      <c r="H53" s="101"/>
      <c r="I53" s="123"/>
      <c r="J53" s="101"/>
      <c r="K53" s="124" t="s">
        <v>433</v>
      </c>
      <c r="L53" s="125"/>
      <c r="M53" s="125"/>
      <c r="N53" s="126" t="n">
        <f aca="false">$C$51</f>
        <v>6</v>
      </c>
      <c r="O53" s="126" t="n">
        <v>4</v>
      </c>
      <c r="P53" s="126" t="n">
        <v>12</v>
      </c>
      <c r="Q53" s="127" t="n">
        <f aca="false">$F$51+50*12/1000</f>
        <v>5.13</v>
      </c>
      <c r="R53" s="105" t="str">
        <f aca="false">IF(P53=6,N53*O53*Q53*0.222*1,IF(P53&gt;6,"",IF(P53&lt;6,"")))</f>
        <v/>
      </c>
      <c r="S53" s="106" t="str">
        <f aca="false">IF(P53=8,N53*O53*Q53*0.395*1,IF(P53&gt;8,"",IF(P53&lt;8,"")))</f>
        <v/>
      </c>
      <c r="T53" s="106" t="str">
        <f aca="false">IF(P53=10,N53*O53*Q53*0.617*1,IF(P53&gt;10,"",IF(P53&lt;10,"")))</f>
        <v/>
      </c>
      <c r="U53" s="106" t="n">
        <f aca="false">IF(P53=12,N53*O53*Q53*0.888*1,IF(P53&gt;12,"",IF(P53&lt;12,"")))</f>
        <v>109.33056</v>
      </c>
      <c r="V53" s="107" t="str">
        <f aca="false">IF(P53=16,N53*O53*Q53*1.578*1,IF(P53&gt;16,"",IF(P53&lt;16,"")))</f>
        <v/>
      </c>
      <c r="W53" s="106" t="str">
        <f aca="false">IF(P53=20,N53*O53*Q53*2.466*1,IF(P53&gt;20,"",IF(P53&lt;20,"")))</f>
        <v/>
      </c>
      <c r="X53" s="106" t="str">
        <f aca="false">IF(P53=25,N53*O53*Q53*3.853*1,IF(P53&gt;25,"",IF(P53&lt;25,"")))</f>
        <v/>
      </c>
      <c r="Y53" s="108" t="str">
        <f aca="false">IF(P53=32,N53*O53*Q53*6.313*1,IF(P53&gt;32,"",IF(P53&lt;32,"")))</f>
        <v/>
      </c>
      <c r="Z53" s="109"/>
      <c r="AA53" s="110" t="str">
        <f aca="false">IF(AC53&gt;0,N53,"")</f>
        <v/>
      </c>
      <c r="AB53" s="111" t="str">
        <f aca="false">IF(AC53&gt;0,O53,"")</f>
        <v/>
      </c>
      <c r="AC53" s="112"/>
      <c r="AD53" s="112"/>
      <c r="AE53" s="113" t="str">
        <f aca="false">IF(AC53&gt;0,P53,"")</f>
        <v/>
      </c>
      <c r="AF53" s="114" t="str">
        <f aca="false">IF(AE53=6,AA53*AB53*AC53*AD53*(AE53/1000)*0.222*1,IF(AE53&gt;6,"",IF(AE53&lt;6,"")))</f>
        <v/>
      </c>
      <c r="AG53" s="107" t="str">
        <f aca="false">IF(AE53=8,AA53*AB53*AC53*AD53*(AE53/1000)*0.395*1,IF(AE53&gt;8,"",IF(AE53&lt;8,"")))</f>
        <v/>
      </c>
      <c r="AH53" s="107" t="str">
        <f aca="false">IF(AE53=10,AA53*AB53*AC53*AD53*(AE53/1000)*0.617*1,IF(AE53&gt;10,"",IF(AE53&lt;10,"")))</f>
        <v/>
      </c>
      <c r="AI53" s="107" t="str">
        <f aca="false">IF(AE53=12,AA53*AB53*AC53*AD53*(AE53/1000)*0.888*1,IF(AE53&gt;12,"",IF(AE53&lt;12,"")))</f>
        <v/>
      </c>
      <c r="AJ53" s="107" t="str">
        <f aca="false">IF(AE53=16,AA53*AB53*AC53*AD53*(AE53/1000)*1.578*1,IF(AE53&gt;16,"",IF(AE53&lt;16,"")))</f>
        <v/>
      </c>
      <c r="AK53" s="107" t="str">
        <f aca="false">IF(AE53=20,AA53*AB53*AC53*AD53*(AE53/1000)*2.466*1,IF(AE53&gt;20,"",IF(AE53&lt;20,"")))</f>
        <v/>
      </c>
      <c r="AL53" s="107" t="str">
        <f aca="false">IF(AE53=25,AA53*AB53*AC53*AD53*(AE53/1000)*3.853*1,IF(AE53&gt;25,"",IF(AE53&lt;25,"")))</f>
        <v/>
      </c>
      <c r="AM53" s="115" t="str">
        <f aca="false">IF(AE53=32,AA53*AB53*AC53*AD53*(AE53/1000)*6.313*1,IF(AE53&gt;32,"",IF(AE53&lt;32,"")))</f>
        <v/>
      </c>
      <c r="AN53" s="128"/>
      <c r="AO53" s="117" t="s">
        <v>178</v>
      </c>
      <c r="AP53" s="118" t="n">
        <f aca="false">SUM(R53:Y53)+SUM(AN53)</f>
        <v>109.33056</v>
      </c>
      <c r="AQ53" s="118" t="n">
        <f aca="false">SUM(AF53:AM53)</f>
        <v>0</v>
      </c>
      <c r="AR53" s="118"/>
      <c r="AS53" s="119" t="s">
        <v>411</v>
      </c>
      <c r="AT53" s="119" t="s">
        <v>162</v>
      </c>
    </row>
    <row r="54" customFormat="false" ht="13.5" hidden="false" customHeight="false" outlineLevel="0" collapsed="false">
      <c r="A54" s="129"/>
      <c r="B54" s="172"/>
      <c r="C54" s="110"/>
      <c r="D54" s="122"/>
      <c r="E54" s="122"/>
      <c r="F54" s="173"/>
      <c r="G54" s="123"/>
      <c r="H54" s="101"/>
      <c r="I54" s="123"/>
      <c r="J54" s="101"/>
      <c r="K54" s="124" t="s">
        <v>434</v>
      </c>
      <c r="L54" s="125" t="n">
        <v>0.8</v>
      </c>
      <c r="M54" s="125" t="n">
        <v>0.1</v>
      </c>
      <c r="N54" s="126" t="n">
        <f aca="false">$C$51*2*1*1</f>
        <v>12</v>
      </c>
      <c r="O54" s="126" t="n">
        <f aca="false">CEILING(L54/M54,1)+1</f>
        <v>9</v>
      </c>
      <c r="P54" s="126" t="n">
        <v>8</v>
      </c>
      <c r="Q54" s="127" t="n">
        <f aca="false">2*($D$51-2*0.035)+2*($E$51-2*0.035)+20*8/1000</f>
        <v>0.96</v>
      </c>
      <c r="R54" s="105" t="str">
        <f aca="false">IF(P54=6,N54*O54*Q54*0.222*1,IF(P54&gt;6,"",IF(P54&lt;6,"")))</f>
        <v/>
      </c>
      <c r="S54" s="106" t="n">
        <f aca="false">IF(P54=8,N54*O54*Q54*0.395*1,IF(P54&gt;8,"",IF(P54&lt;8,"")))</f>
        <v>40.9536</v>
      </c>
      <c r="T54" s="106" t="str">
        <f aca="false">IF(P54=10,N54*O54*Q54*0.617*1,IF(P54&gt;10,"",IF(P54&lt;10,"")))</f>
        <v/>
      </c>
      <c r="U54" s="106" t="str">
        <f aca="false">IF(P54=12,N54*O54*Q54*0.888*1,IF(P54&gt;12,"",IF(P54&lt;12,"")))</f>
        <v/>
      </c>
      <c r="V54" s="107" t="str">
        <f aca="false">IF(P54=16,N54*O54*Q54*1.578*1,IF(P54&gt;16,"",IF(P54&lt;16,"")))</f>
        <v/>
      </c>
      <c r="W54" s="106" t="str">
        <f aca="false">IF(P54=20,N54*O54*Q54*2.466*1,IF(P54&gt;20,"",IF(P54&lt;20,"")))</f>
        <v/>
      </c>
      <c r="X54" s="106" t="str">
        <f aca="false">IF(P54=25,N54*O54*Q54*3.853*1,IF(P54&gt;25,"",IF(P54&lt;25,"")))</f>
        <v/>
      </c>
      <c r="Y54" s="108" t="str">
        <f aca="false">IF(P54=32,N54*O54*Q54*6.313*1,IF(P54&gt;32,"",IF(P54&lt;32,"")))</f>
        <v/>
      </c>
      <c r="Z54" s="109"/>
      <c r="AA54" s="110" t="str">
        <f aca="false">IF(AC54&gt;0,N54,"")</f>
        <v/>
      </c>
      <c r="AB54" s="111" t="str">
        <f aca="false">IF(AC54&gt;0,O54,"")</f>
        <v/>
      </c>
      <c r="AC54" s="112"/>
      <c r="AD54" s="112"/>
      <c r="AE54" s="113" t="str">
        <f aca="false">IF(AC54&gt;0,P54,"")</f>
        <v/>
      </c>
      <c r="AF54" s="114" t="str">
        <f aca="false">IF(AE54=6,AA54*AB54*AC54*AD54*(AE54/1000)*0.222*1,IF(AE54&gt;6,"",IF(AE54&lt;6,"")))</f>
        <v/>
      </c>
      <c r="AG54" s="107" t="str">
        <f aca="false">IF(AE54=8,AA54*AB54*AC54*AD54*(AE54/1000)*0.395*1,IF(AE54&gt;8,"",IF(AE54&lt;8,"")))</f>
        <v/>
      </c>
      <c r="AH54" s="107" t="str">
        <f aca="false">IF(AE54=10,AA54*AB54*AC54*AD54*(AE54/1000)*0.617*1,IF(AE54&gt;10,"",IF(AE54&lt;10,"")))</f>
        <v/>
      </c>
      <c r="AI54" s="107" t="str">
        <f aca="false">IF(AE54=12,AA54*AB54*AC54*AD54*(AE54/1000)*0.888*1,IF(AE54&gt;12,"",IF(AE54&lt;12,"")))</f>
        <v/>
      </c>
      <c r="AJ54" s="107" t="str">
        <f aca="false">IF(AE54=16,AA54*AB54*AC54*AD54*(AE54/1000)*1.578*1,IF(AE54&gt;16,"",IF(AE54&lt;16,"")))</f>
        <v/>
      </c>
      <c r="AK54" s="107" t="str">
        <f aca="false">IF(AE54=20,AA54*AB54*AC54*AD54*(AE54/1000)*2.466*1,IF(AE54&gt;20,"",IF(AE54&lt;20,"")))</f>
        <v/>
      </c>
      <c r="AL54" s="107" t="str">
        <f aca="false">IF(AE54=25,AA54*AB54*AC54*AD54*(AE54/1000)*3.853*1,IF(AE54&gt;25,"",IF(AE54&lt;25,"")))</f>
        <v/>
      </c>
      <c r="AM54" s="115" t="str">
        <f aca="false">IF(AE54=32,AA54*AB54*AC54*AD54*(AE54/1000)*6.313*1,IF(AE54&gt;32,"",IF(AE54&lt;32,"")))</f>
        <v/>
      </c>
      <c r="AN54" s="128"/>
      <c r="AO54" s="117" t="s">
        <v>178</v>
      </c>
      <c r="AP54" s="118" t="n">
        <f aca="false">SUM(R54:Y54)+SUM(AN54)</f>
        <v>40.9536</v>
      </c>
      <c r="AQ54" s="118" t="n">
        <f aca="false">SUM(AF54:AM54)</f>
        <v>0</v>
      </c>
      <c r="AR54" s="118"/>
      <c r="AS54" s="119" t="s">
        <v>412</v>
      </c>
      <c r="AT54" s="119" t="s">
        <v>162</v>
      </c>
    </row>
    <row r="55" customFormat="false" ht="13.5" hidden="false" customHeight="false" outlineLevel="0" collapsed="false">
      <c r="A55" s="129"/>
      <c r="B55" s="172"/>
      <c r="C55" s="110"/>
      <c r="D55" s="122"/>
      <c r="E55" s="122"/>
      <c r="F55" s="173"/>
      <c r="G55" s="123"/>
      <c r="H55" s="101"/>
      <c r="I55" s="123"/>
      <c r="J55" s="101"/>
      <c r="K55" s="124" t="s">
        <v>407</v>
      </c>
      <c r="L55" s="125" t="n">
        <f aca="false">$F$51-2*0.8*1</f>
        <v>2.93</v>
      </c>
      <c r="M55" s="125" t="n">
        <v>0.15</v>
      </c>
      <c r="N55" s="126" t="n">
        <f aca="false">$C$51*1</f>
        <v>6</v>
      </c>
      <c r="O55" s="126" t="n">
        <f aca="false">CEILING(L55/M55,1)-1</f>
        <v>19</v>
      </c>
      <c r="P55" s="126" t="n">
        <v>8</v>
      </c>
      <c r="Q55" s="127" t="n">
        <f aca="false">2*($D$51-2*0.035)+2*($E$51-2*0.035)+20*8/1000</f>
        <v>0.96</v>
      </c>
      <c r="R55" s="105" t="str">
        <f aca="false">IF(P55=6,N55*O55*Q55*0.222*1,IF(P55&gt;6,"",IF(P55&lt;6,"")))</f>
        <v/>
      </c>
      <c r="S55" s="106" t="n">
        <f aca="false">IF(P55=8,N55*O55*Q55*0.395*1,IF(P55&gt;8,"",IF(P55&lt;8,"")))</f>
        <v>43.2288</v>
      </c>
      <c r="T55" s="106" t="str">
        <f aca="false">IF(P55=10,N55*O55*Q55*0.617*1,IF(P55&gt;10,"",IF(P55&lt;10,"")))</f>
        <v/>
      </c>
      <c r="U55" s="106" t="str">
        <f aca="false">IF(P55=12,N55*O55*Q55*0.888*1,IF(P55&gt;12,"",IF(P55&lt;12,"")))</f>
        <v/>
      </c>
      <c r="V55" s="107" t="str">
        <f aca="false">IF(P55=16,N55*O55*Q55*1.578*1,IF(P55&gt;16,"",IF(P55&lt;16,"")))</f>
        <v/>
      </c>
      <c r="W55" s="106" t="str">
        <f aca="false">IF(P55=20,N55*O55*Q55*2.466*1,IF(P55&gt;20,"",IF(P55&lt;20,"")))</f>
        <v/>
      </c>
      <c r="X55" s="106" t="str">
        <f aca="false">IF(P55=25,N55*O55*Q55*3.853*1,IF(P55&gt;25,"",IF(P55&lt;25,"")))</f>
        <v/>
      </c>
      <c r="Y55" s="108" t="str">
        <f aca="false">IF(P55=32,N55*O55*Q55*6.313*1,IF(P55&gt;32,"",IF(P55&lt;32,"")))</f>
        <v/>
      </c>
      <c r="Z55" s="109"/>
      <c r="AA55" s="110" t="str">
        <f aca="false">IF(AC55&gt;0,N55,"")</f>
        <v/>
      </c>
      <c r="AB55" s="111" t="str">
        <f aca="false">IF(AC55&gt;0,O55,"")</f>
        <v/>
      </c>
      <c r="AC55" s="112"/>
      <c r="AD55" s="112"/>
      <c r="AE55" s="113" t="str">
        <f aca="false">IF(AC55&gt;0,P55,"")</f>
        <v/>
      </c>
      <c r="AF55" s="114" t="str">
        <f aca="false">IF(AE55=6,AA55*AB55*AC55*AD55*(AE55/1000)*0.222*1,IF(AE55&gt;6,"",IF(AE55&lt;6,"")))</f>
        <v/>
      </c>
      <c r="AG55" s="107" t="str">
        <f aca="false">IF(AE55=8,AA55*AB55*AC55*AD55*(AE55/1000)*0.395*1,IF(AE55&gt;8,"",IF(AE55&lt;8,"")))</f>
        <v/>
      </c>
      <c r="AH55" s="107" t="str">
        <f aca="false">IF(AE55=10,AA55*AB55*AC55*AD55*(AE55/1000)*0.617*1,IF(AE55&gt;10,"",IF(AE55&lt;10,"")))</f>
        <v/>
      </c>
      <c r="AI55" s="107" t="str">
        <f aca="false">IF(AE55=12,AA55*AB55*AC55*AD55*(AE55/1000)*0.888*1,IF(AE55&gt;12,"",IF(AE55&lt;12,"")))</f>
        <v/>
      </c>
      <c r="AJ55" s="107" t="str">
        <f aca="false">IF(AE55=16,AA55*AB55*AC55*AD55*(AE55/1000)*1.578*1,IF(AE55&gt;16,"",IF(AE55&lt;16,"")))</f>
        <v/>
      </c>
      <c r="AK55" s="107" t="str">
        <f aca="false">IF(AE55=20,AA55*AB55*AC55*AD55*(AE55/1000)*2.466*1,IF(AE55&gt;20,"",IF(AE55&lt;20,"")))</f>
        <v/>
      </c>
      <c r="AL55" s="107" t="str">
        <f aca="false">IF(AE55=25,AA55*AB55*AC55*AD55*(AE55/1000)*3.853*1,IF(AE55&gt;25,"",IF(AE55&lt;25,"")))</f>
        <v/>
      </c>
      <c r="AM55" s="115" t="str">
        <f aca="false">IF(AE55=32,AA55*AB55*AC55*AD55*(AE55/1000)*6.313*1,IF(AE55&gt;32,"",IF(AE55&lt;32,"")))</f>
        <v/>
      </c>
      <c r="AN55" s="128"/>
      <c r="AO55" s="117" t="s">
        <v>178</v>
      </c>
      <c r="AP55" s="118" t="n">
        <f aca="false">SUM(R55:Y55)+SUM(AN55)</f>
        <v>43.2288</v>
      </c>
      <c r="AQ55" s="118" t="n">
        <f aca="false">SUM(AF55:AM55)</f>
        <v>0</v>
      </c>
      <c r="AR55" s="118"/>
      <c r="AS55" s="119" t="s">
        <v>408</v>
      </c>
      <c r="AT55" s="119" t="s">
        <v>162</v>
      </c>
    </row>
    <row r="56" customFormat="false" ht="13.5" hidden="false" customHeight="false" outlineLevel="0" collapsed="false">
      <c r="A56" s="129"/>
      <c r="B56" s="172"/>
      <c r="C56" s="110"/>
      <c r="D56" s="122"/>
      <c r="E56" s="122"/>
      <c r="F56" s="173"/>
      <c r="G56" s="123"/>
      <c r="H56" s="101"/>
      <c r="I56" s="123"/>
      <c r="J56" s="101"/>
      <c r="K56" s="124" t="s">
        <v>435</v>
      </c>
      <c r="L56" s="125" t="n">
        <v>0.8</v>
      </c>
      <c r="M56" s="125" t="n">
        <v>0.1</v>
      </c>
      <c r="N56" s="126" t="n">
        <f aca="false">$C$51*2*1*1</f>
        <v>12</v>
      </c>
      <c r="O56" s="126" t="n">
        <f aca="false">CEILING(L56/M56,1)+1</f>
        <v>9</v>
      </c>
      <c r="P56" s="126" t="n">
        <v>8</v>
      </c>
      <c r="Q56" s="127" t="n">
        <f aca="false">4*SQRT((($D$51-2*0.035)/2)^2+(($E$51-2*0.035)/2)^2)+20*8/1000</f>
        <v>0.732013985843004</v>
      </c>
      <c r="R56" s="105" t="str">
        <f aca="false">IF(P56=6,N56*O56*Q56*0.222*1,IF(P56&gt;6,"",IF(P56&lt;6,"")))</f>
        <v/>
      </c>
      <c r="S56" s="106" t="n">
        <f aca="false">IF(P56=8,N56*O56*Q56*0.395*1,IF(P56&gt;8,"",IF(P56&lt;8,"")))</f>
        <v>31.2277166360625</v>
      </c>
      <c r="T56" s="106" t="str">
        <f aca="false">IF(P56=10,N56*O56*Q56*0.617*1,IF(P56&gt;10,"",IF(P56&lt;10,"")))</f>
        <v/>
      </c>
      <c r="U56" s="106" t="str">
        <f aca="false">IF(P56=12,N56*O56*Q56*0.888*1,IF(P56&gt;12,"",IF(P56&lt;12,"")))</f>
        <v/>
      </c>
      <c r="V56" s="107" t="str">
        <f aca="false">IF(P56=16,N56*O56*Q56*1.578*1,IF(P56&gt;16,"",IF(P56&lt;16,"")))</f>
        <v/>
      </c>
      <c r="W56" s="106" t="str">
        <f aca="false">IF(P56=20,N56*O56*Q56*2.466*1,IF(P56&gt;20,"",IF(P56&lt;20,"")))</f>
        <v/>
      </c>
      <c r="X56" s="106" t="str">
        <f aca="false">IF(P56=25,N56*O56*Q56*3.853*1,IF(P56&gt;25,"",IF(P56&lt;25,"")))</f>
        <v/>
      </c>
      <c r="Y56" s="108" t="str">
        <f aca="false">IF(P56=32,N56*O56*Q56*6.313*1,IF(P56&gt;32,"",IF(P56&lt;32,"")))</f>
        <v/>
      </c>
      <c r="Z56" s="109"/>
      <c r="AA56" s="110" t="str">
        <f aca="false">IF(AC56&gt;0,N56,"")</f>
        <v/>
      </c>
      <c r="AB56" s="111" t="str">
        <f aca="false">IF(AC56&gt;0,O56,"")</f>
        <v/>
      </c>
      <c r="AC56" s="112"/>
      <c r="AD56" s="112"/>
      <c r="AE56" s="113" t="str">
        <f aca="false">IF(AC56&gt;0,P56,"")</f>
        <v/>
      </c>
      <c r="AF56" s="114" t="str">
        <f aca="false">IF(AE56=6,AA56*AB56*AC56*AD56*(AE56/1000)*0.222*1,IF(AE56&gt;6,"",IF(AE56&lt;6,"")))</f>
        <v/>
      </c>
      <c r="AG56" s="107" t="str">
        <f aca="false">IF(AE56=8,AA56*AB56*AC56*AD56*(AE56/1000)*0.395*1,IF(AE56&gt;8,"",IF(AE56&lt;8,"")))</f>
        <v/>
      </c>
      <c r="AH56" s="107" t="str">
        <f aca="false">IF(AE56=10,AA56*AB56*AC56*AD56*(AE56/1000)*0.617*1,IF(AE56&gt;10,"",IF(AE56&lt;10,"")))</f>
        <v/>
      </c>
      <c r="AI56" s="107" t="str">
        <f aca="false">IF(AE56=12,AA56*AB56*AC56*AD56*(AE56/1000)*0.888*1,IF(AE56&gt;12,"",IF(AE56&lt;12,"")))</f>
        <v/>
      </c>
      <c r="AJ56" s="107" t="str">
        <f aca="false">IF(AE56=16,AA56*AB56*AC56*AD56*(AE56/1000)*1.578*1,IF(AE56&gt;16,"",IF(AE56&lt;16,"")))</f>
        <v/>
      </c>
      <c r="AK56" s="107" t="str">
        <f aca="false">IF(AE56=20,AA56*AB56*AC56*AD56*(AE56/1000)*2.466*1,IF(AE56&gt;20,"",IF(AE56&lt;20,"")))</f>
        <v/>
      </c>
      <c r="AL56" s="107" t="str">
        <f aca="false">IF(AE56=25,AA56*AB56*AC56*AD56*(AE56/1000)*3.853*1,IF(AE56&gt;25,"",IF(AE56&lt;25,"")))</f>
        <v/>
      </c>
      <c r="AM56" s="115" t="str">
        <f aca="false">IF(AE56=32,AA56*AB56*AC56*AD56*(AE56/1000)*6.313*1,IF(AE56&gt;32,"",IF(AE56&lt;32,"")))</f>
        <v/>
      </c>
      <c r="AN56" s="128"/>
      <c r="AO56" s="117" t="s">
        <v>178</v>
      </c>
      <c r="AP56" s="118" t="n">
        <f aca="false">SUM(R56:Y56)+SUM(AN56)</f>
        <v>31.2277166360625</v>
      </c>
      <c r="AQ56" s="118" t="n">
        <f aca="false">SUM(AF56:AM56)</f>
        <v>0</v>
      </c>
      <c r="AR56" s="118"/>
      <c r="AS56" s="119" t="s">
        <v>412</v>
      </c>
      <c r="AT56" s="119" t="s">
        <v>162</v>
      </c>
    </row>
    <row r="57" customFormat="false" ht="13.5" hidden="false" customHeight="false" outlineLevel="0" collapsed="false">
      <c r="A57" s="129"/>
      <c r="B57" s="172"/>
      <c r="C57" s="110"/>
      <c r="D57" s="122"/>
      <c r="E57" s="122"/>
      <c r="F57" s="173"/>
      <c r="G57" s="123"/>
      <c r="H57" s="101"/>
      <c r="I57" s="123"/>
      <c r="J57" s="101"/>
      <c r="K57" s="124" t="s">
        <v>436</v>
      </c>
      <c r="L57" s="125" t="n">
        <f aca="false">$F$51-2*0.8*1</f>
        <v>2.93</v>
      </c>
      <c r="M57" s="125" t="n">
        <v>0.15</v>
      </c>
      <c r="N57" s="126" t="n">
        <f aca="false">$C$51*1</f>
        <v>6</v>
      </c>
      <c r="O57" s="126" t="n">
        <f aca="false">CEILING(L57/M57,1)-1</f>
        <v>19</v>
      </c>
      <c r="P57" s="126" t="n">
        <v>8</v>
      </c>
      <c r="Q57" s="127" t="n">
        <f aca="false">4*SQRT((($D$51-2*0.035)/2)^2+(($E$51-2*0.035)/2)^2)+20*8/1000</f>
        <v>0.732013985843004</v>
      </c>
      <c r="R57" s="105" t="str">
        <f aca="false">IF(P57=6,N57*O57*Q57*0.222*1,IF(P57&gt;6,"",IF(P57&lt;6,"")))</f>
        <v/>
      </c>
      <c r="S57" s="106" t="n">
        <f aca="false">IF(P57=8,N57*O57*Q57*0.395*1,IF(P57&gt;8,"",IF(P57&lt;8,"")))</f>
        <v>32.9625897825105</v>
      </c>
      <c r="T57" s="106" t="str">
        <f aca="false">IF(P57=10,N57*O57*Q57*0.617*1,IF(P57&gt;10,"",IF(P57&lt;10,"")))</f>
        <v/>
      </c>
      <c r="U57" s="106" t="str">
        <f aca="false">IF(P57=12,N57*O57*Q57*0.888*1,IF(P57&gt;12,"",IF(P57&lt;12,"")))</f>
        <v/>
      </c>
      <c r="V57" s="107" t="str">
        <f aca="false">IF(P57=16,N57*O57*Q57*1.578*1,IF(P57&gt;16,"",IF(P57&lt;16,"")))</f>
        <v/>
      </c>
      <c r="W57" s="106" t="str">
        <f aca="false">IF(P57=20,N57*O57*Q57*2.466*1,IF(P57&gt;20,"",IF(P57&lt;20,"")))</f>
        <v/>
      </c>
      <c r="X57" s="106" t="str">
        <f aca="false">IF(P57=25,N57*O57*Q57*3.853*1,IF(P57&gt;25,"",IF(P57&lt;25,"")))</f>
        <v/>
      </c>
      <c r="Y57" s="108" t="str">
        <f aca="false">IF(P57=32,N57*O57*Q57*6.313*1,IF(P57&gt;32,"",IF(P57&lt;32,"")))</f>
        <v/>
      </c>
      <c r="Z57" s="109"/>
      <c r="AA57" s="110" t="str">
        <f aca="false">IF(AC57&gt;0,N57,"")</f>
        <v/>
      </c>
      <c r="AB57" s="111" t="str">
        <f aca="false">IF(AC57&gt;0,O57,"")</f>
        <v/>
      </c>
      <c r="AC57" s="112"/>
      <c r="AD57" s="112"/>
      <c r="AE57" s="113" t="str">
        <f aca="false">IF(AC57&gt;0,P57,"")</f>
        <v/>
      </c>
      <c r="AF57" s="114" t="str">
        <f aca="false">IF(AE57=6,AA57*AB57*AC57*AD57*(AE57/1000)*0.222*1,IF(AE57&gt;6,"",IF(AE57&lt;6,"")))</f>
        <v/>
      </c>
      <c r="AG57" s="107" t="str">
        <f aca="false">IF(AE57=8,AA57*AB57*AC57*AD57*(AE57/1000)*0.395*1,IF(AE57&gt;8,"",IF(AE57&lt;8,"")))</f>
        <v/>
      </c>
      <c r="AH57" s="107" t="str">
        <f aca="false">IF(AE57=10,AA57*AB57*AC57*AD57*(AE57/1000)*0.617*1,IF(AE57&gt;10,"",IF(AE57&lt;10,"")))</f>
        <v/>
      </c>
      <c r="AI57" s="107" t="str">
        <f aca="false">IF(AE57=12,AA57*AB57*AC57*AD57*(AE57/1000)*0.888*1,IF(AE57&gt;12,"",IF(AE57&lt;12,"")))</f>
        <v/>
      </c>
      <c r="AJ57" s="107" t="str">
        <f aca="false">IF(AE57=16,AA57*AB57*AC57*AD57*(AE57/1000)*1.578*1,IF(AE57&gt;16,"",IF(AE57&lt;16,"")))</f>
        <v/>
      </c>
      <c r="AK57" s="107" t="str">
        <f aca="false">IF(AE57=20,AA57*AB57*AC57*AD57*(AE57/1000)*2.466*1,IF(AE57&gt;20,"",IF(AE57&lt;20,"")))</f>
        <v/>
      </c>
      <c r="AL57" s="107" t="str">
        <f aca="false">IF(AE57=25,AA57*AB57*AC57*AD57*(AE57/1000)*3.853*1,IF(AE57&gt;25,"",IF(AE57&lt;25,"")))</f>
        <v/>
      </c>
      <c r="AM57" s="115" t="str">
        <f aca="false">IF(AE57=32,AA57*AB57*AC57*AD57*(AE57/1000)*6.313*1,IF(AE57&gt;32,"",IF(AE57&lt;32,"")))</f>
        <v/>
      </c>
      <c r="AN57" s="128"/>
      <c r="AO57" s="117" t="s">
        <v>178</v>
      </c>
      <c r="AP57" s="118" t="n">
        <f aca="false">SUM(R57:Y57)+SUM(AN57)</f>
        <v>32.9625897825105</v>
      </c>
      <c r="AQ57" s="118" t="n">
        <f aca="false">SUM(AF57:AM57)</f>
        <v>0</v>
      </c>
      <c r="AR57" s="118"/>
      <c r="AS57" s="119" t="s">
        <v>408</v>
      </c>
      <c r="AT57" s="119" t="s">
        <v>162</v>
      </c>
    </row>
    <row r="58" customFormat="false" ht="13.5" hidden="false" customHeight="false" outlineLevel="0" collapsed="false">
      <c r="A58" s="129"/>
      <c r="B58" s="130"/>
      <c r="C58" s="110"/>
      <c r="D58" s="122"/>
      <c r="E58" s="122"/>
      <c r="F58" s="122"/>
      <c r="G58" s="123"/>
      <c r="H58" s="101"/>
      <c r="I58" s="123"/>
      <c r="J58" s="101"/>
      <c r="K58" s="124"/>
      <c r="L58" s="125"/>
      <c r="M58" s="125"/>
      <c r="N58" s="126"/>
      <c r="O58" s="126"/>
      <c r="P58" s="126"/>
      <c r="Q58" s="127"/>
      <c r="R58" s="105"/>
      <c r="S58" s="106"/>
      <c r="T58" s="106"/>
      <c r="U58" s="106"/>
      <c r="V58" s="107"/>
      <c r="W58" s="106"/>
      <c r="X58" s="106"/>
      <c r="Y58" s="108"/>
      <c r="Z58" s="109"/>
      <c r="AA58" s="110"/>
      <c r="AB58" s="111"/>
      <c r="AC58" s="112"/>
      <c r="AD58" s="112"/>
      <c r="AE58" s="113"/>
      <c r="AF58" s="114"/>
      <c r="AG58" s="107"/>
      <c r="AH58" s="107"/>
      <c r="AI58" s="107"/>
      <c r="AJ58" s="107"/>
      <c r="AK58" s="107"/>
      <c r="AL58" s="107"/>
      <c r="AM58" s="115"/>
      <c r="AO58" s="117"/>
      <c r="AP58" s="118"/>
      <c r="AQ58" s="118"/>
      <c r="AR58" s="118"/>
      <c r="AS58" s="119"/>
      <c r="AT58" s="119"/>
    </row>
    <row r="59" customFormat="false" ht="13.5" hidden="false" customHeight="false" outlineLevel="0" collapsed="false">
      <c r="A59" s="120"/>
      <c r="B59" s="121" t="s">
        <v>437</v>
      </c>
      <c r="C59" s="110" t="n">
        <v>1</v>
      </c>
      <c r="D59" s="122" t="n">
        <v>0.24</v>
      </c>
      <c r="E59" s="122" t="n">
        <v>0.3</v>
      </c>
      <c r="F59" s="122" t="n">
        <v>4.2</v>
      </c>
      <c r="G59" s="123" t="n">
        <f aca="false">C59*D59*E59*F59</f>
        <v>0.3024</v>
      </c>
      <c r="H59" s="101"/>
      <c r="I59" s="123" t="n">
        <f aca="false">2*(D59+E59)*F59*C59</f>
        <v>4.536</v>
      </c>
      <c r="J59" s="101"/>
      <c r="K59" s="124"/>
      <c r="L59" s="125"/>
      <c r="M59" s="125"/>
      <c r="N59" s="126"/>
      <c r="O59" s="126"/>
      <c r="P59" s="126"/>
      <c r="Q59" s="127"/>
      <c r="R59" s="105" t="str">
        <f aca="false">IF(P59=6,N59*O59*Q59*0.222*1,IF(P59&gt;6,"",IF(P59&lt;6,"")))</f>
        <v/>
      </c>
      <c r="S59" s="106" t="str">
        <f aca="false">IF(P59=8,N59*O59*Q59*0.395*1,IF(P59&gt;8,"",IF(P59&lt;8,"")))</f>
        <v/>
      </c>
      <c r="T59" s="106" t="str">
        <f aca="false">IF(P59=10,N59*O59*Q59*0.617*1,IF(P59&gt;10,"",IF(P59&lt;10,"")))</f>
        <v/>
      </c>
      <c r="U59" s="106" t="str">
        <f aca="false">IF(P59=12,N59*O59*Q59*0.888*1,IF(P59&gt;12,"",IF(P59&lt;12,"")))</f>
        <v/>
      </c>
      <c r="V59" s="107" t="str">
        <f aca="false">IF(P59=16,N59*O59*Q59*1.578*1,IF(P59&gt;16,"",IF(P59&lt;16,"")))</f>
        <v/>
      </c>
      <c r="W59" s="106" t="str">
        <f aca="false">IF(P59=20,N59*O59*Q59*2.466*1,IF(P59&gt;20,"",IF(P59&lt;20,"")))</f>
        <v/>
      </c>
      <c r="X59" s="106" t="str">
        <f aca="false">IF(P59=25,N59*O59*Q59*3.853*1,IF(P59&gt;25,"",IF(P59&lt;25,"")))</f>
        <v/>
      </c>
      <c r="Y59" s="108" t="str">
        <f aca="false">IF(P59=32,N59*O59*Q59*6.313*1,IF(P59&gt;32,"",IF(P59&lt;32,"")))</f>
        <v/>
      </c>
      <c r="Z59" s="109"/>
      <c r="AA59" s="110" t="str">
        <f aca="false">IF(AC59&gt;0,N59,"")</f>
        <v/>
      </c>
      <c r="AB59" s="111" t="str">
        <f aca="false">IF(AC59&gt;0,O59,"")</f>
        <v/>
      </c>
      <c r="AC59" s="112"/>
      <c r="AD59" s="112"/>
      <c r="AE59" s="113" t="str">
        <f aca="false">IF(AC59&gt;0,P59,"")</f>
        <v/>
      </c>
      <c r="AF59" s="114" t="str">
        <f aca="false">IF(AE59=6,AA59*AB59*AC59*AD59*(AE59/1000)*0.222*1,IF(AE59&gt;6,"",IF(AE59&lt;6,"")))</f>
        <v/>
      </c>
      <c r="AG59" s="107" t="str">
        <f aca="false">IF(AE59=8,AA59*AB59*AC59*AD59*(AE59/1000)*0.395*1,IF(AE59&gt;8,"",IF(AE59&lt;8,"")))</f>
        <v/>
      </c>
      <c r="AH59" s="107" t="str">
        <f aca="false">IF(AE59=10,AA59*AB59*AC59*AD59*(AE59/1000)*0.617*1,IF(AE59&gt;10,"",IF(AE59&lt;10,"")))</f>
        <v/>
      </c>
      <c r="AI59" s="107" t="str">
        <f aca="false">IF(AE59=12,AA59*AB59*AC59*AD59*(AE59/1000)*0.888*1,IF(AE59&gt;12,"",IF(AE59&lt;12,"")))</f>
        <v/>
      </c>
      <c r="AJ59" s="107" t="str">
        <f aca="false">IF(AE59=16,AA59*AB59*AC59*AD59*(AE59/1000)*1.578*1,IF(AE59&gt;16,"",IF(AE59&lt;16,"")))</f>
        <v/>
      </c>
      <c r="AK59" s="107" t="str">
        <f aca="false">IF(AE59=20,AA59*AB59*AC59*AD59*(AE59/1000)*2.466*1,IF(AE59&gt;20,"",IF(AE59&lt;20,"")))</f>
        <v/>
      </c>
      <c r="AL59" s="107" t="str">
        <f aca="false">IF(AE59=25,AA59*AB59*AC59*AD59*(AE59/1000)*3.853*1,IF(AE59&gt;25,"",IF(AE59&lt;25,"")))</f>
        <v/>
      </c>
      <c r="AM59" s="115" t="str">
        <f aca="false">IF(AE59=32,AA59*AB59*AC59*AD59*(AE59/1000)*6.313*1,IF(AE59&gt;32,"",IF(AE59&lt;32,"")))</f>
        <v/>
      </c>
      <c r="AN59" s="128"/>
      <c r="AO59" s="117" t="s">
        <v>178</v>
      </c>
      <c r="AP59" s="118" t="n">
        <f aca="false">SUM(R59:Y59)+SUM(AN59)</f>
        <v>0</v>
      </c>
      <c r="AQ59" s="118" t="n">
        <f aca="false">SUM(AF59:AM59)</f>
        <v>0</v>
      </c>
      <c r="AR59" s="118" t="n">
        <v>0.3024</v>
      </c>
      <c r="AS59" s="119" t="s">
        <v>438</v>
      </c>
      <c r="AT59" s="119" t="s">
        <v>209</v>
      </c>
    </row>
    <row r="60" customFormat="false" ht="13.5" hidden="false" customHeight="false" outlineLevel="0" collapsed="false">
      <c r="A60" s="129"/>
      <c r="B60" s="172"/>
      <c r="C60" s="110"/>
      <c r="D60" s="122"/>
      <c r="E60" s="122"/>
      <c r="F60" s="173"/>
      <c r="G60" s="123"/>
      <c r="H60" s="101"/>
      <c r="I60" s="123"/>
      <c r="J60" s="101"/>
      <c r="K60" s="124" t="s">
        <v>417</v>
      </c>
      <c r="L60" s="125"/>
      <c r="M60" s="125"/>
      <c r="N60" s="126" t="n">
        <f aca="false">$C$59</f>
        <v>1</v>
      </c>
      <c r="O60" s="126" t="n">
        <v>4</v>
      </c>
      <c r="P60" s="126" t="n">
        <v>16</v>
      </c>
      <c r="Q60" s="127" t="n">
        <f aca="false">$F$59+50*16/1000</f>
        <v>5</v>
      </c>
      <c r="R60" s="105" t="str">
        <f aca="false">IF(P60=6,N60*O60*Q60*0.222*1,IF(P60&gt;6,"",IF(P60&lt;6,"")))</f>
        <v/>
      </c>
      <c r="S60" s="106" t="str">
        <f aca="false">IF(P60=8,N60*O60*Q60*0.395*1,IF(P60&gt;8,"",IF(P60&lt;8,"")))</f>
        <v/>
      </c>
      <c r="T60" s="106" t="str">
        <f aca="false">IF(P60=10,N60*O60*Q60*0.617*1,IF(P60&gt;10,"",IF(P60&lt;10,"")))</f>
        <v/>
      </c>
      <c r="U60" s="106" t="str">
        <f aca="false">IF(P60=12,N60*O60*Q60*0.888*1,IF(P60&gt;12,"",IF(P60&lt;12,"")))</f>
        <v/>
      </c>
      <c r="V60" s="107" t="n">
        <f aca="false">IF(P60=16,N60*O60*Q60*1.578*1,IF(P60&gt;16,"",IF(P60&lt;16,"")))</f>
        <v>31.56</v>
      </c>
      <c r="W60" s="106" t="str">
        <f aca="false">IF(P60=20,N60*O60*Q60*2.466*1,IF(P60&gt;20,"",IF(P60&lt;20,"")))</f>
        <v/>
      </c>
      <c r="X60" s="106" t="str">
        <f aca="false">IF(P60=25,N60*O60*Q60*3.853*1,IF(P60&gt;25,"",IF(P60&lt;25,"")))</f>
        <v/>
      </c>
      <c r="Y60" s="108" t="str">
        <f aca="false">IF(P60=32,N60*O60*Q60*6.313*1,IF(P60&gt;32,"",IF(P60&lt;32,"")))</f>
        <v/>
      </c>
      <c r="Z60" s="109"/>
      <c r="AA60" s="110" t="str">
        <f aca="false">IF(AC60&gt;0,N60,"")</f>
        <v/>
      </c>
      <c r="AB60" s="111" t="str">
        <f aca="false">IF(AC60&gt;0,O60,"")</f>
        <v/>
      </c>
      <c r="AC60" s="112"/>
      <c r="AD60" s="112"/>
      <c r="AE60" s="113" t="str">
        <f aca="false">IF(AC60&gt;0,P60,"")</f>
        <v/>
      </c>
      <c r="AF60" s="114" t="str">
        <f aca="false">IF(AE60=6,AA60*AB60*AC60*AD60*(AE60/1000)*0.222*1,IF(AE60&gt;6,"",IF(AE60&lt;6,"")))</f>
        <v/>
      </c>
      <c r="AG60" s="107" t="str">
        <f aca="false">IF(AE60=8,AA60*AB60*AC60*AD60*(AE60/1000)*0.395*1,IF(AE60&gt;8,"",IF(AE60&lt;8,"")))</f>
        <v/>
      </c>
      <c r="AH60" s="107" t="str">
        <f aca="false">IF(AE60=10,AA60*AB60*AC60*AD60*(AE60/1000)*0.617*1,IF(AE60&gt;10,"",IF(AE60&lt;10,"")))</f>
        <v/>
      </c>
      <c r="AI60" s="107" t="str">
        <f aca="false">IF(AE60=12,AA60*AB60*AC60*AD60*(AE60/1000)*0.888*1,IF(AE60&gt;12,"",IF(AE60&lt;12,"")))</f>
        <v/>
      </c>
      <c r="AJ60" s="107" t="str">
        <f aca="false">IF(AE60=16,AA60*AB60*AC60*AD60*(AE60/1000)*1.578*1,IF(AE60&gt;16,"",IF(AE60&lt;16,"")))</f>
        <v/>
      </c>
      <c r="AK60" s="107" t="str">
        <f aca="false">IF(AE60=20,AA60*AB60*AC60*AD60*(AE60/1000)*2.466*1,IF(AE60&gt;20,"",IF(AE60&lt;20,"")))</f>
        <v/>
      </c>
      <c r="AL60" s="107" t="str">
        <f aca="false">IF(AE60=25,AA60*AB60*AC60*AD60*(AE60/1000)*3.853*1,IF(AE60&gt;25,"",IF(AE60&lt;25,"")))</f>
        <v/>
      </c>
      <c r="AM60" s="115" t="str">
        <f aca="false">IF(AE60=32,AA60*AB60*AC60*AD60*(AE60/1000)*6.313*1,IF(AE60&gt;32,"",IF(AE60&lt;32,"")))</f>
        <v/>
      </c>
      <c r="AN60" s="128"/>
      <c r="AO60" s="117" t="s">
        <v>178</v>
      </c>
      <c r="AP60" s="118" t="n">
        <f aca="false">SUM(R60:Y60)+SUM(AN60)</f>
        <v>31.56</v>
      </c>
      <c r="AQ60" s="118" t="n">
        <f aca="false">SUM(AF60:AM60)</f>
        <v>0</v>
      </c>
      <c r="AR60" s="118"/>
      <c r="AS60" s="119" t="s">
        <v>411</v>
      </c>
      <c r="AT60" s="119" t="s">
        <v>162</v>
      </c>
    </row>
    <row r="61" customFormat="false" ht="13.5" hidden="false" customHeight="false" outlineLevel="0" collapsed="false">
      <c r="A61" s="129"/>
      <c r="B61" s="172"/>
      <c r="C61" s="110"/>
      <c r="D61" s="122"/>
      <c r="E61" s="122"/>
      <c r="F61" s="173"/>
      <c r="G61" s="123"/>
      <c r="H61" s="101"/>
      <c r="I61" s="123"/>
      <c r="J61" s="101"/>
      <c r="K61" s="124" t="s">
        <v>433</v>
      </c>
      <c r="L61" s="125"/>
      <c r="M61" s="125"/>
      <c r="N61" s="126" t="n">
        <f aca="false">$C$59</f>
        <v>1</v>
      </c>
      <c r="O61" s="126" t="n">
        <v>4</v>
      </c>
      <c r="P61" s="126" t="n">
        <v>12</v>
      </c>
      <c r="Q61" s="127" t="n">
        <f aca="false">$F$59+50*12/1000</f>
        <v>4.8</v>
      </c>
      <c r="R61" s="105" t="str">
        <f aca="false">IF(P61=6,N61*O61*Q61*0.222*1,IF(P61&gt;6,"",IF(P61&lt;6,"")))</f>
        <v/>
      </c>
      <c r="S61" s="106" t="str">
        <f aca="false">IF(P61=8,N61*O61*Q61*0.395*1,IF(P61&gt;8,"",IF(P61&lt;8,"")))</f>
        <v/>
      </c>
      <c r="T61" s="106" t="str">
        <f aca="false">IF(P61=10,N61*O61*Q61*0.617*1,IF(P61&gt;10,"",IF(P61&lt;10,"")))</f>
        <v/>
      </c>
      <c r="U61" s="106" t="n">
        <f aca="false">IF(P61=12,N61*O61*Q61*0.888*1,IF(P61&gt;12,"",IF(P61&lt;12,"")))</f>
        <v>17.0496</v>
      </c>
      <c r="V61" s="107" t="str">
        <f aca="false">IF(P61=16,N61*O61*Q61*1.578*1,IF(P61&gt;16,"",IF(P61&lt;16,"")))</f>
        <v/>
      </c>
      <c r="W61" s="106" t="str">
        <f aca="false">IF(P61=20,N61*O61*Q61*2.466*1,IF(P61&gt;20,"",IF(P61&lt;20,"")))</f>
        <v/>
      </c>
      <c r="X61" s="106" t="str">
        <f aca="false">IF(P61=25,N61*O61*Q61*3.853*1,IF(P61&gt;25,"",IF(P61&lt;25,"")))</f>
        <v/>
      </c>
      <c r="Y61" s="108" t="str">
        <f aca="false">IF(P61=32,N61*O61*Q61*6.313*1,IF(P61&gt;32,"",IF(P61&lt;32,"")))</f>
        <v/>
      </c>
      <c r="Z61" s="109"/>
      <c r="AA61" s="110" t="str">
        <f aca="false">IF(AC61&gt;0,N61,"")</f>
        <v/>
      </c>
      <c r="AB61" s="111" t="str">
        <f aca="false">IF(AC61&gt;0,O61,"")</f>
        <v/>
      </c>
      <c r="AC61" s="112"/>
      <c r="AD61" s="112"/>
      <c r="AE61" s="113" t="str">
        <f aca="false">IF(AC61&gt;0,P61,"")</f>
        <v/>
      </c>
      <c r="AF61" s="114" t="str">
        <f aca="false">IF(AE61=6,AA61*AB61*AC61*AD61*(AE61/1000)*0.222*1,IF(AE61&gt;6,"",IF(AE61&lt;6,"")))</f>
        <v/>
      </c>
      <c r="AG61" s="107" t="str">
        <f aca="false">IF(AE61=8,AA61*AB61*AC61*AD61*(AE61/1000)*0.395*1,IF(AE61&gt;8,"",IF(AE61&lt;8,"")))</f>
        <v/>
      </c>
      <c r="AH61" s="107" t="str">
        <f aca="false">IF(AE61=10,AA61*AB61*AC61*AD61*(AE61/1000)*0.617*1,IF(AE61&gt;10,"",IF(AE61&lt;10,"")))</f>
        <v/>
      </c>
      <c r="AI61" s="107" t="str">
        <f aca="false">IF(AE61=12,AA61*AB61*AC61*AD61*(AE61/1000)*0.888*1,IF(AE61&gt;12,"",IF(AE61&lt;12,"")))</f>
        <v/>
      </c>
      <c r="AJ61" s="107" t="str">
        <f aca="false">IF(AE61=16,AA61*AB61*AC61*AD61*(AE61/1000)*1.578*1,IF(AE61&gt;16,"",IF(AE61&lt;16,"")))</f>
        <v/>
      </c>
      <c r="AK61" s="107" t="str">
        <f aca="false">IF(AE61=20,AA61*AB61*AC61*AD61*(AE61/1000)*2.466*1,IF(AE61&gt;20,"",IF(AE61&lt;20,"")))</f>
        <v/>
      </c>
      <c r="AL61" s="107" t="str">
        <f aca="false">IF(AE61=25,AA61*AB61*AC61*AD61*(AE61/1000)*3.853*1,IF(AE61&gt;25,"",IF(AE61&lt;25,"")))</f>
        <v/>
      </c>
      <c r="AM61" s="115" t="str">
        <f aca="false">IF(AE61=32,AA61*AB61*AC61*AD61*(AE61/1000)*6.313*1,IF(AE61&gt;32,"",IF(AE61&lt;32,"")))</f>
        <v/>
      </c>
      <c r="AN61" s="128"/>
      <c r="AO61" s="117" t="s">
        <v>178</v>
      </c>
      <c r="AP61" s="118" t="n">
        <f aca="false">SUM(R61:Y61)+SUM(AN61)</f>
        <v>17.0496</v>
      </c>
      <c r="AQ61" s="118" t="n">
        <f aca="false">SUM(AF61:AM61)</f>
        <v>0</v>
      </c>
      <c r="AR61" s="118"/>
      <c r="AS61" s="119" t="s">
        <v>411</v>
      </c>
      <c r="AT61" s="119" t="s">
        <v>162</v>
      </c>
    </row>
    <row r="62" customFormat="false" ht="13.5" hidden="false" customHeight="false" outlineLevel="0" collapsed="false">
      <c r="A62" s="129"/>
      <c r="B62" s="172"/>
      <c r="C62" s="110"/>
      <c r="D62" s="122"/>
      <c r="E62" s="122"/>
      <c r="F62" s="173"/>
      <c r="G62" s="123"/>
      <c r="H62" s="101"/>
      <c r="I62" s="123"/>
      <c r="J62" s="101"/>
      <c r="K62" s="124" t="s">
        <v>434</v>
      </c>
      <c r="L62" s="125" t="n">
        <v>0.8</v>
      </c>
      <c r="M62" s="125" t="n">
        <v>0.1</v>
      </c>
      <c r="N62" s="126" t="n">
        <f aca="false">$C$59*2*1*1</f>
        <v>2</v>
      </c>
      <c r="O62" s="126" t="n">
        <f aca="false">CEILING(L62/M62,1)+1</f>
        <v>9</v>
      </c>
      <c r="P62" s="126" t="n">
        <v>8</v>
      </c>
      <c r="Q62" s="127" t="n">
        <f aca="false">2*($D$59-2*0.035)+2*($E$59-2*0.035)+20*8/1000</f>
        <v>0.96</v>
      </c>
      <c r="R62" s="105" t="str">
        <f aca="false">IF(P62=6,N62*O62*Q62*0.222*1,IF(P62&gt;6,"",IF(P62&lt;6,"")))</f>
        <v/>
      </c>
      <c r="S62" s="106" t="n">
        <f aca="false">IF(P62=8,N62*O62*Q62*0.395*1,IF(P62&gt;8,"",IF(P62&lt;8,"")))</f>
        <v>6.8256</v>
      </c>
      <c r="T62" s="106" t="str">
        <f aca="false">IF(P62=10,N62*O62*Q62*0.617*1,IF(P62&gt;10,"",IF(P62&lt;10,"")))</f>
        <v/>
      </c>
      <c r="U62" s="106" t="str">
        <f aca="false">IF(P62=12,N62*O62*Q62*0.888*1,IF(P62&gt;12,"",IF(P62&lt;12,"")))</f>
        <v/>
      </c>
      <c r="V62" s="107" t="str">
        <f aca="false">IF(P62=16,N62*O62*Q62*1.578*1,IF(P62&gt;16,"",IF(P62&lt;16,"")))</f>
        <v/>
      </c>
      <c r="W62" s="106" t="str">
        <f aca="false">IF(P62=20,N62*O62*Q62*2.466*1,IF(P62&gt;20,"",IF(P62&lt;20,"")))</f>
        <v/>
      </c>
      <c r="X62" s="106" t="str">
        <f aca="false">IF(P62=25,N62*O62*Q62*3.853*1,IF(P62&gt;25,"",IF(P62&lt;25,"")))</f>
        <v/>
      </c>
      <c r="Y62" s="108" t="str">
        <f aca="false">IF(P62=32,N62*O62*Q62*6.313*1,IF(P62&gt;32,"",IF(P62&lt;32,"")))</f>
        <v/>
      </c>
      <c r="Z62" s="109"/>
      <c r="AA62" s="110" t="str">
        <f aca="false">IF(AC62&gt;0,N62,"")</f>
        <v/>
      </c>
      <c r="AB62" s="111" t="str">
        <f aca="false">IF(AC62&gt;0,O62,"")</f>
        <v/>
      </c>
      <c r="AC62" s="112"/>
      <c r="AD62" s="112"/>
      <c r="AE62" s="113" t="str">
        <f aca="false">IF(AC62&gt;0,P62,"")</f>
        <v/>
      </c>
      <c r="AF62" s="114" t="str">
        <f aca="false">IF(AE62=6,AA62*AB62*AC62*AD62*(AE62/1000)*0.222*1,IF(AE62&gt;6,"",IF(AE62&lt;6,"")))</f>
        <v/>
      </c>
      <c r="AG62" s="107" t="str">
        <f aca="false">IF(AE62=8,AA62*AB62*AC62*AD62*(AE62/1000)*0.395*1,IF(AE62&gt;8,"",IF(AE62&lt;8,"")))</f>
        <v/>
      </c>
      <c r="AH62" s="107" t="str">
        <f aca="false">IF(AE62=10,AA62*AB62*AC62*AD62*(AE62/1000)*0.617*1,IF(AE62&gt;10,"",IF(AE62&lt;10,"")))</f>
        <v/>
      </c>
      <c r="AI62" s="107" t="str">
        <f aca="false">IF(AE62=12,AA62*AB62*AC62*AD62*(AE62/1000)*0.888*1,IF(AE62&gt;12,"",IF(AE62&lt;12,"")))</f>
        <v/>
      </c>
      <c r="AJ62" s="107" t="str">
        <f aca="false">IF(AE62=16,AA62*AB62*AC62*AD62*(AE62/1000)*1.578*1,IF(AE62&gt;16,"",IF(AE62&lt;16,"")))</f>
        <v/>
      </c>
      <c r="AK62" s="107" t="str">
        <f aca="false">IF(AE62=20,AA62*AB62*AC62*AD62*(AE62/1000)*2.466*1,IF(AE62&gt;20,"",IF(AE62&lt;20,"")))</f>
        <v/>
      </c>
      <c r="AL62" s="107" t="str">
        <f aca="false">IF(AE62=25,AA62*AB62*AC62*AD62*(AE62/1000)*3.853*1,IF(AE62&gt;25,"",IF(AE62&lt;25,"")))</f>
        <v/>
      </c>
      <c r="AM62" s="115" t="str">
        <f aca="false">IF(AE62=32,AA62*AB62*AC62*AD62*(AE62/1000)*6.313*1,IF(AE62&gt;32,"",IF(AE62&lt;32,"")))</f>
        <v/>
      </c>
      <c r="AN62" s="128"/>
      <c r="AO62" s="117" t="s">
        <v>178</v>
      </c>
      <c r="AP62" s="118" t="n">
        <f aca="false">SUM(R62:Y62)+SUM(AN62)</f>
        <v>6.8256</v>
      </c>
      <c r="AQ62" s="118" t="n">
        <f aca="false">SUM(AF62:AM62)</f>
        <v>0</v>
      </c>
      <c r="AR62" s="118"/>
      <c r="AS62" s="119" t="s">
        <v>412</v>
      </c>
      <c r="AT62" s="119" t="s">
        <v>162</v>
      </c>
    </row>
    <row r="63" customFormat="false" ht="13.5" hidden="false" customHeight="false" outlineLevel="0" collapsed="false">
      <c r="A63" s="129"/>
      <c r="B63" s="172"/>
      <c r="C63" s="110"/>
      <c r="D63" s="122"/>
      <c r="E63" s="122"/>
      <c r="F63" s="173"/>
      <c r="G63" s="123"/>
      <c r="H63" s="101"/>
      <c r="I63" s="123"/>
      <c r="J63" s="101"/>
      <c r="K63" s="124" t="s">
        <v>407</v>
      </c>
      <c r="L63" s="125" t="n">
        <f aca="false">$F$59-2*0.8*1</f>
        <v>2.6</v>
      </c>
      <c r="M63" s="125" t="n">
        <v>0.15</v>
      </c>
      <c r="N63" s="126" t="n">
        <f aca="false">$C$59*1</f>
        <v>1</v>
      </c>
      <c r="O63" s="126" t="n">
        <f aca="false">CEILING(L63/M63,1)-1</f>
        <v>17</v>
      </c>
      <c r="P63" s="126" t="n">
        <v>8</v>
      </c>
      <c r="Q63" s="127" t="n">
        <f aca="false">2*($D$59-2*0.035)+2*($E$59-2*0.035)+20*8/1000</f>
        <v>0.96</v>
      </c>
      <c r="R63" s="105" t="str">
        <f aca="false">IF(P63=6,N63*O63*Q63*0.222*1,IF(P63&gt;6,"",IF(P63&lt;6,"")))</f>
        <v/>
      </c>
      <c r="S63" s="106" t="n">
        <f aca="false">IF(P63=8,N63*O63*Q63*0.395*1,IF(P63&gt;8,"",IF(P63&lt;8,"")))</f>
        <v>6.4464</v>
      </c>
      <c r="T63" s="106" t="str">
        <f aca="false">IF(P63=10,N63*O63*Q63*0.617*1,IF(P63&gt;10,"",IF(P63&lt;10,"")))</f>
        <v/>
      </c>
      <c r="U63" s="106" t="str">
        <f aca="false">IF(P63=12,N63*O63*Q63*0.888*1,IF(P63&gt;12,"",IF(P63&lt;12,"")))</f>
        <v/>
      </c>
      <c r="V63" s="107" t="str">
        <f aca="false">IF(P63=16,N63*O63*Q63*1.578*1,IF(P63&gt;16,"",IF(P63&lt;16,"")))</f>
        <v/>
      </c>
      <c r="W63" s="106" t="str">
        <f aca="false">IF(P63=20,N63*O63*Q63*2.466*1,IF(P63&gt;20,"",IF(P63&lt;20,"")))</f>
        <v/>
      </c>
      <c r="X63" s="106" t="str">
        <f aca="false">IF(P63=25,N63*O63*Q63*3.853*1,IF(P63&gt;25,"",IF(P63&lt;25,"")))</f>
        <v/>
      </c>
      <c r="Y63" s="108" t="str">
        <f aca="false">IF(P63=32,N63*O63*Q63*6.313*1,IF(P63&gt;32,"",IF(P63&lt;32,"")))</f>
        <v/>
      </c>
      <c r="Z63" s="109"/>
      <c r="AA63" s="110" t="str">
        <f aca="false">IF(AC63&gt;0,N63,"")</f>
        <v/>
      </c>
      <c r="AB63" s="111" t="str">
        <f aca="false">IF(AC63&gt;0,O63,"")</f>
        <v/>
      </c>
      <c r="AC63" s="112"/>
      <c r="AD63" s="112"/>
      <c r="AE63" s="113" t="str">
        <f aca="false">IF(AC63&gt;0,P63,"")</f>
        <v/>
      </c>
      <c r="AF63" s="114" t="str">
        <f aca="false">IF(AE63=6,AA63*AB63*AC63*AD63*(AE63/1000)*0.222*1,IF(AE63&gt;6,"",IF(AE63&lt;6,"")))</f>
        <v/>
      </c>
      <c r="AG63" s="107" t="str">
        <f aca="false">IF(AE63=8,AA63*AB63*AC63*AD63*(AE63/1000)*0.395*1,IF(AE63&gt;8,"",IF(AE63&lt;8,"")))</f>
        <v/>
      </c>
      <c r="AH63" s="107" t="str">
        <f aca="false">IF(AE63=10,AA63*AB63*AC63*AD63*(AE63/1000)*0.617*1,IF(AE63&gt;10,"",IF(AE63&lt;10,"")))</f>
        <v/>
      </c>
      <c r="AI63" s="107" t="str">
        <f aca="false">IF(AE63=12,AA63*AB63*AC63*AD63*(AE63/1000)*0.888*1,IF(AE63&gt;12,"",IF(AE63&lt;12,"")))</f>
        <v/>
      </c>
      <c r="AJ63" s="107" t="str">
        <f aca="false">IF(AE63=16,AA63*AB63*AC63*AD63*(AE63/1000)*1.578*1,IF(AE63&gt;16,"",IF(AE63&lt;16,"")))</f>
        <v/>
      </c>
      <c r="AK63" s="107" t="str">
        <f aca="false">IF(AE63=20,AA63*AB63*AC63*AD63*(AE63/1000)*2.466*1,IF(AE63&gt;20,"",IF(AE63&lt;20,"")))</f>
        <v/>
      </c>
      <c r="AL63" s="107" t="str">
        <f aca="false">IF(AE63=25,AA63*AB63*AC63*AD63*(AE63/1000)*3.853*1,IF(AE63&gt;25,"",IF(AE63&lt;25,"")))</f>
        <v/>
      </c>
      <c r="AM63" s="115" t="str">
        <f aca="false">IF(AE63=32,AA63*AB63*AC63*AD63*(AE63/1000)*6.313*1,IF(AE63&gt;32,"",IF(AE63&lt;32,"")))</f>
        <v/>
      </c>
      <c r="AN63" s="128"/>
      <c r="AO63" s="117" t="s">
        <v>178</v>
      </c>
      <c r="AP63" s="118" t="n">
        <f aca="false">SUM(R63:Y63)+SUM(AN63)</f>
        <v>6.4464</v>
      </c>
      <c r="AQ63" s="118" t="n">
        <f aca="false">SUM(AF63:AM63)</f>
        <v>0</v>
      </c>
      <c r="AR63" s="118"/>
      <c r="AS63" s="119" t="s">
        <v>408</v>
      </c>
      <c r="AT63" s="119" t="s">
        <v>162</v>
      </c>
    </row>
    <row r="64" customFormat="false" ht="13.5" hidden="false" customHeight="false" outlineLevel="0" collapsed="false">
      <c r="A64" s="129"/>
      <c r="B64" s="172"/>
      <c r="C64" s="110"/>
      <c r="D64" s="122"/>
      <c r="E64" s="122"/>
      <c r="F64" s="173"/>
      <c r="G64" s="123"/>
      <c r="H64" s="101"/>
      <c r="I64" s="123"/>
      <c r="J64" s="101"/>
      <c r="K64" s="124" t="s">
        <v>435</v>
      </c>
      <c r="L64" s="125" t="n">
        <v>0.8</v>
      </c>
      <c r="M64" s="125" t="n">
        <v>0.1</v>
      </c>
      <c r="N64" s="126" t="n">
        <f aca="false">$C$59*2*1*1</f>
        <v>2</v>
      </c>
      <c r="O64" s="126" t="n">
        <f aca="false">CEILING(L64/M64,1)+1</f>
        <v>9</v>
      </c>
      <c r="P64" s="126" t="n">
        <v>8</v>
      </c>
      <c r="Q64" s="127" t="n">
        <f aca="false">4*SQRT((($D$59-2*0.035)/2)^2+(($E$59-2*0.035)/2)^2)+20*8/1000</f>
        <v>0.732013985843004</v>
      </c>
      <c r="R64" s="105" t="str">
        <f aca="false">IF(P64=6,N64*O64*Q64*0.222*1,IF(P64&gt;6,"",IF(P64&lt;6,"")))</f>
        <v/>
      </c>
      <c r="S64" s="106" t="n">
        <f aca="false">IF(P64=8,N64*O64*Q64*0.395*1,IF(P64&gt;8,"",IF(P64&lt;8,"")))</f>
        <v>5.20461943934376</v>
      </c>
      <c r="T64" s="106" t="str">
        <f aca="false">IF(P64=10,N64*O64*Q64*0.617*1,IF(P64&gt;10,"",IF(P64&lt;10,"")))</f>
        <v/>
      </c>
      <c r="U64" s="106" t="str">
        <f aca="false">IF(P64=12,N64*O64*Q64*0.888*1,IF(P64&gt;12,"",IF(P64&lt;12,"")))</f>
        <v/>
      </c>
      <c r="V64" s="107" t="str">
        <f aca="false">IF(P64=16,N64*O64*Q64*1.578*1,IF(P64&gt;16,"",IF(P64&lt;16,"")))</f>
        <v/>
      </c>
      <c r="W64" s="106" t="str">
        <f aca="false">IF(P64=20,N64*O64*Q64*2.466*1,IF(P64&gt;20,"",IF(P64&lt;20,"")))</f>
        <v/>
      </c>
      <c r="X64" s="106" t="str">
        <f aca="false">IF(P64=25,N64*O64*Q64*3.853*1,IF(P64&gt;25,"",IF(P64&lt;25,"")))</f>
        <v/>
      </c>
      <c r="Y64" s="108" t="str">
        <f aca="false">IF(P64=32,N64*O64*Q64*6.313*1,IF(P64&gt;32,"",IF(P64&lt;32,"")))</f>
        <v/>
      </c>
      <c r="Z64" s="109"/>
      <c r="AA64" s="110" t="str">
        <f aca="false">IF(AC64&gt;0,N64,"")</f>
        <v/>
      </c>
      <c r="AB64" s="111" t="str">
        <f aca="false">IF(AC64&gt;0,O64,"")</f>
        <v/>
      </c>
      <c r="AC64" s="112"/>
      <c r="AD64" s="112"/>
      <c r="AE64" s="113" t="str">
        <f aca="false">IF(AC64&gt;0,P64,"")</f>
        <v/>
      </c>
      <c r="AF64" s="114" t="str">
        <f aca="false">IF(AE64=6,AA64*AB64*AC64*AD64*(AE64/1000)*0.222*1,IF(AE64&gt;6,"",IF(AE64&lt;6,"")))</f>
        <v/>
      </c>
      <c r="AG64" s="107" t="str">
        <f aca="false">IF(AE64=8,AA64*AB64*AC64*AD64*(AE64/1000)*0.395*1,IF(AE64&gt;8,"",IF(AE64&lt;8,"")))</f>
        <v/>
      </c>
      <c r="AH64" s="107" t="str">
        <f aca="false">IF(AE64=10,AA64*AB64*AC64*AD64*(AE64/1000)*0.617*1,IF(AE64&gt;10,"",IF(AE64&lt;10,"")))</f>
        <v/>
      </c>
      <c r="AI64" s="107" t="str">
        <f aca="false">IF(AE64=12,AA64*AB64*AC64*AD64*(AE64/1000)*0.888*1,IF(AE64&gt;12,"",IF(AE64&lt;12,"")))</f>
        <v/>
      </c>
      <c r="AJ64" s="107" t="str">
        <f aca="false">IF(AE64=16,AA64*AB64*AC64*AD64*(AE64/1000)*1.578*1,IF(AE64&gt;16,"",IF(AE64&lt;16,"")))</f>
        <v/>
      </c>
      <c r="AK64" s="107" t="str">
        <f aca="false">IF(AE64=20,AA64*AB64*AC64*AD64*(AE64/1000)*2.466*1,IF(AE64&gt;20,"",IF(AE64&lt;20,"")))</f>
        <v/>
      </c>
      <c r="AL64" s="107" t="str">
        <f aca="false">IF(AE64=25,AA64*AB64*AC64*AD64*(AE64/1000)*3.853*1,IF(AE64&gt;25,"",IF(AE64&lt;25,"")))</f>
        <v/>
      </c>
      <c r="AM64" s="115" t="str">
        <f aca="false">IF(AE64=32,AA64*AB64*AC64*AD64*(AE64/1000)*6.313*1,IF(AE64&gt;32,"",IF(AE64&lt;32,"")))</f>
        <v/>
      </c>
      <c r="AN64" s="128"/>
      <c r="AO64" s="117" t="s">
        <v>178</v>
      </c>
      <c r="AP64" s="118" t="n">
        <f aca="false">SUM(R64:Y64)+SUM(AN64)</f>
        <v>5.20461943934376</v>
      </c>
      <c r="AQ64" s="118" t="n">
        <f aca="false">SUM(AF64:AM64)</f>
        <v>0</v>
      </c>
      <c r="AR64" s="118"/>
      <c r="AS64" s="119" t="s">
        <v>412</v>
      </c>
      <c r="AT64" s="119" t="s">
        <v>162</v>
      </c>
    </row>
    <row r="65" s="174" customFormat="true" ht="13.5" hidden="false" customHeight="false" outlineLevel="0" collapsed="false">
      <c r="A65" s="129"/>
      <c r="B65" s="172"/>
      <c r="C65" s="110"/>
      <c r="D65" s="122"/>
      <c r="E65" s="122"/>
      <c r="F65" s="173"/>
      <c r="G65" s="123"/>
      <c r="H65" s="101"/>
      <c r="I65" s="123"/>
      <c r="J65" s="101"/>
      <c r="K65" s="124" t="s">
        <v>436</v>
      </c>
      <c r="L65" s="125" t="n">
        <f aca="false">$F$59-2*0.8*1</f>
        <v>2.6</v>
      </c>
      <c r="M65" s="125" t="n">
        <v>0.15</v>
      </c>
      <c r="N65" s="126" t="n">
        <f aca="false">$C$59*1</f>
        <v>1</v>
      </c>
      <c r="O65" s="126" t="n">
        <f aca="false">CEILING(L65/M65,1)-1</f>
        <v>17</v>
      </c>
      <c r="P65" s="126" t="n">
        <v>8</v>
      </c>
      <c r="Q65" s="127" t="n">
        <f aca="false">4*SQRT((($D$59-2*0.035)/2)^2+(($E$59-2*0.035)/2)^2)+20*8/1000</f>
        <v>0.732013985843004</v>
      </c>
      <c r="R65" s="105" t="str">
        <f aca="false">IF(P65=6,N65*O65*Q65*0.222*1,IF(P65&gt;6,"",IF(P65&lt;6,"")))</f>
        <v/>
      </c>
      <c r="S65" s="106" t="n">
        <f aca="false">IF(P65=8,N65*O65*Q65*0.395*1,IF(P65&gt;8,"",IF(P65&lt;8,"")))</f>
        <v>4.91547391493577</v>
      </c>
      <c r="T65" s="106" t="str">
        <f aca="false">IF(P65=10,N65*O65*Q65*0.617*1,IF(P65&gt;10,"",IF(P65&lt;10,"")))</f>
        <v/>
      </c>
      <c r="U65" s="106" t="str">
        <f aca="false">IF(P65=12,N65*O65*Q65*0.888*1,IF(P65&gt;12,"",IF(P65&lt;12,"")))</f>
        <v/>
      </c>
      <c r="V65" s="107" t="str">
        <f aca="false">IF(P65=16,N65*O65*Q65*1.578*1,IF(P65&gt;16,"",IF(P65&lt;16,"")))</f>
        <v/>
      </c>
      <c r="W65" s="106" t="str">
        <f aca="false">IF(P65=20,N65*O65*Q65*2.466*1,IF(P65&gt;20,"",IF(P65&lt;20,"")))</f>
        <v/>
      </c>
      <c r="X65" s="106" t="str">
        <f aca="false">IF(P65=25,N65*O65*Q65*3.853*1,IF(P65&gt;25,"",IF(P65&lt;25,"")))</f>
        <v/>
      </c>
      <c r="Y65" s="108" t="str">
        <f aca="false">IF(P65=32,N65*O65*Q65*6.313*1,IF(P65&gt;32,"",IF(P65&lt;32,"")))</f>
        <v/>
      </c>
      <c r="Z65" s="109"/>
      <c r="AA65" s="110" t="str">
        <f aca="false">IF(AC65&gt;0,N65,"")</f>
        <v/>
      </c>
      <c r="AB65" s="111" t="str">
        <f aca="false">IF(AC65&gt;0,O65,"")</f>
        <v/>
      </c>
      <c r="AC65" s="112"/>
      <c r="AD65" s="112"/>
      <c r="AE65" s="113" t="str">
        <f aca="false">IF(AC65&gt;0,P65,"")</f>
        <v/>
      </c>
      <c r="AF65" s="114" t="str">
        <f aca="false">IF(AE65=6,AA65*AB65*AC65*AD65*(AE65/1000)*0.222*1,IF(AE65&gt;6,"",IF(AE65&lt;6,"")))</f>
        <v/>
      </c>
      <c r="AG65" s="107" t="str">
        <f aca="false">IF(AE65=8,AA65*AB65*AC65*AD65*(AE65/1000)*0.395*1,IF(AE65&gt;8,"",IF(AE65&lt;8,"")))</f>
        <v/>
      </c>
      <c r="AH65" s="107" t="str">
        <f aca="false">IF(AE65=10,AA65*AB65*AC65*AD65*(AE65/1000)*0.617*1,IF(AE65&gt;10,"",IF(AE65&lt;10,"")))</f>
        <v/>
      </c>
      <c r="AI65" s="107" t="str">
        <f aca="false">IF(AE65=12,AA65*AB65*AC65*AD65*(AE65/1000)*0.888*1,IF(AE65&gt;12,"",IF(AE65&lt;12,"")))</f>
        <v/>
      </c>
      <c r="AJ65" s="107" t="str">
        <f aca="false">IF(AE65=16,AA65*AB65*AC65*AD65*(AE65/1000)*1.578*1,IF(AE65&gt;16,"",IF(AE65&lt;16,"")))</f>
        <v/>
      </c>
      <c r="AK65" s="107" t="str">
        <f aca="false">IF(AE65=20,AA65*AB65*AC65*AD65*(AE65/1000)*2.466*1,IF(AE65&gt;20,"",IF(AE65&lt;20,"")))</f>
        <v/>
      </c>
      <c r="AL65" s="107" t="str">
        <f aca="false">IF(AE65=25,AA65*AB65*AC65*AD65*(AE65/1000)*3.853*1,IF(AE65&gt;25,"",IF(AE65&lt;25,"")))</f>
        <v/>
      </c>
      <c r="AM65" s="115" t="str">
        <f aca="false">IF(AE65=32,AA65*AB65*AC65*AD65*(AE65/1000)*6.313*1,IF(AE65&gt;32,"",IF(AE65&lt;32,"")))</f>
        <v/>
      </c>
      <c r="AN65" s="128"/>
      <c r="AO65" s="117" t="s">
        <v>178</v>
      </c>
      <c r="AP65" s="118" t="n">
        <f aca="false">SUM(R65:Y65)+SUM(AN65)</f>
        <v>4.91547391493577</v>
      </c>
      <c r="AQ65" s="118" t="n">
        <f aca="false">SUM(AF65:AM65)</f>
        <v>0</v>
      </c>
      <c r="AR65" s="118"/>
      <c r="AS65" s="119" t="s">
        <v>408</v>
      </c>
      <c r="AT65" s="119" t="s">
        <v>162</v>
      </c>
    </row>
    <row r="66" customFormat="false" ht="13.5" hidden="false" customHeight="false" outlineLevel="0" collapsed="false">
      <c r="A66" s="129"/>
      <c r="B66" s="130"/>
      <c r="C66" s="110"/>
      <c r="D66" s="122"/>
      <c r="E66" s="122"/>
      <c r="F66" s="122"/>
      <c r="G66" s="123"/>
      <c r="H66" s="101"/>
      <c r="I66" s="123"/>
      <c r="J66" s="101"/>
      <c r="K66" s="124"/>
      <c r="L66" s="125"/>
      <c r="M66" s="125"/>
      <c r="N66" s="126"/>
      <c r="O66" s="126"/>
      <c r="P66" s="126"/>
      <c r="Q66" s="127"/>
      <c r="R66" s="105"/>
      <c r="S66" s="106"/>
      <c r="T66" s="106"/>
      <c r="U66" s="106"/>
      <c r="V66" s="107"/>
      <c r="W66" s="106"/>
      <c r="X66" s="106"/>
      <c r="Y66" s="108"/>
      <c r="Z66" s="109"/>
      <c r="AA66" s="110"/>
      <c r="AB66" s="111"/>
      <c r="AC66" s="112"/>
      <c r="AD66" s="112"/>
      <c r="AE66" s="113"/>
      <c r="AF66" s="114"/>
      <c r="AG66" s="107"/>
      <c r="AH66" s="107"/>
      <c r="AI66" s="107"/>
      <c r="AJ66" s="107"/>
      <c r="AK66" s="107"/>
      <c r="AL66" s="107"/>
      <c r="AM66" s="115"/>
      <c r="AO66" s="117"/>
      <c r="AP66" s="118"/>
      <c r="AQ66" s="118"/>
      <c r="AR66" s="118"/>
      <c r="AS66" s="119"/>
      <c r="AT66" s="119"/>
    </row>
    <row r="67" s="116" customFormat="true" ht="13.5" hidden="false" customHeight="false" outlineLevel="0" collapsed="false">
      <c r="A67" s="120"/>
      <c r="B67" s="121" t="s">
        <v>439</v>
      </c>
      <c r="C67" s="110" t="n">
        <v>4</v>
      </c>
      <c r="D67" s="122" t="n">
        <v>0.24</v>
      </c>
      <c r="E67" s="122" t="n">
        <v>0.5</v>
      </c>
      <c r="F67" s="122" t="n">
        <v>4.53</v>
      </c>
      <c r="G67" s="123" t="n">
        <f aca="false">C67*D67*E67*F67</f>
        <v>2.1744</v>
      </c>
      <c r="H67" s="101"/>
      <c r="I67" s="123" t="n">
        <f aca="false">2*(D67+E67)*F67*C67</f>
        <v>26.8176</v>
      </c>
      <c r="J67" s="101"/>
      <c r="K67" s="124"/>
      <c r="L67" s="125"/>
      <c r="M67" s="125"/>
      <c r="N67" s="126"/>
      <c r="O67" s="126"/>
      <c r="P67" s="126"/>
      <c r="Q67" s="127"/>
      <c r="R67" s="105" t="str">
        <f aca="false">IF(P67=6,N67*O67*Q67*0.222*1,IF(P67&gt;6,"",IF(P67&lt;6,"")))</f>
        <v/>
      </c>
      <c r="S67" s="106" t="str">
        <f aca="false">IF(P67=8,N67*O67*Q67*0.395*1,IF(P67&gt;8,"",IF(P67&lt;8,"")))</f>
        <v/>
      </c>
      <c r="T67" s="106" t="str">
        <f aca="false">IF(P67=10,N67*O67*Q67*0.617*1,IF(P67&gt;10,"",IF(P67&lt;10,"")))</f>
        <v/>
      </c>
      <c r="U67" s="106" t="str">
        <f aca="false">IF(P67=12,N67*O67*Q67*0.888*1,IF(P67&gt;12,"",IF(P67&lt;12,"")))</f>
        <v/>
      </c>
      <c r="V67" s="107" t="str">
        <f aca="false">IF(P67=16,N67*O67*Q67*1.578*1,IF(P67&gt;16,"",IF(P67&lt;16,"")))</f>
        <v/>
      </c>
      <c r="W67" s="106" t="str">
        <f aca="false">IF(P67=20,N67*O67*Q67*2.466*1,IF(P67&gt;20,"",IF(P67&lt;20,"")))</f>
        <v/>
      </c>
      <c r="X67" s="106" t="str">
        <f aca="false">IF(P67=25,N67*O67*Q67*3.853*1,IF(P67&gt;25,"",IF(P67&lt;25,"")))</f>
        <v/>
      </c>
      <c r="Y67" s="108" t="str">
        <f aca="false">IF(P67=32,N67*O67*Q67*6.313*1,IF(P67&gt;32,"",IF(P67&lt;32,"")))</f>
        <v/>
      </c>
      <c r="Z67" s="109"/>
      <c r="AA67" s="110" t="str">
        <f aca="false">IF(AC67&gt;0,N67,"")</f>
        <v/>
      </c>
      <c r="AB67" s="111" t="str">
        <f aca="false">IF(AC67&gt;0,O67,"")</f>
        <v/>
      </c>
      <c r="AC67" s="112"/>
      <c r="AD67" s="112"/>
      <c r="AE67" s="113" t="str">
        <f aca="false">IF(AC67&gt;0,P67,"")</f>
        <v/>
      </c>
      <c r="AF67" s="114" t="str">
        <f aca="false">IF(AE67=6,AA67*AB67*AC67*AD67*(AE67/1000)*0.222*1,IF(AE67&gt;6,"",IF(AE67&lt;6,"")))</f>
        <v/>
      </c>
      <c r="AG67" s="107" t="str">
        <f aca="false">IF(AE67=8,AA67*AB67*AC67*AD67*(AE67/1000)*0.395*1,IF(AE67&gt;8,"",IF(AE67&lt;8,"")))</f>
        <v/>
      </c>
      <c r="AH67" s="107" t="str">
        <f aca="false">IF(AE67=10,AA67*AB67*AC67*AD67*(AE67/1000)*0.617*1,IF(AE67&gt;10,"",IF(AE67&lt;10,"")))</f>
        <v/>
      </c>
      <c r="AI67" s="107" t="str">
        <f aca="false">IF(AE67=12,AA67*AB67*AC67*AD67*(AE67/1000)*0.888*1,IF(AE67&gt;12,"",IF(AE67&lt;12,"")))</f>
        <v/>
      </c>
      <c r="AJ67" s="107" t="str">
        <f aca="false">IF(AE67=16,AA67*AB67*AC67*AD67*(AE67/1000)*1.578*1,IF(AE67&gt;16,"",IF(AE67&lt;16,"")))</f>
        <v/>
      </c>
      <c r="AK67" s="107" t="str">
        <f aca="false">IF(AE67=20,AA67*AB67*AC67*AD67*(AE67/1000)*2.466*1,IF(AE67&gt;20,"",IF(AE67&lt;20,"")))</f>
        <v/>
      </c>
      <c r="AL67" s="107" t="str">
        <f aca="false">IF(AE67=25,AA67*AB67*AC67*AD67*(AE67/1000)*3.853*1,IF(AE67&gt;25,"",IF(AE67&lt;25,"")))</f>
        <v/>
      </c>
      <c r="AM67" s="115" t="str">
        <f aca="false">IF(AE67=32,AA67*AB67*AC67*AD67*(AE67/1000)*6.313*1,IF(AE67&gt;32,"",IF(AE67&lt;32,"")))</f>
        <v/>
      </c>
      <c r="AN67" s="128"/>
      <c r="AO67" s="117" t="s">
        <v>178</v>
      </c>
      <c r="AP67" s="118" t="n">
        <f aca="false">SUM(R67:Y67)+SUM(AN67)</f>
        <v>0</v>
      </c>
      <c r="AQ67" s="118" t="n">
        <f aca="false">SUM(AF67:AM67)</f>
        <v>0</v>
      </c>
      <c r="AR67" s="118" t="n">
        <v>2.1744</v>
      </c>
      <c r="AS67" s="119" t="s">
        <v>440</v>
      </c>
      <c r="AT67" s="119" t="s">
        <v>209</v>
      </c>
    </row>
    <row r="68" customFormat="false" ht="13.5" hidden="false" customHeight="false" outlineLevel="0" collapsed="false">
      <c r="A68" s="129"/>
      <c r="B68" s="172"/>
      <c r="C68" s="110"/>
      <c r="D68" s="122"/>
      <c r="E68" s="122"/>
      <c r="F68" s="173"/>
      <c r="G68" s="123"/>
      <c r="H68" s="101"/>
      <c r="I68" s="123"/>
      <c r="J68" s="101"/>
      <c r="K68" s="124" t="s">
        <v>403</v>
      </c>
      <c r="L68" s="125"/>
      <c r="M68" s="125"/>
      <c r="N68" s="126" t="n">
        <f aca="false">$C$67</f>
        <v>4</v>
      </c>
      <c r="O68" s="126" t="n">
        <v>4</v>
      </c>
      <c r="P68" s="126" t="n">
        <v>20</v>
      </c>
      <c r="Q68" s="127" t="n">
        <f aca="false">$F$67+50*20/1000</f>
        <v>5.53</v>
      </c>
      <c r="R68" s="105" t="str">
        <f aca="false">IF(P68=6,N68*O68*Q68*0.222*1,IF(P68&gt;6,"",IF(P68&lt;6,"")))</f>
        <v/>
      </c>
      <c r="S68" s="106" t="str">
        <f aca="false">IF(P68=8,N68*O68*Q68*0.395*1,IF(P68&gt;8,"",IF(P68&lt;8,"")))</f>
        <v/>
      </c>
      <c r="T68" s="106" t="str">
        <f aca="false">IF(P68=10,N68*O68*Q68*0.617*1,IF(P68&gt;10,"",IF(P68&lt;10,"")))</f>
        <v/>
      </c>
      <c r="U68" s="106" t="str">
        <f aca="false">IF(P68=12,N68*O68*Q68*0.888*1,IF(P68&gt;12,"",IF(P68&lt;12,"")))</f>
        <v/>
      </c>
      <c r="V68" s="107" t="str">
        <f aca="false">IF(P68=16,N68*O68*Q68*1.578*1,IF(P68&gt;16,"",IF(P68&lt;16,"")))</f>
        <v/>
      </c>
      <c r="W68" s="106" t="n">
        <f aca="false">IF(P68=20,N68*O68*Q68*2.466*1,IF(P68&gt;20,"",IF(P68&lt;20,"")))</f>
        <v>218.19168</v>
      </c>
      <c r="X68" s="106" t="str">
        <f aca="false">IF(P68=25,N68*O68*Q68*3.853*1,IF(P68&gt;25,"",IF(P68&lt;25,"")))</f>
        <v/>
      </c>
      <c r="Y68" s="108" t="str">
        <f aca="false">IF(P68=32,N68*O68*Q68*6.313*1,IF(P68&gt;32,"",IF(P68&lt;32,"")))</f>
        <v/>
      </c>
      <c r="Z68" s="109"/>
      <c r="AA68" s="110" t="str">
        <f aca="false">IF(AC68&gt;0,N68,"")</f>
        <v/>
      </c>
      <c r="AB68" s="111" t="str">
        <f aca="false">IF(AC68&gt;0,O68,"")</f>
        <v/>
      </c>
      <c r="AC68" s="112"/>
      <c r="AD68" s="112"/>
      <c r="AE68" s="113" t="str">
        <f aca="false">IF(AC68&gt;0,P68,"")</f>
        <v/>
      </c>
      <c r="AF68" s="114" t="str">
        <f aca="false">IF(AE68=6,AA68*AB68*AC68*AD68*(AE68/1000)*0.222*1,IF(AE68&gt;6,"",IF(AE68&lt;6,"")))</f>
        <v/>
      </c>
      <c r="AG68" s="107" t="str">
        <f aca="false">IF(AE68=8,AA68*AB68*AC68*AD68*(AE68/1000)*0.395*1,IF(AE68&gt;8,"",IF(AE68&lt;8,"")))</f>
        <v/>
      </c>
      <c r="AH68" s="107" t="str">
        <f aca="false">IF(AE68=10,AA68*AB68*AC68*AD68*(AE68/1000)*0.617*1,IF(AE68&gt;10,"",IF(AE68&lt;10,"")))</f>
        <v/>
      </c>
      <c r="AI68" s="107" t="str">
        <f aca="false">IF(AE68=12,AA68*AB68*AC68*AD68*(AE68/1000)*0.888*1,IF(AE68&gt;12,"",IF(AE68&lt;12,"")))</f>
        <v/>
      </c>
      <c r="AJ68" s="107" t="str">
        <f aca="false">IF(AE68=16,AA68*AB68*AC68*AD68*(AE68/1000)*1.578*1,IF(AE68&gt;16,"",IF(AE68&lt;16,"")))</f>
        <v/>
      </c>
      <c r="AK68" s="107" t="str">
        <f aca="false">IF(AE68=20,AA68*AB68*AC68*AD68*(AE68/1000)*2.466*1,IF(AE68&gt;20,"",IF(AE68&lt;20,"")))</f>
        <v/>
      </c>
      <c r="AL68" s="107" t="str">
        <f aca="false">IF(AE68=25,AA68*AB68*AC68*AD68*(AE68/1000)*3.853*1,IF(AE68&gt;25,"",IF(AE68&lt;25,"")))</f>
        <v/>
      </c>
      <c r="AM68" s="115" t="str">
        <f aca="false">IF(AE68=32,AA68*AB68*AC68*AD68*(AE68/1000)*6.313*1,IF(AE68&gt;32,"",IF(AE68&lt;32,"")))</f>
        <v/>
      </c>
      <c r="AN68" s="128"/>
      <c r="AO68" s="117" t="s">
        <v>178</v>
      </c>
      <c r="AP68" s="118" t="n">
        <f aca="false">SUM(R68:Y68)+SUM(AN68)</f>
        <v>218.19168</v>
      </c>
      <c r="AQ68" s="118" t="n">
        <f aca="false">SUM(AF68:AM68)</f>
        <v>0</v>
      </c>
      <c r="AR68" s="118"/>
      <c r="AS68" s="119" t="s">
        <v>411</v>
      </c>
      <c r="AT68" s="119" t="s">
        <v>162</v>
      </c>
    </row>
    <row r="69" customFormat="false" ht="13.5" hidden="false" customHeight="false" outlineLevel="0" collapsed="false">
      <c r="A69" s="129"/>
      <c r="B69" s="172"/>
      <c r="C69" s="110"/>
      <c r="D69" s="122"/>
      <c r="E69" s="122"/>
      <c r="F69" s="173"/>
      <c r="G69" s="123"/>
      <c r="H69" s="101"/>
      <c r="I69" s="123"/>
      <c r="J69" s="101"/>
      <c r="K69" s="124" t="s">
        <v>441</v>
      </c>
      <c r="L69" s="125"/>
      <c r="M69" s="125"/>
      <c r="N69" s="126" t="n">
        <f aca="false">$C$67</f>
        <v>4</v>
      </c>
      <c r="O69" s="126" t="n">
        <v>6</v>
      </c>
      <c r="P69" s="126" t="n">
        <v>16</v>
      </c>
      <c r="Q69" s="127" t="n">
        <f aca="false">$F$67+50*16/1000</f>
        <v>5.33</v>
      </c>
      <c r="R69" s="105" t="str">
        <f aca="false">IF(P69=6,N69*O69*Q69*0.222*1,IF(P69&gt;6,"",IF(P69&lt;6,"")))</f>
        <v/>
      </c>
      <c r="S69" s="106" t="str">
        <f aca="false">IF(P69=8,N69*O69*Q69*0.395*1,IF(P69&gt;8,"",IF(P69&lt;8,"")))</f>
        <v/>
      </c>
      <c r="T69" s="106" t="str">
        <f aca="false">IF(P69=10,N69*O69*Q69*0.617*1,IF(P69&gt;10,"",IF(P69&lt;10,"")))</f>
        <v/>
      </c>
      <c r="U69" s="106" t="str">
        <f aca="false">IF(P69=12,N69*O69*Q69*0.888*1,IF(P69&gt;12,"",IF(P69&lt;12,"")))</f>
        <v/>
      </c>
      <c r="V69" s="107" t="n">
        <f aca="false">IF(P69=16,N69*O69*Q69*1.578*1,IF(P69&gt;16,"",IF(P69&lt;16,"")))</f>
        <v>201.85776</v>
      </c>
      <c r="W69" s="106" t="str">
        <f aca="false">IF(P69=20,N69*O69*Q69*2.466*1,IF(P69&gt;20,"",IF(P69&lt;20,"")))</f>
        <v/>
      </c>
      <c r="X69" s="106" t="str">
        <f aca="false">IF(P69=25,N69*O69*Q69*3.853*1,IF(P69&gt;25,"",IF(P69&lt;25,"")))</f>
        <v/>
      </c>
      <c r="Y69" s="108" t="str">
        <f aca="false">IF(P69=32,N69*O69*Q69*6.313*1,IF(P69&gt;32,"",IF(P69&lt;32,"")))</f>
        <v/>
      </c>
      <c r="Z69" s="109"/>
      <c r="AA69" s="110" t="str">
        <f aca="false">IF(AC69&gt;0,N69,"")</f>
        <v/>
      </c>
      <c r="AB69" s="111" t="str">
        <f aca="false">IF(AC69&gt;0,O69,"")</f>
        <v/>
      </c>
      <c r="AC69" s="112"/>
      <c r="AD69" s="112"/>
      <c r="AE69" s="113" t="str">
        <f aca="false">IF(AC69&gt;0,P69,"")</f>
        <v/>
      </c>
      <c r="AF69" s="114" t="str">
        <f aca="false">IF(AE69=6,AA69*AB69*AC69*AD69*(AE69/1000)*0.222*1,IF(AE69&gt;6,"",IF(AE69&lt;6,"")))</f>
        <v/>
      </c>
      <c r="AG69" s="107" t="str">
        <f aca="false">IF(AE69=8,AA69*AB69*AC69*AD69*(AE69/1000)*0.395*1,IF(AE69&gt;8,"",IF(AE69&lt;8,"")))</f>
        <v/>
      </c>
      <c r="AH69" s="107" t="str">
        <f aca="false">IF(AE69=10,AA69*AB69*AC69*AD69*(AE69/1000)*0.617*1,IF(AE69&gt;10,"",IF(AE69&lt;10,"")))</f>
        <v/>
      </c>
      <c r="AI69" s="107" t="str">
        <f aca="false">IF(AE69=12,AA69*AB69*AC69*AD69*(AE69/1000)*0.888*1,IF(AE69&gt;12,"",IF(AE69&lt;12,"")))</f>
        <v/>
      </c>
      <c r="AJ69" s="107" t="str">
        <f aca="false">IF(AE69=16,AA69*AB69*AC69*AD69*(AE69/1000)*1.578*1,IF(AE69&gt;16,"",IF(AE69&lt;16,"")))</f>
        <v/>
      </c>
      <c r="AK69" s="107" t="str">
        <f aca="false">IF(AE69=20,AA69*AB69*AC69*AD69*(AE69/1000)*2.466*1,IF(AE69&gt;20,"",IF(AE69&lt;20,"")))</f>
        <v/>
      </c>
      <c r="AL69" s="107" t="str">
        <f aca="false">IF(AE69=25,AA69*AB69*AC69*AD69*(AE69/1000)*3.853*1,IF(AE69&gt;25,"",IF(AE69&lt;25,"")))</f>
        <v/>
      </c>
      <c r="AM69" s="115" t="str">
        <f aca="false">IF(AE69=32,AA69*AB69*AC69*AD69*(AE69/1000)*6.313*1,IF(AE69&gt;32,"",IF(AE69&lt;32,"")))</f>
        <v/>
      </c>
      <c r="AN69" s="128"/>
      <c r="AO69" s="117" t="s">
        <v>178</v>
      </c>
      <c r="AP69" s="118" t="n">
        <f aca="false">SUM(R69:Y69)+SUM(AN69)</f>
        <v>201.85776</v>
      </c>
      <c r="AQ69" s="118" t="n">
        <f aca="false">SUM(AF69:AM69)</f>
        <v>0</v>
      </c>
      <c r="AR69" s="118"/>
      <c r="AS69" s="119" t="s">
        <v>411</v>
      </c>
      <c r="AT69" s="119" t="s">
        <v>162</v>
      </c>
    </row>
    <row r="70" customFormat="false" ht="13.5" hidden="false" customHeight="false" outlineLevel="0" collapsed="false">
      <c r="A70" s="129"/>
      <c r="B70" s="172"/>
      <c r="C70" s="110"/>
      <c r="D70" s="122"/>
      <c r="E70" s="122"/>
      <c r="F70" s="173"/>
      <c r="G70" s="123"/>
      <c r="H70" s="101"/>
      <c r="I70" s="123"/>
      <c r="J70" s="101"/>
      <c r="K70" s="124" t="s">
        <v>442</v>
      </c>
      <c r="L70" s="125" t="n">
        <v>0.8</v>
      </c>
      <c r="M70" s="125" t="n">
        <v>0.1</v>
      </c>
      <c r="N70" s="126" t="n">
        <f aca="false">$C$67*2*1*2</f>
        <v>16</v>
      </c>
      <c r="O70" s="126" t="n">
        <f aca="false">CEILING(L70/M70,1)+1</f>
        <v>9</v>
      </c>
      <c r="P70" s="126" t="n">
        <v>8</v>
      </c>
      <c r="Q70" s="127" t="n">
        <f aca="false">2*(($E$67-2*0.035)*2/3)+2*($D$67-2*0.035)+20*8/1000</f>
        <v>1.07333333333333</v>
      </c>
      <c r="R70" s="105" t="str">
        <f aca="false">IF(P70=6,N70*O70*Q70*0.222*1,IF(P70&gt;6,"",IF(P70&lt;6,"")))</f>
        <v/>
      </c>
      <c r="S70" s="106" t="n">
        <f aca="false">IF(P70=8,N70*O70*Q70*0.395*1,IF(P70&gt;8,"",IF(P70&lt;8,"")))</f>
        <v>61.0512</v>
      </c>
      <c r="T70" s="106" t="str">
        <f aca="false">IF(P70=10,N70*O70*Q70*0.617*1,IF(P70&gt;10,"",IF(P70&lt;10,"")))</f>
        <v/>
      </c>
      <c r="U70" s="106" t="str">
        <f aca="false">IF(P70=12,N70*O70*Q70*0.888*1,IF(P70&gt;12,"",IF(P70&lt;12,"")))</f>
        <v/>
      </c>
      <c r="V70" s="107" t="str">
        <f aca="false">IF(P70=16,N70*O70*Q70*1.578*1,IF(P70&gt;16,"",IF(P70&lt;16,"")))</f>
        <v/>
      </c>
      <c r="W70" s="106" t="str">
        <f aca="false">IF(P70=20,N70*O70*Q70*2.466*1,IF(P70&gt;20,"",IF(P70&lt;20,"")))</f>
        <v/>
      </c>
      <c r="X70" s="106" t="str">
        <f aca="false">IF(P70=25,N70*O70*Q70*3.853*1,IF(P70&gt;25,"",IF(P70&lt;25,"")))</f>
        <v/>
      </c>
      <c r="Y70" s="108" t="str">
        <f aca="false">IF(P70=32,N70*O70*Q70*6.313*1,IF(P70&gt;32,"",IF(P70&lt;32,"")))</f>
        <v/>
      </c>
      <c r="Z70" s="109"/>
      <c r="AA70" s="110" t="str">
        <f aca="false">IF(AC70&gt;0,N70,"")</f>
        <v/>
      </c>
      <c r="AB70" s="111" t="str">
        <f aca="false">IF(AC70&gt;0,O70,"")</f>
        <v/>
      </c>
      <c r="AC70" s="112"/>
      <c r="AD70" s="112"/>
      <c r="AE70" s="113" t="str">
        <f aca="false">IF(AC70&gt;0,P70,"")</f>
        <v/>
      </c>
      <c r="AF70" s="114" t="str">
        <f aca="false">IF(AE70=6,AA70*AB70*AC70*AD70*(AE70/1000)*0.222*1,IF(AE70&gt;6,"",IF(AE70&lt;6,"")))</f>
        <v/>
      </c>
      <c r="AG70" s="107" t="str">
        <f aca="false">IF(AE70=8,AA70*AB70*AC70*AD70*(AE70/1000)*0.395*1,IF(AE70&gt;8,"",IF(AE70&lt;8,"")))</f>
        <v/>
      </c>
      <c r="AH70" s="107" t="str">
        <f aca="false">IF(AE70=10,AA70*AB70*AC70*AD70*(AE70/1000)*0.617*1,IF(AE70&gt;10,"",IF(AE70&lt;10,"")))</f>
        <v/>
      </c>
      <c r="AI70" s="107" t="str">
        <f aca="false">IF(AE70=12,AA70*AB70*AC70*AD70*(AE70/1000)*0.888*1,IF(AE70&gt;12,"",IF(AE70&lt;12,"")))</f>
        <v/>
      </c>
      <c r="AJ70" s="107" t="str">
        <f aca="false">IF(AE70=16,AA70*AB70*AC70*AD70*(AE70/1000)*1.578*1,IF(AE70&gt;16,"",IF(AE70&lt;16,"")))</f>
        <v/>
      </c>
      <c r="AK70" s="107" t="str">
        <f aca="false">IF(AE70=20,AA70*AB70*AC70*AD70*(AE70/1000)*2.466*1,IF(AE70&gt;20,"",IF(AE70&lt;20,"")))</f>
        <v/>
      </c>
      <c r="AL70" s="107" t="str">
        <f aca="false">IF(AE70=25,AA70*AB70*AC70*AD70*(AE70/1000)*3.853*1,IF(AE70&gt;25,"",IF(AE70&lt;25,"")))</f>
        <v/>
      </c>
      <c r="AM70" s="115" t="str">
        <f aca="false">IF(AE70=32,AA70*AB70*AC70*AD70*(AE70/1000)*6.313*1,IF(AE70&gt;32,"",IF(AE70&lt;32,"")))</f>
        <v/>
      </c>
      <c r="AN70" s="128"/>
      <c r="AO70" s="117" t="s">
        <v>178</v>
      </c>
      <c r="AP70" s="118" t="n">
        <f aca="false">SUM(R70:Y70)+SUM(AN70)</f>
        <v>61.0512</v>
      </c>
      <c r="AQ70" s="118" t="n">
        <f aca="false">SUM(AF70:AM70)</f>
        <v>0</v>
      </c>
      <c r="AR70" s="118"/>
      <c r="AS70" s="119" t="s">
        <v>412</v>
      </c>
      <c r="AT70" s="119" t="s">
        <v>162</v>
      </c>
    </row>
    <row r="71" customFormat="false" ht="13.5" hidden="false" customHeight="false" outlineLevel="0" collapsed="false">
      <c r="A71" s="129"/>
      <c r="B71" s="172"/>
      <c r="C71" s="110"/>
      <c r="D71" s="122"/>
      <c r="E71" s="122"/>
      <c r="F71" s="173"/>
      <c r="G71" s="123"/>
      <c r="H71" s="101"/>
      <c r="I71" s="123"/>
      <c r="J71" s="101"/>
      <c r="K71" s="124" t="s">
        <v>443</v>
      </c>
      <c r="L71" s="125" t="n">
        <f aca="false">$F$67-2*0.8*1</f>
        <v>2.93</v>
      </c>
      <c r="M71" s="125" t="n">
        <v>0.15</v>
      </c>
      <c r="N71" s="126" t="n">
        <f aca="false">$C$67*2</f>
        <v>8</v>
      </c>
      <c r="O71" s="126" t="n">
        <f aca="false">CEILING(L71/M71,1)-1</f>
        <v>19</v>
      </c>
      <c r="P71" s="126" t="n">
        <v>8</v>
      </c>
      <c r="Q71" s="127" t="n">
        <f aca="false">2*(($E$67-2*0.035)*2/3)+2*($D$67-2*0.035)+20*8/1000</f>
        <v>1.07333333333333</v>
      </c>
      <c r="R71" s="105" t="str">
        <f aca="false">IF(P71=6,N71*O71*Q71*0.222*1,IF(P71&gt;6,"",IF(P71&lt;6,"")))</f>
        <v/>
      </c>
      <c r="S71" s="106" t="n">
        <f aca="false">IF(P71=8,N71*O71*Q71*0.395*1,IF(P71&gt;8,"",IF(P71&lt;8,"")))</f>
        <v>64.4429333333333</v>
      </c>
      <c r="T71" s="106" t="str">
        <f aca="false">IF(P71=10,N71*O71*Q71*0.617*1,IF(P71&gt;10,"",IF(P71&lt;10,"")))</f>
        <v/>
      </c>
      <c r="U71" s="106" t="str">
        <f aca="false">IF(P71=12,N71*O71*Q71*0.888*1,IF(P71&gt;12,"",IF(P71&lt;12,"")))</f>
        <v/>
      </c>
      <c r="V71" s="107" t="str">
        <f aca="false">IF(P71=16,N71*O71*Q71*1.578*1,IF(P71&gt;16,"",IF(P71&lt;16,"")))</f>
        <v/>
      </c>
      <c r="W71" s="106" t="str">
        <f aca="false">IF(P71=20,N71*O71*Q71*2.466*1,IF(P71&gt;20,"",IF(P71&lt;20,"")))</f>
        <v/>
      </c>
      <c r="X71" s="106" t="str">
        <f aca="false">IF(P71=25,N71*O71*Q71*3.853*1,IF(P71&gt;25,"",IF(P71&lt;25,"")))</f>
        <v/>
      </c>
      <c r="Y71" s="108" t="str">
        <f aca="false">IF(P71=32,N71*O71*Q71*6.313*1,IF(P71&gt;32,"",IF(P71&lt;32,"")))</f>
        <v/>
      </c>
      <c r="Z71" s="109"/>
      <c r="AA71" s="110" t="str">
        <f aca="false">IF(AC71&gt;0,N71,"")</f>
        <v/>
      </c>
      <c r="AB71" s="111" t="str">
        <f aca="false">IF(AC71&gt;0,O71,"")</f>
        <v/>
      </c>
      <c r="AC71" s="112"/>
      <c r="AD71" s="112"/>
      <c r="AE71" s="113" t="str">
        <f aca="false">IF(AC71&gt;0,P71,"")</f>
        <v/>
      </c>
      <c r="AF71" s="114" t="str">
        <f aca="false">IF(AE71=6,AA71*AB71*AC71*AD71*(AE71/1000)*0.222*1,IF(AE71&gt;6,"",IF(AE71&lt;6,"")))</f>
        <v/>
      </c>
      <c r="AG71" s="107" t="str">
        <f aca="false">IF(AE71=8,AA71*AB71*AC71*AD71*(AE71/1000)*0.395*1,IF(AE71&gt;8,"",IF(AE71&lt;8,"")))</f>
        <v/>
      </c>
      <c r="AH71" s="107" t="str">
        <f aca="false">IF(AE71=10,AA71*AB71*AC71*AD71*(AE71/1000)*0.617*1,IF(AE71&gt;10,"",IF(AE71&lt;10,"")))</f>
        <v/>
      </c>
      <c r="AI71" s="107" t="str">
        <f aca="false">IF(AE71=12,AA71*AB71*AC71*AD71*(AE71/1000)*0.888*1,IF(AE71&gt;12,"",IF(AE71&lt;12,"")))</f>
        <v/>
      </c>
      <c r="AJ71" s="107" t="str">
        <f aca="false">IF(AE71=16,AA71*AB71*AC71*AD71*(AE71/1000)*1.578*1,IF(AE71&gt;16,"",IF(AE71&lt;16,"")))</f>
        <v/>
      </c>
      <c r="AK71" s="107" t="str">
        <f aca="false">IF(AE71=20,AA71*AB71*AC71*AD71*(AE71/1000)*2.466*1,IF(AE71&gt;20,"",IF(AE71&lt;20,"")))</f>
        <v/>
      </c>
      <c r="AL71" s="107" t="str">
        <f aca="false">IF(AE71=25,AA71*AB71*AC71*AD71*(AE71/1000)*3.853*1,IF(AE71&gt;25,"",IF(AE71&lt;25,"")))</f>
        <v/>
      </c>
      <c r="AM71" s="115" t="str">
        <f aca="false">IF(AE71=32,AA71*AB71*AC71*AD71*(AE71/1000)*6.313*1,IF(AE71&gt;32,"",IF(AE71&lt;32,"")))</f>
        <v/>
      </c>
      <c r="AN71" s="128"/>
      <c r="AO71" s="117" t="s">
        <v>178</v>
      </c>
      <c r="AP71" s="118" t="n">
        <f aca="false">SUM(R71:Y71)+SUM(AN71)</f>
        <v>64.4429333333333</v>
      </c>
      <c r="AQ71" s="118" t="n">
        <f aca="false">SUM(AF71:AM71)</f>
        <v>0</v>
      </c>
      <c r="AR71" s="118"/>
      <c r="AS71" s="119" t="s">
        <v>408</v>
      </c>
      <c r="AT71" s="119" t="s">
        <v>162</v>
      </c>
    </row>
    <row r="72" customFormat="false" ht="13.5" hidden="false" customHeight="false" outlineLevel="0" collapsed="false">
      <c r="A72" s="129"/>
      <c r="B72" s="130"/>
      <c r="C72" s="110"/>
      <c r="D72" s="122"/>
      <c r="E72" s="122"/>
      <c r="F72" s="122"/>
      <c r="G72" s="123"/>
      <c r="H72" s="101"/>
      <c r="I72" s="123"/>
      <c r="J72" s="101"/>
      <c r="K72" s="124"/>
      <c r="L72" s="125"/>
      <c r="M72" s="125"/>
      <c r="N72" s="126"/>
      <c r="O72" s="126"/>
      <c r="P72" s="126"/>
      <c r="Q72" s="127"/>
      <c r="R72" s="105"/>
      <c r="S72" s="106"/>
      <c r="T72" s="106"/>
      <c r="U72" s="106"/>
      <c r="V72" s="107"/>
      <c r="W72" s="106"/>
      <c r="X72" s="106"/>
      <c r="Y72" s="108"/>
      <c r="Z72" s="109"/>
      <c r="AA72" s="110"/>
      <c r="AB72" s="111"/>
      <c r="AC72" s="112"/>
      <c r="AD72" s="112"/>
      <c r="AE72" s="113"/>
      <c r="AF72" s="114"/>
      <c r="AG72" s="107"/>
      <c r="AH72" s="107"/>
      <c r="AI72" s="107"/>
      <c r="AJ72" s="107"/>
      <c r="AK72" s="107"/>
      <c r="AL72" s="107"/>
      <c r="AM72" s="115"/>
      <c r="AO72" s="117"/>
      <c r="AP72" s="118"/>
      <c r="AQ72" s="118"/>
      <c r="AR72" s="118"/>
      <c r="AS72" s="119"/>
      <c r="AT72" s="119"/>
    </row>
    <row r="73" s="175" customFormat="true" ht="13.5" hidden="false" customHeight="false" outlineLevel="0" collapsed="false">
      <c r="A73" s="120"/>
      <c r="B73" s="121" t="s">
        <v>444</v>
      </c>
      <c r="C73" s="110" t="n">
        <v>2</v>
      </c>
      <c r="D73" s="122" t="n">
        <v>0.24</v>
      </c>
      <c r="E73" s="122" t="n">
        <v>0.3</v>
      </c>
      <c r="F73" s="122" t="n">
        <v>1.375</v>
      </c>
      <c r="G73" s="123" t="n">
        <f aca="false">C73*D73*E73*F73</f>
        <v>0.198</v>
      </c>
      <c r="H73" s="101"/>
      <c r="I73" s="123" t="n">
        <f aca="false">2*(D73+E73)*F73*C73</f>
        <v>2.97</v>
      </c>
      <c r="J73" s="101"/>
      <c r="K73" s="124"/>
      <c r="L73" s="125"/>
      <c r="M73" s="125"/>
      <c r="N73" s="126"/>
      <c r="O73" s="126"/>
      <c r="P73" s="126"/>
      <c r="Q73" s="127"/>
      <c r="R73" s="105" t="str">
        <f aca="false">IF(P73=6,N73*O73*Q73*0.222*1,IF(P73&gt;6,"",IF(P73&lt;6,"")))</f>
        <v/>
      </c>
      <c r="S73" s="106" t="str">
        <f aca="false">IF(P73=8,N73*O73*Q73*0.395*1,IF(P73&gt;8,"",IF(P73&lt;8,"")))</f>
        <v/>
      </c>
      <c r="T73" s="106" t="str">
        <f aca="false">IF(P73=10,N73*O73*Q73*0.617*1,IF(P73&gt;10,"",IF(P73&lt;10,"")))</f>
        <v/>
      </c>
      <c r="U73" s="106" t="str">
        <f aca="false">IF(P73=12,N73*O73*Q73*0.888*1,IF(P73&gt;12,"",IF(P73&lt;12,"")))</f>
        <v/>
      </c>
      <c r="V73" s="107" t="str">
        <f aca="false">IF(P73=16,N73*O73*Q73*1.578*1,IF(P73&gt;16,"",IF(P73&lt;16,"")))</f>
        <v/>
      </c>
      <c r="W73" s="106" t="str">
        <f aca="false">IF(P73=20,N73*O73*Q73*2.466*1,IF(P73&gt;20,"",IF(P73&lt;20,"")))</f>
        <v/>
      </c>
      <c r="X73" s="106" t="str">
        <f aca="false">IF(P73=25,N73*O73*Q73*3.853*1,IF(P73&gt;25,"",IF(P73&lt;25,"")))</f>
        <v/>
      </c>
      <c r="Y73" s="108" t="str">
        <f aca="false">IF(P73=32,N73*O73*Q73*6.313*1,IF(P73&gt;32,"",IF(P73&lt;32,"")))</f>
        <v/>
      </c>
      <c r="Z73" s="109"/>
      <c r="AA73" s="110" t="str">
        <f aca="false">IF(AC73&gt;0,N73,"")</f>
        <v/>
      </c>
      <c r="AB73" s="111" t="str">
        <f aca="false">IF(AC73&gt;0,O73,"")</f>
        <v/>
      </c>
      <c r="AC73" s="112"/>
      <c r="AD73" s="112"/>
      <c r="AE73" s="113" t="str">
        <f aca="false">IF(AC73&gt;0,P73,"")</f>
        <v/>
      </c>
      <c r="AF73" s="114" t="str">
        <f aca="false">IF(AE73=6,AA73*AB73*AC73*AD73*(AE73/1000)*0.222*1,IF(AE73&gt;6,"",IF(AE73&lt;6,"")))</f>
        <v/>
      </c>
      <c r="AG73" s="107" t="str">
        <f aca="false">IF(AE73=8,AA73*AB73*AC73*AD73*(AE73/1000)*0.395*1,IF(AE73&gt;8,"",IF(AE73&lt;8,"")))</f>
        <v/>
      </c>
      <c r="AH73" s="107" t="str">
        <f aca="false">IF(AE73=10,AA73*AB73*AC73*AD73*(AE73/1000)*0.617*1,IF(AE73&gt;10,"",IF(AE73&lt;10,"")))</f>
        <v/>
      </c>
      <c r="AI73" s="107" t="str">
        <f aca="false">IF(AE73=12,AA73*AB73*AC73*AD73*(AE73/1000)*0.888*1,IF(AE73&gt;12,"",IF(AE73&lt;12,"")))</f>
        <v/>
      </c>
      <c r="AJ73" s="107" t="str">
        <f aca="false">IF(AE73=16,AA73*AB73*AC73*AD73*(AE73/1000)*1.578*1,IF(AE73&gt;16,"",IF(AE73&lt;16,"")))</f>
        <v/>
      </c>
      <c r="AK73" s="107" t="str">
        <f aca="false">IF(AE73=20,AA73*AB73*AC73*AD73*(AE73/1000)*2.466*1,IF(AE73&gt;20,"",IF(AE73&lt;20,"")))</f>
        <v/>
      </c>
      <c r="AL73" s="107" t="str">
        <f aca="false">IF(AE73=25,AA73*AB73*AC73*AD73*(AE73/1000)*3.853*1,IF(AE73&gt;25,"",IF(AE73&lt;25,"")))</f>
        <v/>
      </c>
      <c r="AM73" s="115" t="str">
        <f aca="false">IF(AE73=32,AA73*AB73*AC73*AD73*(AE73/1000)*6.313*1,IF(AE73&gt;32,"",IF(AE73&lt;32,"")))</f>
        <v/>
      </c>
      <c r="AN73" s="128"/>
      <c r="AO73" s="117" t="s">
        <v>178</v>
      </c>
      <c r="AP73" s="118" t="n">
        <f aca="false">SUM(R73:Y73)+SUM(AN73)</f>
        <v>0</v>
      </c>
      <c r="AQ73" s="118" t="n">
        <f aca="false">SUM(AF73:AM73)</f>
        <v>0</v>
      </c>
      <c r="AR73" s="118" t="n">
        <v>0.198</v>
      </c>
      <c r="AS73" s="119" t="s">
        <v>445</v>
      </c>
      <c r="AT73" s="119" t="s">
        <v>209</v>
      </c>
    </row>
    <row r="74" customFormat="false" ht="13.5" hidden="false" customHeight="false" outlineLevel="0" collapsed="false">
      <c r="A74" s="129"/>
      <c r="B74" s="172"/>
      <c r="C74" s="110"/>
      <c r="D74" s="122"/>
      <c r="E74" s="122"/>
      <c r="F74" s="173"/>
      <c r="G74" s="123"/>
      <c r="H74" s="101"/>
      <c r="I74" s="123"/>
      <c r="J74" s="101"/>
      <c r="K74" s="124" t="s">
        <v>446</v>
      </c>
      <c r="L74" s="125"/>
      <c r="M74" s="125"/>
      <c r="N74" s="126" t="n">
        <f aca="false">$C$73</f>
        <v>2</v>
      </c>
      <c r="O74" s="126" t="n">
        <v>8</v>
      </c>
      <c r="P74" s="126" t="n">
        <v>16</v>
      </c>
      <c r="Q74" s="127" t="n">
        <f aca="false">$F$73-0.05+(0.5-0.05)+0.3</f>
        <v>2.075</v>
      </c>
      <c r="R74" s="105" t="str">
        <f aca="false">IF(P74=6,N74*O74*Q74*0.222*1,IF(P74&gt;6,"",IF(P74&lt;6,"")))</f>
        <v/>
      </c>
      <c r="S74" s="106" t="str">
        <f aca="false">IF(P74=8,N74*O74*Q74*0.395*1,IF(P74&gt;8,"",IF(P74&lt;8,"")))</f>
        <v/>
      </c>
      <c r="T74" s="106" t="str">
        <f aca="false">IF(P74=10,N74*O74*Q74*0.617*1,IF(P74&gt;10,"",IF(P74&lt;10,"")))</f>
        <v/>
      </c>
      <c r="U74" s="106" t="str">
        <f aca="false">IF(P74=12,N74*O74*Q74*0.888*1,IF(P74&gt;12,"",IF(P74&lt;12,"")))</f>
        <v/>
      </c>
      <c r="V74" s="107" t="n">
        <f aca="false">IF(P74=16,N74*O74*Q74*1.578*1,IF(P74&gt;16,"",IF(P74&lt;16,"")))</f>
        <v>52.3896</v>
      </c>
      <c r="W74" s="106" t="str">
        <f aca="false">IF(P74=20,N74*O74*Q74*2.466*1,IF(P74&gt;20,"",IF(P74&lt;20,"")))</f>
        <v/>
      </c>
      <c r="X74" s="106" t="str">
        <f aca="false">IF(P74=25,N74*O74*Q74*3.853*1,IF(P74&gt;25,"",IF(P74&lt;25,"")))</f>
        <v/>
      </c>
      <c r="Y74" s="108" t="str">
        <f aca="false">IF(P74=32,N74*O74*Q74*6.313*1,IF(P74&gt;32,"",IF(P74&lt;32,"")))</f>
        <v/>
      </c>
      <c r="Z74" s="109"/>
      <c r="AA74" s="110" t="str">
        <f aca="false">IF(AC74&gt;0,N74,"")</f>
        <v/>
      </c>
      <c r="AB74" s="111" t="str">
        <f aca="false">IF(AC74&gt;0,O74,"")</f>
        <v/>
      </c>
      <c r="AC74" s="112"/>
      <c r="AD74" s="112"/>
      <c r="AE74" s="113" t="str">
        <f aca="false">IF(AC74&gt;0,P74,"")</f>
        <v/>
      </c>
      <c r="AF74" s="114" t="str">
        <f aca="false">IF(AE74=6,AA74*AB74*AC74*AD74*(AE74/1000)*0.222*1,IF(AE74&gt;6,"",IF(AE74&lt;6,"")))</f>
        <v/>
      </c>
      <c r="AG74" s="107" t="str">
        <f aca="false">IF(AE74=8,AA74*AB74*AC74*AD74*(AE74/1000)*0.395*1,IF(AE74&gt;8,"",IF(AE74&lt;8,"")))</f>
        <v/>
      </c>
      <c r="AH74" s="107" t="str">
        <f aca="false">IF(AE74=10,AA74*AB74*AC74*AD74*(AE74/1000)*0.617*1,IF(AE74&gt;10,"",IF(AE74&lt;10,"")))</f>
        <v/>
      </c>
      <c r="AI74" s="107" t="str">
        <f aca="false">IF(AE74=12,AA74*AB74*AC74*AD74*(AE74/1000)*0.888*1,IF(AE74&gt;12,"",IF(AE74&lt;12,"")))</f>
        <v/>
      </c>
      <c r="AJ74" s="107" t="str">
        <f aca="false">IF(AE74=16,AA74*AB74*AC74*AD74*(AE74/1000)*1.578*1,IF(AE74&gt;16,"",IF(AE74&lt;16,"")))</f>
        <v/>
      </c>
      <c r="AK74" s="107" t="str">
        <f aca="false">IF(AE74=20,AA74*AB74*AC74*AD74*(AE74/1000)*2.466*1,IF(AE74&gt;20,"",IF(AE74&lt;20,"")))</f>
        <v/>
      </c>
      <c r="AL74" s="107" t="str">
        <f aca="false">IF(AE74=25,AA74*AB74*AC74*AD74*(AE74/1000)*3.853*1,IF(AE74&gt;25,"",IF(AE74&lt;25,"")))</f>
        <v/>
      </c>
      <c r="AM74" s="115" t="str">
        <f aca="false">IF(AE74=32,AA74*AB74*AC74*AD74*(AE74/1000)*6.313*1,IF(AE74&gt;32,"",IF(AE74&lt;32,"")))</f>
        <v/>
      </c>
      <c r="AN74" s="128"/>
      <c r="AO74" s="117" t="s">
        <v>178</v>
      </c>
      <c r="AP74" s="118" t="n">
        <f aca="false">SUM(R74:Y74)+SUM(AN74)</f>
        <v>52.3896</v>
      </c>
      <c r="AQ74" s="118" t="n">
        <f aca="false">SUM(AF74:AM74)</f>
        <v>0</v>
      </c>
      <c r="AR74" s="118"/>
      <c r="AS74" s="119" t="s">
        <v>447</v>
      </c>
      <c r="AT74" s="119" t="s">
        <v>162</v>
      </c>
    </row>
    <row r="75" customFormat="false" ht="13.5" hidden="false" customHeight="false" outlineLevel="0" collapsed="false">
      <c r="A75" s="129"/>
      <c r="B75" s="172"/>
      <c r="C75" s="110"/>
      <c r="D75" s="122"/>
      <c r="E75" s="122"/>
      <c r="F75" s="173"/>
      <c r="G75" s="123"/>
      <c r="H75" s="101"/>
      <c r="I75" s="123"/>
      <c r="J75" s="101"/>
      <c r="K75" s="124" t="s">
        <v>448</v>
      </c>
      <c r="L75" s="125" t="n">
        <f aca="false">$F$73</f>
        <v>1.375</v>
      </c>
      <c r="M75" s="125" t="n">
        <v>0.1</v>
      </c>
      <c r="N75" s="126" t="n">
        <f aca="false">$C$73*1</f>
        <v>2</v>
      </c>
      <c r="O75" s="126" t="n">
        <f aca="false">CEILING(L75/M75,1)+1</f>
        <v>15</v>
      </c>
      <c r="P75" s="126" t="n">
        <v>8</v>
      </c>
      <c r="Q75" s="127" t="n">
        <f aca="false">2*($D$73-2*0.035)+2*($E$73-2*0.035)+20*8/1000</f>
        <v>0.96</v>
      </c>
      <c r="R75" s="105" t="str">
        <f aca="false">IF(P75=6,N75*O75*Q75*0.222*1,IF(P75&gt;6,"",IF(P75&lt;6,"")))</f>
        <v/>
      </c>
      <c r="S75" s="106" t="n">
        <f aca="false">IF(P75=8,N75*O75*Q75*0.395*1,IF(P75&gt;8,"",IF(P75&lt;8,"")))</f>
        <v>11.376</v>
      </c>
      <c r="T75" s="106" t="str">
        <f aca="false">IF(P75=10,N75*O75*Q75*0.617*1,IF(P75&gt;10,"",IF(P75&lt;10,"")))</f>
        <v/>
      </c>
      <c r="U75" s="106" t="str">
        <f aca="false">IF(P75=12,N75*O75*Q75*0.888*1,IF(P75&gt;12,"",IF(P75&lt;12,"")))</f>
        <v/>
      </c>
      <c r="V75" s="107" t="str">
        <f aca="false">IF(P75=16,N75*O75*Q75*1.578*1,IF(P75&gt;16,"",IF(P75&lt;16,"")))</f>
        <v/>
      </c>
      <c r="W75" s="106" t="str">
        <f aca="false">IF(P75=20,N75*O75*Q75*2.466*1,IF(P75&gt;20,"",IF(P75&lt;20,"")))</f>
        <v/>
      </c>
      <c r="X75" s="106" t="str">
        <f aca="false">IF(P75=25,N75*O75*Q75*3.853*1,IF(P75&gt;25,"",IF(P75&lt;25,"")))</f>
        <v/>
      </c>
      <c r="Y75" s="108" t="str">
        <f aca="false">IF(P75=32,N75*O75*Q75*6.313*1,IF(P75&gt;32,"",IF(P75&lt;32,"")))</f>
        <v/>
      </c>
      <c r="Z75" s="109"/>
      <c r="AA75" s="110" t="str">
        <f aca="false">IF(AC75&gt;0,N75,"")</f>
        <v/>
      </c>
      <c r="AB75" s="111" t="str">
        <f aca="false">IF(AC75&gt;0,O75,"")</f>
        <v/>
      </c>
      <c r="AC75" s="112"/>
      <c r="AD75" s="112"/>
      <c r="AE75" s="113" t="str">
        <f aca="false">IF(AC75&gt;0,P75,"")</f>
        <v/>
      </c>
      <c r="AF75" s="114" t="str">
        <f aca="false">IF(AE75=6,AA75*AB75*AC75*AD75*(AE75/1000)*0.222*1,IF(AE75&gt;6,"",IF(AE75&lt;6,"")))</f>
        <v/>
      </c>
      <c r="AG75" s="107" t="str">
        <f aca="false">IF(AE75=8,AA75*AB75*AC75*AD75*(AE75/1000)*0.395*1,IF(AE75&gt;8,"",IF(AE75&lt;8,"")))</f>
        <v/>
      </c>
      <c r="AH75" s="107" t="str">
        <f aca="false">IF(AE75=10,AA75*AB75*AC75*AD75*(AE75/1000)*0.617*1,IF(AE75&gt;10,"",IF(AE75&lt;10,"")))</f>
        <v/>
      </c>
      <c r="AI75" s="107" t="str">
        <f aca="false">IF(AE75=12,AA75*AB75*AC75*AD75*(AE75/1000)*0.888*1,IF(AE75&gt;12,"",IF(AE75&lt;12,"")))</f>
        <v/>
      </c>
      <c r="AJ75" s="107" t="str">
        <f aca="false">IF(AE75=16,AA75*AB75*AC75*AD75*(AE75/1000)*1.578*1,IF(AE75&gt;16,"",IF(AE75&lt;16,"")))</f>
        <v/>
      </c>
      <c r="AK75" s="107" t="str">
        <f aca="false">IF(AE75=20,AA75*AB75*AC75*AD75*(AE75/1000)*2.466*1,IF(AE75&gt;20,"",IF(AE75&lt;20,"")))</f>
        <v/>
      </c>
      <c r="AL75" s="107" t="str">
        <f aca="false">IF(AE75=25,AA75*AB75*AC75*AD75*(AE75/1000)*3.853*1,IF(AE75&gt;25,"",IF(AE75&lt;25,"")))</f>
        <v/>
      </c>
      <c r="AM75" s="115" t="str">
        <f aca="false">IF(AE75=32,AA75*AB75*AC75*AD75*(AE75/1000)*6.313*1,IF(AE75&gt;32,"",IF(AE75&lt;32,"")))</f>
        <v/>
      </c>
      <c r="AN75" s="128"/>
      <c r="AO75" s="117" t="s">
        <v>178</v>
      </c>
      <c r="AP75" s="118" t="n">
        <f aca="false">SUM(R75:Y75)+SUM(AN75)</f>
        <v>11.376</v>
      </c>
      <c r="AQ75" s="118" t="n">
        <f aca="false">SUM(AF75:AM75)</f>
        <v>0</v>
      </c>
      <c r="AR75" s="118"/>
      <c r="AS75" s="119"/>
      <c r="AT75" s="119" t="s">
        <v>162</v>
      </c>
    </row>
    <row r="76" customFormat="false" ht="13.5" hidden="false" customHeight="false" outlineLevel="0" collapsed="false">
      <c r="A76" s="129"/>
      <c r="B76" s="130"/>
      <c r="C76" s="110"/>
      <c r="D76" s="122"/>
      <c r="E76" s="122"/>
      <c r="F76" s="122"/>
      <c r="G76" s="123"/>
      <c r="H76" s="101"/>
      <c r="I76" s="123"/>
      <c r="J76" s="101"/>
      <c r="K76" s="124"/>
      <c r="L76" s="125"/>
      <c r="M76" s="125"/>
      <c r="N76" s="126"/>
      <c r="O76" s="126"/>
      <c r="P76" s="126"/>
      <c r="Q76" s="127"/>
      <c r="R76" s="105"/>
      <c r="S76" s="106"/>
      <c r="T76" s="106"/>
      <c r="U76" s="106"/>
      <c r="V76" s="107"/>
      <c r="W76" s="106"/>
      <c r="X76" s="106"/>
      <c r="Y76" s="108"/>
      <c r="Z76" s="109"/>
      <c r="AA76" s="110"/>
      <c r="AB76" s="111"/>
      <c r="AC76" s="112"/>
      <c r="AD76" s="112"/>
      <c r="AE76" s="113"/>
      <c r="AF76" s="114"/>
      <c r="AG76" s="107"/>
      <c r="AH76" s="107"/>
      <c r="AI76" s="107"/>
      <c r="AJ76" s="107"/>
      <c r="AK76" s="107"/>
      <c r="AL76" s="107"/>
      <c r="AM76" s="115"/>
      <c r="AO76" s="117"/>
      <c r="AP76" s="118"/>
      <c r="AQ76" s="118"/>
      <c r="AR76" s="118"/>
      <c r="AS76" s="119"/>
      <c r="AT76" s="119"/>
    </row>
    <row r="77" customFormat="false" ht="13.5" hidden="false" customHeight="false" outlineLevel="0" collapsed="false">
      <c r="A77" s="120"/>
      <c r="B77" s="121" t="s">
        <v>449</v>
      </c>
      <c r="C77" s="110" t="n">
        <v>2</v>
      </c>
      <c r="D77" s="122" t="n">
        <v>0.24</v>
      </c>
      <c r="E77" s="122" t="n">
        <v>0.3</v>
      </c>
      <c r="F77" s="122" t="n">
        <v>0.5</v>
      </c>
      <c r="G77" s="123" t="n">
        <f aca="false">C77*D77*E77*F77</f>
        <v>0.072</v>
      </c>
      <c r="H77" s="101"/>
      <c r="I77" s="123" t="n">
        <f aca="false">2*(D77+E77)*F77*C77</f>
        <v>1.08</v>
      </c>
      <c r="J77" s="101"/>
      <c r="K77" s="124"/>
      <c r="L77" s="125"/>
      <c r="M77" s="125"/>
      <c r="N77" s="126"/>
      <c r="O77" s="126"/>
      <c r="P77" s="126"/>
      <c r="Q77" s="127"/>
      <c r="R77" s="105" t="str">
        <f aca="false">IF(P77=6,N77*O77*Q77*0.222*1,IF(P77&gt;6,"",IF(P77&lt;6,"")))</f>
        <v/>
      </c>
      <c r="S77" s="106" t="str">
        <f aca="false">IF(P77=8,N77*O77*Q77*0.395*1,IF(P77&gt;8,"",IF(P77&lt;8,"")))</f>
        <v/>
      </c>
      <c r="T77" s="106" t="str">
        <f aca="false">IF(P77=10,N77*O77*Q77*0.617*1,IF(P77&gt;10,"",IF(P77&lt;10,"")))</f>
        <v/>
      </c>
      <c r="U77" s="106" t="str">
        <f aca="false">IF(P77=12,N77*O77*Q77*0.888*1,IF(P77&gt;12,"",IF(P77&lt;12,"")))</f>
        <v/>
      </c>
      <c r="V77" s="107" t="str">
        <f aca="false">IF(P77=16,N77*O77*Q77*1.578*1,IF(P77&gt;16,"",IF(P77&lt;16,"")))</f>
        <v/>
      </c>
      <c r="W77" s="106" t="str">
        <f aca="false">IF(P77=20,N77*O77*Q77*2.466*1,IF(P77&gt;20,"",IF(P77&lt;20,"")))</f>
        <v/>
      </c>
      <c r="X77" s="106" t="str">
        <f aca="false">IF(P77=25,N77*O77*Q77*3.853*1,IF(P77&gt;25,"",IF(P77&lt;25,"")))</f>
        <v/>
      </c>
      <c r="Y77" s="108" t="str">
        <f aca="false">IF(P77=32,N77*O77*Q77*6.313*1,IF(P77&gt;32,"",IF(P77&lt;32,"")))</f>
        <v/>
      </c>
      <c r="Z77" s="109"/>
      <c r="AA77" s="110" t="str">
        <f aca="false">IF(AC77&gt;0,N77,"")</f>
        <v/>
      </c>
      <c r="AB77" s="111" t="str">
        <f aca="false">IF(AC77&gt;0,O77,"")</f>
        <v/>
      </c>
      <c r="AC77" s="112"/>
      <c r="AD77" s="112"/>
      <c r="AE77" s="113" t="str">
        <f aca="false">IF(AC77&gt;0,P77,"")</f>
        <v/>
      </c>
      <c r="AF77" s="114" t="str">
        <f aca="false">IF(AE77=6,AA77*AB77*AC77*AD77*(AE77/1000)*0.222*1,IF(AE77&gt;6,"",IF(AE77&lt;6,"")))</f>
        <v/>
      </c>
      <c r="AG77" s="107" t="str">
        <f aca="false">IF(AE77=8,AA77*AB77*AC77*AD77*(AE77/1000)*0.395*1,IF(AE77&gt;8,"",IF(AE77&lt;8,"")))</f>
        <v/>
      </c>
      <c r="AH77" s="107" t="str">
        <f aca="false">IF(AE77=10,AA77*AB77*AC77*AD77*(AE77/1000)*0.617*1,IF(AE77&gt;10,"",IF(AE77&lt;10,"")))</f>
        <v/>
      </c>
      <c r="AI77" s="107" t="str">
        <f aca="false">IF(AE77=12,AA77*AB77*AC77*AD77*(AE77/1000)*0.888*1,IF(AE77&gt;12,"",IF(AE77&lt;12,"")))</f>
        <v/>
      </c>
      <c r="AJ77" s="107" t="str">
        <f aca="false">IF(AE77=16,AA77*AB77*AC77*AD77*(AE77/1000)*1.578*1,IF(AE77&gt;16,"",IF(AE77&lt;16,"")))</f>
        <v/>
      </c>
      <c r="AK77" s="107" t="str">
        <f aca="false">IF(AE77=20,AA77*AB77*AC77*AD77*(AE77/1000)*2.466*1,IF(AE77&gt;20,"",IF(AE77&lt;20,"")))</f>
        <v/>
      </c>
      <c r="AL77" s="107" t="str">
        <f aca="false">IF(AE77=25,AA77*AB77*AC77*AD77*(AE77/1000)*3.853*1,IF(AE77&gt;25,"",IF(AE77&lt;25,"")))</f>
        <v/>
      </c>
      <c r="AM77" s="115" t="str">
        <f aca="false">IF(AE77=32,AA77*AB77*AC77*AD77*(AE77/1000)*6.313*1,IF(AE77&gt;32,"",IF(AE77&lt;32,"")))</f>
        <v/>
      </c>
      <c r="AN77" s="128"/>
      <c r="AO77" s="117" t="s">
        <v>178</v>
      </c>
      <c r="AP77" s="118" t="n">
        <f aca="false">SUM(R77:Y77)+SUM(AN77)</f>
        <v>0</v>
      </c>
      <c r="AQ77" s="118" t="n">
        <f aca="false">SUM(AF77:AM77)</f>
        <v>0</v>
      </c>
      <c r="AR77" s="118" t="n">
        <v>0.072</v>
      </c>
      <c r="AS77" s="119" t="s">
        <v>450</v>
      </c>
      <c r="AT77" s="119" t="s">
        <v>209</v>
      </c>
    </row>
    <row r="78" customFormat="false" ht="13.5" hidden="false" customHeight="false" outlineLevel="0" collapsed="false">
      <c r="A78" s="129"/>
      <c r="B78" s="172"/>
      <c r="C78" s="110"/>
      <c r="D78" s="122"/>
      <c r="E78" s="122"/>
      <c r="F78" s="173"/>
      <c r="G78" s="123"/>
      <c r="H78" s="101"/>
      <c r="I78" s="123"/>
      <c r="J78" s="101"/>
      <c r="K78" s="124" t="s">
        <v>446</v>
      </c>
      <c r="L78" s="125"/>
      <c r="M78" s="125"/>
      <c r="N78" s="126" t="n">
        <f aca="false">$C$77</f>
        <v>2</v>
      </c>
      <c r="O78" s="126" t="n">
        <v>8</v>
      </c>
      <c r="P78" s="126" t="n">
        <v>16</v>
      </c>
      <c r="Q78" s="127" t="n">
        <f aca="false">$F$77-0.05+(0.5-0.05)+0.3</f>
        <v>1.2</v>
      </c>
      <c r="R78" s="105" t="str">
        <f aca="false">IF(P78=6,N78*O78*Q78*0.222*1,IF(P78&gt;6,"",IF(P78&lt;6,"")))</f>
        <v/>
      </c>
      <c r="S78" s="106" t="str">
        <f aca="false">IF(P78=8,N78*O78*Q78*0.395*1,IF(P78&gt;8,"",IF(P78&lt;8,"")))</f>
        <v/>
      </c>
      <c r="T78" s="106" t="str">
        <f aca="false">IF(P78=10,N78*O78*Q78*0.617*1,IF(P78&gt;10,"",IF(P78&lt;10,"")))</f>
        <v/>
      </c>
      <c r="U78" s="106" t="str">
        <f aca="false">IF(P78=12,N78*O78*Q78*0.888*1,IF(P78&gt;12,"",IF(P78&lt;12,"")))</f>
        <v/>
      </c>
      <c r="V78" s="107" t="n">
        <f aca="false">IF(P78=16,N78*O78*Q78*1.578*1,IF(P78&gt;16,"",IF(P78&lt;16,"")))</f>
        <v>30.2976</v>
      </c>
      <c r="W78" s="106" t="str">
        <f aca="false">IF(P78=20,N78*O78*Q78*2.466*1,IF(P78&gt;20,"",IF(P78&lt;20,"")))</f>
        <v/>
      </c>
      <c r="X78" s="106" t="str">
        <f aca="false">IF(P78=25,N78*O78*Q78*3.853*1,IF(P78&gt;25,"",IF(P78&lt;25,"")))</f>
        <v/>
      </c>
      <c r="Y78" s="108" t="str">
        <f aca="false">IF(P78=32,N78*O78*Q78*6.313*1,IF(P78&gt;32,"",IF(P78&lt;32,"")))</f>
        <v/>
      </c>
      <c r="Z78" s="109"/>
      <c r="AA78" s="110" t="str">
        <f aca="false">IF(AC78&gt;0,N78,"")</f>
        <v/>
      </c>
      <c r="AB78" s="111" t="str">
        <f aca="false">IF(AC78&gt;0,O78,"")</f>
        <v/>
      </c>
      <c r="AC78" s="112"/>
      <c r="AD78" s="112"/>
      <c r="AE78" s="113" t="str">
        <f aca="false">IF(AC78&gt;0,P78,"")</f>
        <v/>
      </c>
      <c r="AF78" s="114" t="str">
        <f aca="false">IF(AE78=6,AA78*AB78*AC78*AD78*(AE78/1000)*0.222*1,IF(AE78&gt;6,"",IF(AE78&lt;6,"")))</f>
        <v/>
      </c>
      <c r="AG78" s="107" t="str">
        <f aca="false">IF(AE78=8,AA78*AB78*AC78*AD78*(AE78/1000)*0.395*1,IF(AE78&gt;8,"",IF(AE78&lt;8,"")))</f>
        <v/>
      </c>
      <c r="AH78" s="107" t="str">
        <f aca="false">IF(AE78=10,AA78*AB78*AC78*AD78*(AE78/1000)*0.617*1,IF(AE78&gt;10,"",IF(AE78&lt;10,"")))</f>
        <v/>
      </c>
      <c r="AI78" s="107" t="str">
        <f aca="false">IF(AE78=12,AA78*AB78*AC78*AD78*(AE78/1000)*0.888*1,IF(AE78&gt;12,"",IF(AE78&lt;12,"")))</f>
        <v/>
      </c>
      <c r="AJ78" s="107" t="str">
        <f aca="false">IF(AE78=16,AA78*AB78*AC78*AD78*(AE78/1000)*1.578*1,IF(AE78&gt;16,"",IF(AE78&lt;16,"")))</f>
        <v/>
      </c>
      <c r="AK78" s="107" t="str">
        <f aca="false">IF(AE78=20,AA78*AB78*AC78*AD78*(AE78/1000)*2.466*1,IF(AE78&gt;20,"",IF(AE78&lt;20,"")))</f>
        <v/>
      </c>
      <c r="AL78" s="107" t="str">
        <f aca="false">IF(AE78=25,AA78*AB78*AC78*AD78*(AE78/1000)*3.853*1,IF(AE78&gt;25,"",IF(AE78&lt;25,"")))</f>
        <v/>
      </c>
      <c r="AM78" s="115" t="str">
        <f aca="false">IF(AE78=32,AA78*AB78*AC78*AD78*(AE78/1000)*6.313*1,IF(AE78&gt;32,"",IF(AE78&lt;32,"")))</f>
        <v/>
      </c>
      <c r="AN78" s="128"/>
      <c r="AO78" s="117" t="s">
        <v>178</v>
      </c>
      <c r="AP78" s="118" t="n">
        <f aca="false">SUM(R78:Y78)+SUM(AN78)</f>
        <v>30.2976</v>
      </c>
      <c r="AQ78" s="118" t="n">
        <f aca="false">SUM(AF78:AM78)</f>
        <v>0</v>
      </c>
      <c r="AR78" s="118"/>
      <c r="AS78" s="119" t="s">
        <v>447</v>
      </c>
      <c r="AT78" s="119" t="s">
        <v>162</v>
      </c>
    </row>
    <row r="79" customFormat="false" ht="13.5" hidden="false" customHeight="false" outlineLevel="0" collapsed="false">
      <c r="A79" s="129"/>
      <c r="B79" s="172"/>
      <c r="C79" s="110"/>
      <c r="D79" s="122"/>
      <c r="E79" s="122"/>
      <c r="F79" s="173"/>
      <c r="G79" s="123"/>
      <c r="H79" s="101"/>
      <c r="I79" s="123"/>
      <c r="J79" s="101"/>
      <c r="K79" s="124" t="s">
        <v>448</v>
      </c>
      <c r="L79" s="125" t="n">
        <f aca="false">$F$77</f>
        <v>0.5</v>
      </c>
      <c r="M79" s="125" t="n">
        <v>0.1</v>
      </c>
      <c r="N79" s="126" t="n">
        <f aca="false">$C$77*1</f>
        <v>2</v>
      </c>
      <c r="O79" s="126" t="n">
        <f aca="false">CEILING(L79/M79,1)+1</f>
        <v>6</v>
      </c>
      <c r="P79" s="126" t="n">
        <v>8</v>
      </c>
      <c r="Q79" s="127" t="n">
        <f aca="false">2*($D$77-2*0.035)+2*($E$77-2*0.035)+20*8/1000</f>
        <v>0.96</v>
      </c>
      <c r="R79" s="105" t="str">
        <f aca="false">IF(P79=6,N79*O79*Q79*0.222*1,IF(P79&gt;6,"",IF(P79&lt;6,"")))</f>
        <v/>
      </c>
      <c r="S79" s="106" t="n">
        <f aca="false">IF(P79=8,N79*O79*Q79*0.395*1,IF(P79&gt;8,"",IF(P79&lt;8,"")))</f>
        <v>4.5504</v>
      </c>
      <c r="T79" s="106" t="str">
        <f aca="false">IF(P79=10,N79*O79*Q79*0.617*1,IF(P79&gt;10,"",IF(P79&lt;10,"")))</f>
        <v/>
      </c>
      <c r="U79" s="106" t="str">
        <f aca="false">IF(P79=12,N79*O79*Q79*0.888*1,IF(P79&gt;12,"",IF(P79&lt;12,"")))</f>
        <v/>
      </c>
      <c r="V79" s="107" t="str">
        <f aca="false">IF(P79=16,N79*O79*Q79*1.578*1,IF(P79&gt;16,"",IF(P79&lt;16,"")))</f>
        <v/>
      </c>
      <c r="W79" s="106" t="str">
        <f aca="false">IF(P79=20,N79*O79*Q79*2.466*1,IF(P79&gt;20,"",IF(P79&lt;20,"")))</f>
        <v/>
      </c>
      <c r="X79" s="106" t="str">
        <f aca="false">IF(P79=25,N79*O79*Q79*3.853*1,IF(P79&gt;25,"",IF(P79&lt;25,"")))</f>
        <v/>
      </c>
      <c r="Y79" s="108" t="str">
        <f aca="false">IF(P79=32,N79*O79*Q79*6.313*1,IF(P79&gt;32,"",IF(P79&lt;32,"")))</f>
        <v/>
      </c>
      <c r="Z79" s="109"/>
      <c r="AA79" s="110" t="str">
        <f aca="false">IF(AC79&gt;0,N79,"")</f>
        <v/>
      </c>
      <c r="AB79" s="111" t="str">
        <f aca="false">IF(AC79&gt;0,O79,"")</f>
        <v/>
      </c>
      <c r="AC79" s="112"/>
      <c r="AD79" s="112"/>
      <c r="AE79" s="113" t="str">
        <f aca="false">IF(AC79&gt;0,P79,"")</f>
        <v/>
      </c>
      <c r="AF79" s="114" t="str">
        <f aca="false">IF(AE79=6,AA79*AB79*AC79*AD79*(AE79/1000)*0.222*1,IF(AE79&gt;6,"",IF(AE79&lt;6,"")))</f>
        <v/>
      </c>
      <c r="AG79" s="107" t="str">
        <f aca="false">IF(AE79=8,AA79*AB79*AC79*AD79*(AE79/1000)*0.395*1,IF(AE79&gt;8,"",IF(AE79&lt;8,"")))</f>
        <v/>
      </c>
      <c r="AH79" s="107" t="str">
        <f aca="false">IF(AE79=10,AA79*AB79*AC79*AD79*(AE79/1000)*0.617*1,IF(AE79&gt;10,"",IF(AE79&lt;10,"")))</f>
        <v/>
      </c>
      <c r="AI79" s="107" t="str">
        <f aca="false">IF(AE79=12,AA79*AB79*AC79*AD79*(AE79/1000)*0.888*1,IF(AE79&gt;12,"",IF(AE79&lt;12,"")))</f>
        <v/>
      </c>
      <c r="AJ79" s="107" t="str">
        <f aca="false">IF(AE79=16,AA79*AB79*AC79*AD79*(AE79/1000)*1.578*1,IF(AE79&gt;16,"",IF(AE79&lt;16,"")))</f>
        <v/>
      </c>
      <c r="AK79" s="107" t="str">
        <f aca="false">IF(AE79=20,AA79*AB79*AC79*AD79*(AE79/1000)*2.466*1,IF(AE79&gt;20,"",IF(AE79&lt;20,"")))</f>
        <v/>
      </c>
      <c r="AL79" s="107" t="str">
        <f aca="false">IF(AE79=25,AA79*AB79*AC79*AD79*(AE79/1000)*3.853*1,IF(AE79&gt;25,"",IF(AE79&lt;25,"")))</f>
        <v/>
      </c>
      <c r="AM79" s="115" t="str">
        <f aca="false">IF(AE79=32,AA79*AB79*AC79*AD79*(AE79/1000)*6.313*1,IF(AE79&gt;32,"",IF(AE79&lt;32,"")))</f>
        <v/>
      </c>
      <c r="AN79" s="128"/>
      <c r="AO79" s="117" t="s">
        <v>178</v>
      </c>
      <c r="AP79" s="118" t="n">
        <f aca="false">SUM(R79:Y79)+SUM(AN79)</f>
        <v>4.5504</v>
      </c>
      <c r="AQ79" s="118" t="n">
        <f aca="false">SUM(AF79:AM79)</f>
        <v>0</v>
      </c>
      <c r="AR79" s="118"/>
      <c r="AS79" s="119"/>
      <c r="AT79" s="119" t="s">
        <v>162</v>
      </c>
    </row>
    <row r="80" customFormat="false" ht="13.5" hidden="false" customHeight="false" outlineLevel="0" collapsed="false">
      <c r="A80" s="129"/>
      <c r="B80" s="130"/>
      <c r="C80" s="110"/>
      <c r="D80" s="122"/>
      <c r="E80" s="122"/>
      <c r="F80" s="122"/>
      <c r="G80" s="123"/>
      <c r="H80" s="101"/>
      <c r="I80" s="123"/>
      <c r="J80" s="101"/>
      <c r="K80" s="124"/>
      <c r="L80" s="125"/>
      <c r="M80" s="125"/>
      <c r="N80" s="126"/>
      <c r="O80" s="126"/>
      <c r="P80" s="126"/>
      <c r="Q80" s="127"/>
      <c r="R80" s="105"/>
      <c r="S80" s="106"/>
      <c r="T80" s="106"/>
      <c r="U80" s="106"/>
      <c r="V80" s="107"/>
      <c r="W80" s="106"/>
      <c r="X80" s="106"/>
      <c r="Y80" s="108"/>
      <c r="Z80" s="109"/>
      <c r="AA80" s="110"/>
      <c r="AB80" s="111"/>
      <c r="AC80" s="112"/>
      <c r="AD80" s="112"/>
      <c r="AE80" s="113"/>
      <c r="AF80" s="114"/>
      <c r="AG80" s="107"/>
      <c r="AH80" s="107"/>
      <c r="AI80" s="107"/>
      <c r="AJ80" s="107"/>
      <c r="AK80" s="107"/>
      <c r="AL80" s="107"/>
      <c r="AM80" s="115"/>
      <c r="AO80" s="117"/>
      <c r="AP80" s="118"/>
      <c r="AQ80" s="118"/>
      <c r="AR80" s="118"/>
      <c r="AS80" s="119"/>
      <c r="AT80" s="119"/>
    </row>
    <row r="81" s="55" customFormat="true" ht="13.5" hidden="false" customHeight="false" outlineLevel="0" collapsed="false">
      <c r="A81" s="96"/>
      <c r="B81" s="97" t="s">
        <v>451</v>
      </c>
      <c r="C81" s="98"/>
      <c r="D81" s="99"/>
      <c r="E81" s="99"/>
      <c r="F81" s="99"/>
      <c r="G81" s="100"/>
      <c r="H81" s="101"/>
      <c r="I81" s="100"/>
      <c r="J81" s="101"/>
      <c r="K81" s="102"/>
      <c r="L81" s="103"/>
      <c r="M81" s="103"/>
      <c r="N81" s="104"/>
      <c r="O81" s="104"/>
      <c r="P81" s="104"/>
      <c r="Q81" s="100"/>
      <c r="R81" s="105"/>
      <c r="S81" s="106"/>
      <c r="T81" s="106"/>
      <c r="U81" s="106"/>
      <c r="V81" s="107"/>
      <c r="W81" s="106"/>
      <c r="X81" s="106"/>
      <c r="Y81" s="108"/>
      <c r="Z81" s="109"/>
      <c r="AA81" s="110"/>
      <c r="AB81" s="111"/>
      <c r="AC81" s="112"/>
      <c r="AD81" s="112"/>
      <c r="AE81" s="113"/>
      <c r="AF81" s="114"/>
      <c r="AG81" s="107"/>
      <c r="AH81" s="107"/>
      <c r="AI81" s="107"/>
      <c r="AJ81" s="107"/>
      <c r="AK81" s="107"/>
      <c r="AL81" s="107"/>
      <c r="AM81" s="115"/>
      <c r="AO81" s="117"/>
      <c r="AP81" s="118"/>
      <c r="AQ81" s="118"/>
      <c r="AR81" s="118"/>
      <c r="AS81" s="119"/>
      <c r="AT81" s="119"/>
    </row>
    <row r="82" s="55" customFormat="true" ht="13.5" hidden="false" customHeight="false" outlineLevel="0" collapsed="false">
      <c r="A82" s="120"/>
      <c r="B82" s="121" t="s">
        <v>452</v>
      </c>
      <c r="C82" s="110" t="n">
        <v>1</v>
      </c>
      <c r="D82" s="122" t="n">
        <v>0.3</v>
      </c>
      <c r="E82" s="122" t="n">
        <v>0.3</v>
      </c>
      <c r="F82" s="122" t="n">
        <v>3.595</v>
      </c>
      <c r="G82" s="123" t="n">
        <f aca="false">C82*D82*E82*F82</f>
        <v>0.32355</v>
      </c>
      <c r="H82" s="101"/>
      <c r="I82" s="123" t="n">
        <f aca="false">2*(D82+E82)*F82*C82</f>
        <v>4.314</v>
      </c>
      <c r="J82" s="101"/>
      <c r="K82" s="124"/>
      <c r="L82" s="125"/>
      <c r="M82" s="125"/>
      <c r="N82" s="126"/>
      <c r="O82" s="126"/>
      <c r="P82" s="126"/>
      <c r="Q82" s="127"/>
      <c r="R82" s="105" t="str">
        <f aca="false">IF(P82=6,N82*O82*Q82*0.222*1,IF(P82&gt;6,"",IF(P82&lt;6,"")))</f>
        <v/>
      </c>
      <c r="S82" s="106" t="str">
        <f aca="false">IF(P82=8,N82*O82*Q82*0.395*1,IF(P82&gt;8,"",IF(P82&lt;8,"")))</f>
        <v/>
      </c>
      <c r="T82" s="106" t="str">
        <f aca="false">IF(P82=10,N82*O82*Q82*0.617*1,IF(P82&gt;10,"",IF(P82&lt;10,"")))</f>
        <v/>
      </c>
      <c r="U82" s="106" t="str">
        <f aca="false">IF(P82=12,N82*O82*Q82*0.888*1,IF(P82&gt;12,"",IF(P82&lt;12,"")))</f>
        <v/>
      </c>
      <c r="V82" s="107" t="str">
        <f aca="false">IF(P82=16,N82*O82*Q82*1.578*1,IF(P82&gt;16,"",IF(P82&lt;16,"")))</f>
        <v/>
      </c>
      <c r="W82" s="106" t="str">
        <f aca="false">IF(P82=20,N82*O82*Q82*2.466*1,IF(P82&gt;20,"",IF(P82&lt;20,"")))</f>
        <v/>
      </c>
      <c r="X82" s="106" t="str">
        <f aca="false">IF(P82=25,N82*O82*Q82*3.853*1,IF(P82&gt;25,"",IF(P82&lt;25,"")))</f>
        <v/>
      </c>
      <c r="Y82" s="108" t="str">
        <f aca="false">IF(P82=32,N82*O82*Q82*6.313*1,IF(P82&gt;32,"",IF(P82&lt;32,"")))</f>
        <v/>
      </c>
      <c r="Z82" s="109"/>
      <c r="AA82" s="110" t="str">
        <f aca="false">IF(AC82&gt;0,N82,"")</f>
        <v/>
      </c>
      <c r="AB82" s="111" t="str">
        <f aca="false">IF(AC82&gt;0,O82,"")</f>
        <v/>
      </c>
      <c r="AC82" s="112"/>
      <c r="AD82" s="112"/>
      <c r="AE82" s="113" t="str">
        <f aca="false">IF(AC82&gt;0,P82,"")</f>
        <v/>
      </c>
      <c r="AF82" s="114" t="str">
        <f aca="false">IF(AE82=6,AA82*AB82*AC82*AD82*(AE82/1000)*0.222*1,IF(AE82&gt;6,"",IF(AE82&lt;6,"")))</f>
        <v/>
      </c>
      <c r="AG82" s="107" t="str">
        <f aca="false">IF(AE82=8,AA82*AB82*AC82*AD82*(AE82/1000)*0.395*1,IF(AE82&gt;8,"",IF(AE82&lt;8,"")))</f>
        <v/>
      </c>
      <c r="AH82" s="107" t="str">
        <f aca="false">IF(AE82=10,AA82*AB82*AC82*AD82*(AE82/1000)*0.617*1,IF(AE82&gt;10,"",IF(AE82&lt;10,"")))</f>
        <v/>
      </c>
      <c r="AI82" s="107" t="str">
        <f aca="false">IF(AE82=12,AA82*AB82*AC82*AD82*(AE82/1000)*0.888*1,IF(AE82&gt;12,"",IF(AE82&lt;12,"")))</f>
        <v/>
      </c>
      <c r="AJ82" s="107" t="str">
        <f aca="false">IF(AE82=16,AA82*AB82*AC82*AD82*(AE82/1000)*1.578*1,IF(AE82&gt;16,"",IF(AE82&lt;16,"")))</f>
        <v/>
      </c>
      <c r="AK82" s="107" t="str">
        <f aca="false">IF(AE82=20,AA82*AB82*AC82*AD82*(AE82/1000)*2.466*1,IF(AE82&gt;20,"",IF(AE82&lt;20,"")))</f>
        <v/>
      </c>
      <c r="AL82" s="107" t="str">
        <f aca="false">IF(AE82=25,AA82*AB82*AC82*AD82*(AE82/1000)*3.853*1,IF(AE82&gt;25,"",IF(AE82&lt;25,"")))</f>
        <v/>
      </c>
      <c r="AM82" s="115" t="str">
        <f aca="false">IF(AE82=32,AA82*AB82*AC82*AD82*(AE82/1000)*6.313*1,IF(AE82&gt;32,"",IF(AE82&lt;32,"")))</f>
        <v/>
      </c>
      <c r="AN82" s="128"/>
      <c r="AO82" s="117" t="s">
        <v>185</v>
      </c>
      <c r="AP82" s="118" t="n">
        <f aca="false">SUM(R82:Y82)+SUM(AN82)</f>
        <v>0</v>
      </c>
      <c r="AQ82" s="118" t="n">
        <f aca="false">SUM(AF82:AM82)</f>
        <v>0</v>
      </c>
      <c r="AR82" s="118" t="n">
        <v>0.3235</v>
      </c>
      <c r="AS82" s="119" t="s">
        <v>453</v>
      </c>
      <c r="AT82" s="119" t="s">
        <v>209</v>
      </c>
    </row>
    <row r="83" s="55" customFormat="true" ht="13.5" hidden="false" customHeight="false" outlineLevel="0" collapsed="false">
      <c r="A83" s="129"/>
      <c r="B83" s="172"/>
      <c r="C83" s="110"/>
      <c r="D83" s="122"/>
      <c r="E83" s="122"/>
      <c r="F83" s="173"/>
      <c r="G83" s="123"/>
      <c r="H83" s="101"/>
      <c r="I83" s="123"/>
      <c r="J83" s="101"/>
      <c r="K83" s="124" t="s">
        <v>417</v>
      </c>
      <c r="L83" s="125"/>
      <c r="M83" s="125"/>
      <c r="N83" s="126" t="n">
        <f aca="false">$C$82</f>
        <v>1</v>
      </c>
      <c r="O83" s="126" t="n">
        <v>4</v>
      </c>
      <c r="P83" s="126" t="n">
        <v>16</v>
      </c>
      <c r="Q83" s="127" t="n">
        <f aca="false">$F$82+50*16/1000</f>
        <v>4.395</v>
      </c>
      <c r="R83" s="105" t="str">
        <f aca="false">IF(P83=6,N83*O83*Q83*0.222*1,IF(P83&gt;6,"",IF(P83&lt;6,"")))</f>
        <v/>
      </c>
      <c r="S83" s="106" t="str">
        <f aca="false">IF(P83=8,N83*O83*Q83*0.395*1,IF(P83&gt;8,"",IF(P83&lt;8,"")))</f>
        <v/>
      </c>
      <c r="T83" s="106" t="str">
        <f aca="false">IF(P83=10,N83*O83*Q83*0.617*1,IF(P83&gt;10,"",IF(P83&lt;10,"")))</f>
        <v/>
      </c>
      <c r="U83" s="106" t="str">
        <f aca="false">IF(P83=12,N83*O83*Q83*0.888*1,IF(P83&gt;12,"",IF(P83&lt;12,"")))</f>
        <v/>
      </c>
      <c r="V83" s="107" t="n">
        <f aca="false">IF(P83=16,N83*O83*Q83*1.578*1,IF(P83&gt;16,"",IF(P83&lt;16,"")))</f>
        <v>27.74124</v>
      </c>
      <c r="W83" s="106" t="str">
        <f aca="false">IF(P83=20,N83*O83*Q83*2.466*1,IF(P83&gt;20,"",IF(P83&lt;20,"")))</f>
        <v/>
      </c>
      <c r="X83" s="106" t="str">
        <f aca="false">IF(P83=25,N83*O83*Q83*3.853*1,IF(P83&gt;25,"",IF(P83&lt;25,"")))</f>
        <v/>
      </c>
      <c r="Y83" s="108" t="str">
        <f aca="false">IF(P83=32,N83*O83*Q83*6.313*1,IF(P83&gt;32,"",IF(P83&lt;32,"")))</f>
        <v/>
      </c>
      <c r="Z83" s="109"/>
      <c r="AA83" s="110" t="str">
        <f aca="false">IF(AC83&gt;0,N83,"")</f>
        <v/>
      </c>
      <c r="AB83" s="111" t="str">
        <f aca="false">IF(AC83&gt;0,O83,"")</f>
        <v/>
      </c>
      <c r="AC83" s="112"/>
      <c r="AD83" s="112"/>
      <c r="AE83" s="113" t="str">
        <f aca="false">IF(AC83&gt;0,P83,"")</f>
        <v/>
      </c>
      <c r="AF83" s="114" t="str">
        <f aca="false">IF(AE83=6,AA83*AB83*AC83*AD83*(AE83/1000)*0.222*1,IF(AE83&gt;6,"",IF(AE83&lt;6,"")))</f>
        <v/>
      </c>
      <c r="AG83" s="107" t="str">
        <f aca="false">IF(AE83=8,AA83*AB83*AC83*AD83*(AE83/1000)*0.395*1,IF(AE83&gt;8,"",IF(AE83&lt;8,"")))</f>
        <v/>
      </c>
      <c r="AH83" s="107" t="str">
        <f aca="false">IF(AE83=10,AA83*AB83*AC83*AD83*(AE83/1000)*0.617*1,IF(AE83&gt;10,"",IF(AE83&lt;10,"")))</f>
        <v/>
      </c>
      <c r="AI83" s="107" t="str">
        <f aca="false">IF(AE83=12,AA83*AB83*AC83*AD83*(AE83/1000)*0.888*1,IF(AE83&gt;12,"",IF(AE83&lt;12,"")))</f>
        <v/>
      </c>
      <c r="AJ83" s="107" t="str">
        <f aca="false">IF(AE83=16,AA83*AB83*AC83*AD83*(AE83/1000)*1.578*1,IF(AE83&gt;16,"",IF(AE83&lt;16,"")))</f>
        <v/>
      </c>
      <c r="AK83" s="107" t="str">
        <f aca="false">IF(AE83=20,AA83*AB83*AC83*AD83*(AE83/1000)*2.466*1,IF(AE83&gt;20,"",IF(AE83&lt;20,"")))</f>
        <v/>
      </c>
      <c r="AL83" s="107" t="str">
        <f aca="false">IF(AE83=25,AA83*AB83*AC83*AD83*(AE83/1000)*3.853*1,IF(AE83&gt;25,"",IF(AE83&lt;25,"")))</f>
        <v/>
      </c>
      <c r="AM83" s="115" t="str">
        <f aca="false">IF(AE83=32,AA83*AB83*AC83*AD83*(AE83/1000)*6.313*1,IF(AE83&gt;32,"",IF(AE83&lt;32,"")))</f>
        <v/>
      </c>
      <c r="AN83" s="128"/>
      <c r="AO83" s="117" t="s">
        <v>185</v>
      </c>
      <c r="AP83" s="118" t="n">
        <f aca="false">SUM(R83:Y83)+SUM(AN83)</f>
        <v>27.74124</v>
      </c>
      <c r="AQ83" s="118" t="n">
        <f aca="false">SUM(AF83:AM83)</f>
        <v>0</v>
      </c>
      <c r="AR83" s="118"/>
      <c r="AS83" s="119" t="s">
        <v>411</v>
      </c>
      <c r="AT83" s="119" t="s">
        <v>162</v>
      </c>
    </row>
    <row r="84" customFormat="false" ht="13.5" hidden="false" customHeight="false" outlineLevel="0" collapsed="false">
      <c r="A84" s="129"/>
      <c r="B84" s="172"/>
      <c r="C84" s="110"/>
      <c r="D84" s="122"/>
      <c r="E84" s="122"/>
      <c r="F84" s="173"/>
      <c r="G84" s="123"/>
      <c r="H84" s="101"/>
      <c r="I84" s="123"/>
      <c r="J84" s="101"/>
      <c r="K84" s="124" t="s">
        <v>454</v>
      </c>
      <c r="L84" s="125" t="n">
        <v>0.5</v>
      </c>
      <c r="M84" s="125" t="n">
        <v>0.1</v>
      </c>
      <c r="N84" s="126" t="n">
        <f aca="false">$C$82*2*1*1</f>
        <v>2</v>
      </c>
      <c r="O84" s="126" t="n">
        <f aca="false">CEILING(L84/M84,1)+1</f>
        <v>6</v>
      </c>
      <c r="P84" s="126" t="n">
        <v>8</v>
      </c>
      <c r="Q84" s="127" t="n">
        <f aca="false">2*($D$82-2*0.035)+2*($E$82-2*0.035)+20*8/1000</f>
        <v>1.08</v>
      </c>
      <c r="R84" s="105" t="str">
        <f aca="false">IF(P84=6,N84*O84*Q84*0.222*1,IF(P84&gt;6,"",IF(P84&lt;6,"")))</f>
        <v/>
      </c>
      <c r="S84" s="106" t="n">
        <f aca="false">IF(P84=8,N84*O84*Q84*0.395*1,IF(P84&gt;8,"",IF(P84&lt;8,"")))</f>
        <v>5.1192</v>
      </c>
      <c r="T84" s="106" t="str">
        <f aca="false">IF(P84=10,N84*O84*Q84*0.617*1,IF(P84&gt;10,"",IF(P84&lt;10,"")))</f>
        <v/>
      </c>
      <c r="U84" s="106" t="str">
        <f aca="false">IF(P84=12,N84*O84*Q84*0.888*1,IF(P84&gt;12,"",IF(P84&lt;12,"")))</f>
        <v/>
      </c>
      <c r="V84" s="107" t="str">
        <f aca="false">IF(P84=16,N84*O84*Q84*1.578*1,IF(P84&gt;16,"",IF(P84&lt;16,"")))</f>
        <v/>
      </c>
      <c r="W84" s="106" t="str">
        <f aca="false">IF(P84=20,N84*O84*Q84*2.466*1,IF(P84&gt;20,"",IF(P84&lt;20,"")))</f>
        <v/>
      </c>
      <c r="X84" s="106" t="str">
        <f aca="false">IF(P84=25,N84*O84*Q84*3.853*1,IF(P84&gt;25,"",IF(P84&lt;25,"")))</f>
        <v/>
      </c>
      <c r="Y84" s="108" t="str">
        <f aca="false">IF(P84=32,N84*O84*Q84*6.313*1,IF(P84&gt;32,"",IF(P84&lt;32,"")))</f>
        <v/>
      </c>
      <c r="Z84" s="109"/>
      <c r="AA84" s="110" t="str">
        <f aca="false">IF(AC84&gt;0,N84,"")</f>
        <v/>
      </c>
      <c r="AB84" s="111" t="str">
        <f aca="false">IF(AC84&gt;0,O84,"")</f>
        <v/>
      </c>
      <c r="AC84" s="112"/>
      <c r="AD84" s="112"/>
      <c r="AE84" s="113" t="str">
        <f aca="false">IF(AC84&gt;0,P84,"")</f>
        <v/>
      </c>
      <c r="AF84" s="114" t="str">
        <f aca="false">IF(AE84=6,AA84*AB84*AC84*AD84*(AE84/1000)*0.222*1,IF(AE84&gt;6,"",IF(AE84&lt;6,"")))</f>
        <v/>
      </c>
      <c r="AG84" s="107" t="str">
        <f aca="false">IF(AE84=8,AA84*AB84*AC84*AD84*(AE84/1000)*0.395*1,IF(AE84&gt;8,"",IF(AE84&lt;8,"")))</f>
        <v/>
      </c>
      <c r="AH84" s="107" t="str">
        <f aca="false">IF(AE84=10,AA84*AB84*AC84*AD84*(AE84/1000)*0.617*1,IF(AE84&gt;10,"",IF(AE84&lt;10,"")))</f>
        <v/>
      </c>
      <c r="AI84" s="107" t="str">
        <f aca="false">IF(AE84=12,AA84*AB84*AC84*AD84*(AE84/1000)*0.888*1,IF(AE84&gt;12,"",IF(AE84&lt;12,"")))</f>
        <v/>
      </c>
      <c r="AJ84" s="107" t="str">
        <f aca="false">IF(AE84=16,AA84*AB84*AC84*AD84*(AE84/1000)*1.578*1,IF(AE84&gt;16,"",IF(AE84&lt;16,"")))</f>
        <v/>
      </c>
      <c r="AK84" s="107" t="str">
        <f aca="false">IF(AE84=20,AA84*AB84*AC84*AD84*(AE84/1000)*2.466*1,IF(AE84&gt;20,"",IF(AE84&lt;20,"")))</f>
        <v/>
      </c>
      <c r="AL84" s="107" t="str">
        <f aca="false">IF(AE84=25,AA84*AB84*AC84*AD84*(AE84/1000)*3.853*1,IF(AE84&gt;25,"",IF(AE84&lt;25,"")))</f>
        <v/>
      </c>
      <c r="AM84" s="115" t="str">
        <f aca="false">IF(AE84=32,AA84*AB84*AC84*AD84*(AE84/1000)*6.313*1,IF(AE84&gt;32,"",IF(AE84&lt;32,"")))</f>
        <v/>
      </c>
      <c r="AN84" s="128"/>
      <c r="AO84" s="117" t="s">
        <v>185</v>
      </c>
      <c r="AP84" s="118" t="n">
        <f aca="false">SUM(R84:Y84)+SUM(AN84)</f>
        <v>5.1192</v>
      </c>
      <c r="AQ84" s="118" t="n">
        <f aca="false">SUM(AF84:AM84)</f>
        <v>0</v>
      </c>
      <c r="AR84" s="118"/>
      <c r="AS84" s="119" t="s">
        <v>412</v>
      </c>
      <c r="AT84" s="119" t="s">
        <v>162</v>
      </c>
    </row>
    <row r="85" customFormat="false" ht="13.5" hidden="false" customHeight="false" outlineLevel="0" collapsed="false">
      <c r="A85" s="129"/>
      <c r="B85" s="172"/>
      <c r="C85" s="110"/>
      <c r="D85" s="122"/>
      <c r="E85" s="122"/>
      <c r="F85" s="173"/>
      <c r="G85" s="123"/>
      <c r="H85" s="101"/>
      <c r="I85" s="123"/>
      <c r="J85" s="101"/>
      <c r="K85" s="124" t="s">
        <v>407</v>
      </c>
      <c r="L85" s="125" t="n">
        <f aca="false">$F$82-2*0.5*1</f>
        <v>2.595</v>
      </c>
      <c r="M85" s="125" t="n">
        <v>0.15</v>
      </c>
      <c r="N85" s="126" t="n">
        <f aca="false">$C$82*1</f>
        <v>1</v>
      </c>
      <c r="O85" s="126" t="n">
        <f aca="false">CEILING(L85/M85,1)-1</f>
        <v>17</v>
      </c>
      <c r="P85" s="126" t="n">
        <v>8</v>
      </c>
      <c r="Q85" s="127" t="n">
        <f aca="false">2*($D$82-2*0.035)+2*($E$82-2*0.035)+20*8/1000</f>
        <v>1.08</v>
      </c>
      <c r="R85" s="105" t="str">
        <f aca="false">IF(P85=6,N85*O85*Q85*0.222*1,IF(P85&gt;6,"",IF(P85&lt;6,"")))</f>
        <v/>
      </c>
      <c r="S85" s="106" t="n">
        <f aca="false">IF(P85=8,N85*O85*Q85*0.395*1,IF(P85&gt;8,"",IF(P85&lt;8,"")))</f>
        <v>7.2522</v>
      </c>
      <c r="T85" s="106" t="str">
        <f aca="false">IF(P85=10,N85*O85*Q85*0.617*1,IF(P85&gt;10,"",IF(P85&lt;10,"")))</f>
        <v/>
      </c>
      <c r="U85" s="106" t="str">
        <f aca="false">IF(P85=12,N85*O85*Q85*0.888*1,IF(P85&gt;12,"",IF(P85&lt;12,"")))</f>
        <v/>
      </c>
      <c r="V85" s="107" t="str">
        <f aca="false">IF(P85=16,N85*O85*Q85*1.578*1,IF(P85&gt;16,"",IF(P85&lt;16,"")))</f>
        <v/>
      </c>
      <c r="W85" s="106" t="str">
        <f aca="false">IF(P85=20,N85*O85*Q85*2.466*1,IF(P85&gt;20,"",IF(P85&lt;20,"")))</f>
        <v/>
      </c>
      <c r="X85" s="106" t="str">
        <f aca="false">IF(P85=25,N85*O85*Q85*3.853*1,IF(P85&gt;25,"",IF(P85&lt;25,"")))</f>
        <v/>
      </c>
      <c r="Y85" s="108" t="str">
        <f aca="false">IF(P85=32,N85*O85*Q85*6.313*1,IF(P85&gt;32,"",IF(P85&lt;32,"")))</f>
        <v/>
      </c>
      <c r="Z85" s="109"/>
      <c r="AA85" s="110" t="str">
        <f aca="false">IF(AC85&gt;0,N85,"")</f>
        <v/>
      </c>
      <c r="AB85" s="111" t="str">
        <f aca="false">IF(AC85&gt;0,O85,"")</f>
        <v/>
      </c>
      <c r="AC85" s="112"/>
      <c r="AD85" s="112"/>
      <c r="AE85" s="113" t="str">
        <f aca="false">IF(AC85&gt;0,P85,"")</f>
        <v/>
      </c>
      <c r="AF85" s="114" t="str">
        <f aca="false">IF(AE85=6,AA85*AB85*AC85*AD85*(AE85/1000)*0.222*1,IF(AE85&gt;6,"",IF(AE85&lt;6,"")))</f>
        <v/>
      </c>
      <c r="AG85" s="107" t="str">
        <f aca="false">IF(AE85=8,AA85*AB85*AC85*AD85*(AE85/1000)*0.395*1,IF(AE85&gt;8,"",IF(AE85&lt;8,"")))</f>
        <v/>
      </c>
      <c r="AH85" s="107" t="str">
        <f aca="false">IF(AE85=10,AA85*AB85*AC85*AD85*(AE85/1000)*0.617*1,IF(AE85&gt;10,"",IF(AE85&lt;10,"")))</f>
        <v/>
      </c>
      <c r="AI85" s="107" t="str">
        <f aca="false">IF(AE85=12,AA85*AB85*AC85*AD85*(AE85/1000)*0.888*1,IF(AE85&gt;12,"",IF(AE85&lt;12,"")))</f>
        <v/>
      </c>
      <c r="AJ85" s="107" t="str">
        <f aca="false">IF(AE85=16,AA85*AB85*AC85*AD85*(AE85/1000)*1.578*1,IF(AE85&gt;16,"",IF(AE85&lt;16,"")))</f>
        <v/>
      </c>
      <c r="AK85" s="107" t="str">
        <f aca="false">IF(AE85=20,AA85*AB85*AC85*AD85*(AE85/1000)*2.466*1,IF(AE85&gt;20,"",IF(AE85&lt;20,"")))</f>
        <v/>
      </c>
      <c r="AL85" s="107" t="str">
        <f aca="false">IF(AE85=25,AA85*AB85*AC85*AD85*(AE85/1000)*3.853*1,IF(AE85&gt;25,"",IF(AE85&lt;25,"")))</f>
        <v/>
      </c>
      <c r="AM85" s="115" t="str">
        <f aca="false">IF(AE85=32,AA85*AB85*AC85*AD85*(AE85/1000)*6.313*1,IF(AE85&gt;32,"",IF(AE85&lt;32,"")))</f>
        <v/>
      </c>
      <c r="AN85" s="128"/>
      <c r="AO85" s="117" t="s">
        <v>185</v>
      </c>
      <c r="AP85" s="118" t="n">
        <f aca="false">SUM(R85:Y85)+SUM(AN85)</f>
        <v>7.2522</v>
      </c>
      <c r="AQ85" s="118" t="n">
        <f aca="false">SUM(AF85:AM85)</f>
        <v>0</v>
      </c>
      <c r="AR85" s="118"/>
      <c r="AS85" s="119" t="s">
        <v>408</v>
      </c>
      <c r="AT85" s="119" t="s">
        <v>162</v>
      </c>
    </row>
    <row r="86" s="55" customFormat="true" ht="13.5" hidden="false" customHeight="false" outlineLevel="0" collapsed="false">
      <c r="A86" s="129"/>
      <c r="B86" s="130"/>
      <c r="C86" s="110"/>
      <c r="D86" s="122"/>
      <c r="E86" s="122"/>
      <c r="F86" s="122"/>
      <c r="G86" s="123"/>
      <c r="H86" s="101"/>
      <c r="I86" s="123"/>
      <c r="J86" s="101"/>
      <c r="K86" s="124"/>
      <c r="L86" s="125"/>
      <c r="M86" s="125"/>
      <c r="N86" s="126"/>
      <c r="O86" s="126"/>
      <c r="P86" s="126"/>
      <c r="Q86" s="127"/>
      <c r="R86" s="105"/>
      <c r="S86" s="106"/>
      <c r="T86" s="106"/>
      <c r="U86" s="106"/>
      <c r="V86" s="107"/>
      <c r="W86" s="106"/>
      <c r="X86" s="106"/>
      <c r="Y86" s="108"/>
      <c r="Z86" s="109"/>
      <c r="AA86" s="110"/>
      <c r="AB86" s="111"/>
      <c r="AC86" s="112"/>
      <c r="AD86" s="112"/>
      <c r="AE86" s="113"/>
      <c r="AF86" s="114"/>
      <c r="AG86" s="107"/>
      <c r="AH86" s="107"/>
      <c r="AI86" s="107"/>
      <c r="AJ86" s="107"/>
      <c r="AK86" s="107"/>
      <c r="AL86" s="107"/>
      <c r="AM86" s="115"/>
      <c r="AO86" s="117"/>
      <c r="AP86" s="118"/>
      <c r="AQ86" s="118"/>
      <c r="AR86" s="118"/>
      <c r="AS86" s="119"/>
      <c r="AT86" s="119"/>
    </row>
    <row r="87" s="95" customFormat="true" ht="13.5" hidden="false" customHeight="false" outlineLevel="0" collapsed="false">
      <c r="A87" s="96"/>
      <c r="B87" s="97" t="s">
        <v>455</v>
      </c>
      <c r="C87" s="98"/>
      <c r="D87" s="99"/>
      <c r="E87" s="99"/>
      <c r="F87" s="99"/>
      <c r="G87" s="100"/>
      <c r="H87" s="101"/>
      <c r="I87" s="100"/>
      <c r="J87" s="101"/>
      <c r="K87" s="102"/>
      <c r="L87" s="103"/>
      <c r="M87" s="103"/>
      <c r="N87" s="104"/>
      <c r="O87" s="104"/>
      <c r="P87" s="104"/>
      <c r="Q87" s="100"/>
      <c r="R87" s="105"/>
      <c r="S87" s="106"/>
      <c r="T87" s="106"/>
      <c r="U87" s="106"/>
      <c r="V87" s="107"/>
      <c r="W87" s="106"/>
      <c r="X87" s="106"/>
      <c r="Y87" s="108"/>
      <c r="Z87" s="109"/>
      <c r="AA87" s="110"/>
      <c r="AB87" s="111"/>
      <c r="AC87" s="112"/>
      <c r="AD87" s="112"/>
      <c r="AE87" s="113"/>
      <c r="AF87" s="114"/>
      <c r="AG87" s="107"/>
      <c r="AH87" s="107"/>
      <c r="AI87" s="107"/>
      <c r="AJ87" s="107"/>
      <c r="AK87" s="107"/>
      <c r="AL87" s="107"/>
      <c r="AM87" s="115"/>
      <c r="AO87" s="117"/>
      <c r="AP87" s="118"/>
      <c r="AQ87" s="118"/>
      <c r="AR87" s="118"/>
      <c r="AS87" s="119"/>
      <c r="AT87" s="119"/>
    </row>
    <row r="88" s="116" customFormat="true" ht="13.5" hidden="false" customHeight="false" outlineLevel="0" collapsed="false">
      <c r="A88" s="120"/>
      <c r="B88" s="121" t="s">
        <v>456</v>
      </c>
      <c r="C88" s="110" t="n">
        <v>6</v>
      </c>
      <c r="D88" s="122" t="n">
        <v>0.2</v>
      </c>
      <c r="E88" s="122" t="n">
        <v>0.2</v>
      </c>
      <c r="F88" s="122" t="n">
        <v>1.3</v>
      </c>
      <c r="G88" s="123" t="n">
        <f aca="false">C88*D88*E88*F88</f>
        <v>0.312</v>
      </c>
      <c r="H88" s="101"/>
      <c r="I88" s="123" t="n">
        <f aca="false">2*(D88+E88)*F88*C88</f>
        <v>6.24</v>
      </c>
      <c r="J88" s="101"/>
      <c r="K88" s="124"/>
      <c r="L88" s="125"/>
      <c r="M88" s="125"/>
      <c r="N88" s="126"/>
      <c r="O88" s="126"/>
      <c r="P88" s="126"/>
      <c r="Q88" s="127"/>
      <c r="R88" s="105" t="str">
        <f aca="false">IF(P88=6,N88*O88*Q88*0.222*1,IF(P88&gt;6,"",IF(P88&lt;6,"")))</f>
        <v/>
      </c>
      <c r="S88" s="106" t="str">
        <f aca="false">IF(P88=8,N88*O88*Q88*0.395*1,IF(P88&gt;8,"",IF(P88&lt;8,"")))</f>
        <v/>
      </c>
      <c r="T88" s="106" t="str">
        <f aca="false">IF(P88=10,N88*O88*Q88*0.617*1,IF(P88&gt;10,"",IF(P88&lt;10,"")))</f>
        <v/>
      </c>
      <c r="U88" s="106" t="str">
        <f aca="false">IF(P88=12,N88*O88*Q88*0.888*1,IF(P88&gt;12,"",IF(P88&lt;12,"")))</f>
        <v/>
      </c>
      <c r="V88" s="107" t="str">
        <f aca="false">IF(P88=16,N88*O88*Q88*1.578*1,IF(P88&gt;16,"",IF(P88&lt;16,"")))</f>
        <v/>
      </c>
      <c r="W88" s="106" t="str">
        <f aca="false">IF(P88=20,N88*O88*Q88*2.466*1,IF(P88&gt;20,"",IF(P88&lt;20,"")))</f>
        <v/>
      </c>
      <c r="X88" s="106" t="str">
        <f aca="false">IF(P88=25,N88*O88*Q88*3.853*1,IF(P88&gt;25,"",IF(P88&lt;25,"")))</f>
        <v/>
      </c>
      <c r="Y88" s="108" t="str">
        <f aca="false">IF(P88=32,N88*O88*Q88*6.313*1,IF(P88&gt;32,"",IF(P88&lt;32,"")))</f>
        <v/>
      </c>
      <c r="Z88" s="109"/>
      <c r="AA88" s="110" t="str">
        <f aca="false">IF(AC88&gt;0,N88,"")</f>
        <v/>
      </c>
      <c r="AB88" s="111" t="str">
        <f aca="false">IF(AC88&gt;0,O88,"")</f>
        <v/>
      </c>
      <c r="AC88" s="112"/>
      <c r="AD88" s="112"/>
      <c r="AE88" s="113" t="str">
        <f aca="false">IF(AC88&gt;0,P88,"")</f>
        <v/>
      </c>
      <c r="AF88" s="114" t="str">
        <f aca="false">IF(AE88=6,AA88*AB88*AC88*AD88*(AE88/1000)*0.222*1,IF(AE88&gt;6,"",IF(AE88&lt;6,"")))</f>
        <v/>
      </c>
      <c r="AG88" s="107" t="str">
        <f aca="false">IF(AE88=8,AA88*AB88*AC88*AD88*(AE88/1000)*0.395*1,IF(AE88&gt;8,"",IF(AE88&lt;8,"")))</f>
        <v/>
      </c>
      <c r="AH88" s="107" t="str">
        <f aca="false">IF(AE88=10,AA88*AB88*AC88*AD88*(AE88/1000)*0.617*1,IF(AE88&gt;10,"",IF(AE88&lt;10,"")))</f>
        <v/>
      </c>
      <c r="AI88" s="107" t="str">
        <f aca="false">IF(AE88=12,AA88*AB88*AC88*AD88*(AE88/1000)*0.888*1,IF(AE88&gt;12,"",IF(AE88&lt;12,"")))</f>
        <v/>
      </c>
      <c r="AJ88" s="107" t="str">
        <f aca="false">IF(AE88=16,AA88*AB88*AC88*AD88*(AE88/1000)*1.578*1,IF(AE88&gt;16,"",IF(AE88&lt;16,"")))</f>
        <v/>
      </c>
      <c r="AK88" s="107" t="str">
        <f aca="false">IF(AE88=20,AA88*AB88*AC88*AD88*(AE88/1000)*2.466*1,IF(AE88&gt;20,"",IF(AE88&lt;20,"")))</f>
        <v/>
      </c>
      <c r="AL88" s="107" t="str">
        <f aca="false">IF(AE88=25,AA88*AB88*AC88*AD88*(AE88/1000)*3.853*1,IF(AE88&gt;25,"",IF(AE88&lt;25,"")))</f>
        <v/>
      </c>
      <c r="AM88" s="115" t="str">
        <f aca="false">IF(AE88=32,AA88*AB88*AC88*AD88*(AE88/1000)*6.313*1,IF(AE88&gt;32,"",IF(AE88&lt;32,"")))</f>
        <v/>
      </c>
      <c r="AN88" s="128"/>
      <c r="AO88" s="117" t="s">
        <v>457</v>
      </c>
      <c r="AP88" s="118" t="n">
        <f aca="false">SUM(R88:Y88)+SUM(AN88)</f>
        <v>0</v>
      </c>
      <c r="AQ88" s="118" t="n">
        <f aca="false">SUM(AF88:AM88)</f>
        <v>0</v>
      </c>
      <c r="AR88" s="118" t="n">
        <v>0.312</v>
      </c>
      <c r="AS88" s="119" t="s">
        <v>458</v>
      </c>
      <c r="AT88" s="119" t="s">
        <v>209</v>
      </c>
    </row>
    <row r="89" customFormat="false" ht="13.5" hidden="false" customHeight="false" outlineLevel="0" collapsed="false">
      <c r="A89" s="129"/>
      <c r="B89" s="172"/>
      <c r="C89" s="110"/>
      <c r="D89" s="122"/>
      <c r="E89" s="122"/>
      <c r="F89" s="173"/>
      <c r="G89" s="123"/>
      <c r="H89" s="101"/>
      <c r="I89" s="123"/>
      <c r="J89" s="101"/>
      <c r="K89" s="124" t="s">
        <v>459</v>
      </c>
      <c r="L89" s="125"/>
      <c r="M89" s="125"/>
      <c r="N89" s="126" t="n">
        <f aca="false">$C$88</f>
        <v>6</v>
      </c>
      <c r="O89" s="126" t="n">
        <v>4</v>
      </c>
      <c r="P89" s="126" t="n">
        <v>10</v>
      </c>
      <c r="Q89" s="127" t="n">
        <f aca="false">$F$88+50*10/1000+0.2</f>
        <v>2</v>
      </c>
      <c r="R89" s="105" t="str">
        <f aca="false">IF(P89=6,N89*O89*Q89*0.222*1,IF(P89&gt;6,"",IF(P89&lt;6,"")))</f>
        <v/>
      </c>
      <c r="S89" s="106" t="str">
        <f aca="false">IF(P89=8,N89*O89*Q89*0.395*1,IF(P89&gt;8,"",IF(P89&lt;8,"")))</f>
        <v/>
      </c>
      <c r="T89" s="106" t="n">
        <f aca="false">IF(P89=10,N89*O89*Q89*0.617*1,IF(P89&gt;10,"",IF(P89&lt;10,"")))</f>
        <v>29.616</v>
      </c>
      <c r="U89" s="106" t="str">
        <f aca="false">IF(P89=12,N89*O89*Q89*0.888*1,IF(P89&gt;12,"",IF(P89&lt;12,"")))</f>
        <v/>
      </c>
      <c r="V89" s="107" t="str">
        <f aca="false">IF(P89=16,N89*O89*Q89*1.578*1,IF(P89&gt;16,"",IF(P89&lt;16,"")))</f>
        <v/>
      </c>
      <c r="W89" s="106" t="str">
        <f aca="false">IF(P89=20,N89*O89*Q89*2.466*1,IF(P89&gt;20,"",IF(P89&lt;20,"")))</f>
        <v/>
      </c>
      <c r="X89" s="106" t="str">
        <f aca="false">IF(P89=25,N89*O89*Q89*3.853*1,IF(P89&gt;25,"",IF(P89&lt;25,"")))</f>
        <v/>
      </c>
      <c r="Y89" s="108" t="str">
        <f aca="false">IF(P89=32,N89*O89*Q89*6.313*1,IF(P89&gt;32,"",IF(P89&lt;32,"")))</f>
        <v/>
      </c>
      <c r="Z89" s="109"/>
      <c r="AA89" s="110" t="str">
        <f aca="false">IF(AC89&gt;0,N89,"")</f>
        <v/>
      </c>
      <c r="AB89" s="111" t="str">
        <f aca="false">IF(AC89&gt;0,O89,"")</f>
        <v/>
      </c>
      <c r="AC89" s="112"/>
      <c r="AD89" s="112"/>
      <c r="AE89" s="113" t="str">
        <f aca="false">IF(AC89&gt;0,P89,"")</f>
        <v/>
      </c>
      <c r="AF89" s="114" t="str">
        <f aca="false">IF(AE89=6,AA89*AB89*AC89*AD89*(AE89/1000)*0.222*1,IF(AE89&gt;6,"",IF(AE89&lt;6,"")))</f>
        <v/>
      </c>
      <c r="AG89" s="107" t="str">
        <f aca="false">IF(AE89=8,AA89*AB89*AC89*AD89*(AE89/1000)*0.395*1,IF(AE89&gt;8,"",IF(AE89&lt;8,"")))</f>
        <v/>
      </c>
      <c r="AH89" s="107" t="str">
        <f aca="false">IF(AE89=10,AA89*AB89*AC89*AD89*(AE89/1000)*0.617*1,IF(AE89&gt;10,"",IF(AE89&lt;10,"")))</f>
        <v/>
      </c>
      <c r="AI89" s="107" t="str">
        <f aca="false">IF(AE89=12,AA89*AB89*AC89*AD89*(AE89/1000)*0.888*1,IF(AE89&gt;12,"",IF(AE89&lt;12,"")))</f>
        <v/>
      </c>
      <c r="AJ89" s="107" t="str">
        <f aca="false">IF(AE89=16,AA89*AB89*AC89*AD89*(AE89/1000)*1.578*1,IF(AE89&gt;16,"",IF(AE89&lt;16,"")))</f>
        <v/>
      </c>
      <c r="AK89" s="107" t="str">
        <f aca="false">IF(AE89=20,AA89*AB89*AC89*AD89*(AE89/1000)*2.466*1,IF(AE89&gt;20,"",IF(AE89&lt;20,"")))</f>
        <v/>
      </c>
      <c r="AL89" s="107" t="str">
        <f aca="false">IF(AE89=25,AA89*AB89*AC89*AD89*(AE89/1000)*3.853*1,IF(AE89&gt;25,"",IF(AE89&lt;25,"")))</f>
        <v/>
      </c>
      <c r="AM89" s="115" t="str">
        <f aca="false">IF(AE89=32,AA89*AB89*AC89*AD89*(AE89/1000)*6.313*1,IF(AE89&gt;32,"",IF(AE89&lt;32,"")))</f>
        <v/>
      </c>
      <c r="AN89" s="128"/>
      <c r="AO89" s="117" t="s">
        <v>457</v>
      </c>
      <c r="AP89" s="118" t="n">
        <f aca="false">SUM(R89:Y89)+SUM(AN89)</f>
        <v>29.616</v>
      </c>
      <c r="AQ89" s="118" t="n">
        <f aca="false">SUM(AF89:AM89)</f>
        <v>0</v>
      </c>
      <c r="AR89" s="118"/>
      <c r="AS89" s="119" t="s">
        <v>460</v>
      </c>
      <c r="AT89" s="119" t="s">
        <v>162</v>
      </c>
    </row>
    <row r="90" customFormat="false" ht="13.5" hidden="false" customHeight="false" outlineLevel="0" collapsed="false">
      <c r="A90" s="129"/>
      <c r="B90" s="172"/>
      <c r="C90" s="110"/>
      <c r="D90" s="122"/>
      <c r="E90" s="122"/>
      <c r="F90" s="173"/>
      <c r="G90" s="123"/>
      <c r="H90" s="101"/>
      <c r="I90" s="123"/>
      <c r="J90" s="101"/>
      <c r="K90" s="124" t="s">
        <v>461</v>
      </c>
      <c r="L90" s="125" t="n">
        <f aca="false">$F$88</f>
        <v>1.3</v>
      </c>
      <c r="M90" s="125" t="n">
        <v>0.2</v>
      </c>
      <c r="N90" s="126" t="n">
        <f aca="false">$C$88*1</f>
        <v>6</v>
      </c>
      <c r="O90" s="126" t="n">
        <f aca="false">CEILING(L90/M90,1)+1</f>
        <v>8</v>
      </c>
      <c r="P90" s="126" t="n">
        <v>6</v>
      </c>
      <c r="Q90" s="127" t="n">
        <f aca="false">2*($D$88-2*0.035)+2*($E$88-2*0.035)+20*6/1000</f>
        <v>0.64</v>
      </c>
      <c r="R90" s="105" t="n">
        <f aca="false">IF(P90=6,N90*O90*Q90*0.222*1,IF(P90&gt;6,"",IF(P90&lt;6,"")))</f>
        <v>6.81984</v>
      </c>
      <c r="S90" s="106" t="str">
        <f aca="false">IF(P90=8,N90*O90*Q90*0.395*1,IF(P90&gt;8,"",IF(P90&lt;8,"")))</f>
        <v/>
      </c>
      <c r="T90" s="106" t="str">
        <f aca="false">IF(P90=10,N90*O90*Q90*0.617*1,IF(P90&gt;10,"",IF(P90&lt;10,"")))</f>
        <v/>
      </c>
      <c r="U90" s="106" t="str">
        <f aca="false">IF(P90=12,N90*O90*Q90*0.888*1,IF(P90&gt;12,"",IF(P90&lt;12,"")))</f>
        <v/>
      </c>
      <c r="V90" s="107" t="str">
        <f aca="false">IF(P90=16,N90*O90*Q90*1.578*1,IF(P90&gt;16,"",IF(P90&lt;16,"")))</f>
        <v/>
      </c>
      <c r="W90" s="106" t="str">
        <f aca="false">IF(P90=20,N90*O90*Q90*2.466*1,IF(P90&gt;20,"",IF(P90&lt;20,"")))</f>
        <v/>
      </c>
      <c r="X90" s="106" t="str">
        <f aca="false">IF(P90=25,N90*O90*Q90*3.853*1,IF(P90&gt;25,"",IF(P90&lt;25,"")))</f>
        <v/>
      </c>
      <c r="Y90" s="108" t="str">
        <f aca="false">IF(P90=32,N90*O90*Q90*6.313*1,IF(P90&gt;32,"",IF(P90&lt;32,"")))</f>
        <v/>
      </c>
      <c r="Z90" s="109"/>
      <c r="AA90" s="110" t="str">
        <f aca="false">IF(AC90&gt;0,N90,"")</f>
        <v/>
      </c>
      <c r="AB90" s="111" t="str">
        <f aca="false">IF(AC90&gt;0,O90,"")</f>
        <v/>
      </c>
      <c r="AC90" s="112"/>
      <c r="AD90" s="112"/>
      <c r="AE90" s="113" t="str">
        <f aca="false">IF(AC90&gt;0,P90,"")</f>
        <v/>
      </c>
      <c r="AF90" s="114" t="str">
        <f aca="false">IF(AE90=6,AA90*AB90*AC90*AD90*(AE90/1000)*0.222*1,IF(AE90&gt;6,"",IF(AE90&lt;6,"")))</f>
        <v/>
      </c>
      <c r="AG90" s="107" t="str">
        <f aca="false">IF(AE90=8,AA90*AB90*AC90*AD90*(AE90/1000)*0.395*1,IF(AE90&gt;8,"",IF(AE90&lt;8,"")))</f>
        <v/>
      </c>
      <c r="AH90" s="107" t="str">
        <f aca="false">IF(AE90=10,AA90*AB90*AC90*AD90*(AE90/1000)*0.617*1,IF(AE90&gt;10,"",IF(AE90&lt;10,"")))</f>
        <v/>
      </c>
      <c r="AI90" s="107" t="str">
        <f aca="false">IF(AE90=12,AA90*AB90*AC90*AD90*(AE90/1000)*0.888*1,IF(AE90&gt;12,"",IF(AE90&lt;12,"")))</f>
        <v/>
      </c>
      <c r="AJ90" s="107" t="str">
        <f aca="false">IF(AE90=16,AA90*AB90*AC90*AD90*(AE90/1000)*1.578*1,IF(AE90&gt;16,"",IF(AE90&lt;16,"")))</f>
        <v/>
      </c>
      <c r="AK90" s="107" t="str">
        <f aca="false">IF(AE90=20,AA90*AB90*AC90*AD90*(AE90/1000)*2.466*1,IF(AE90&gt;20,"",IF(AE90&lt;20,"")))</f>
        <v/>
      </c>
      <c r="AL90" s="107" t="str">
        <f aca="false">IF(AE90=25,AA90*AB90*AC90*AD90*(AE90/1000)*3.853*1,IF(AE90&gt;25,"",IF(AE90&lt;25,"")))</f>
        <v/>
      </c>
      <c r="AM90" s="115" t="str">
        <f aca="false">IF(AE90=32,AA90*AB90*AC90*AD90*(AE90/1000)*6.313*1,IF(AE90&gt;32,"",IF(AE90&lt;32,"")))</f>
        <v/>
      </c>
      <c r="AN90" s="128"/>
      <c r="AO90" s="117" t="s">
        <v>457</v>
      </c>
      <c r="AP90" s="118" t="n">
        <f aca="false">SUM(R90:Y90)+SUM(AN90)</f>
        <v>6.81984</v>
      </c>
      <c r="AQ90" s="118" t="n">
        <f aca="false">SUM(AF90:AM90)</f>
        <v>0</v>
      </c>
      <c r="AR90" s="118"/>
      <c r="AS90" s="119"/>
      <c r="AT90" s="119" t="s">
        <v>162</v>
      </c>
    </row>
    <row r="91" customFormat="false" ht="13.5" hidden="false" customHeight="false" outlineLevel="0" collapsed="false">
      <c r="A91" s="129"/>
      <c r="B91" s="130"/>
      <c r="C91" s="110"/>
      <c r="D91" s="122"/>
      <c r="E91" s="122"/>
      <c r="F91" s="122"/>
      <c r="G91" s="123"/>
      <c r="H91" s="101"/>
      <c r="I91" s="123"/>
      <c r="J91" s="101"/>
      <c r="K91" s="124"/>
      <c r="L91" s="125"/>
      <c r="M91" s="125"/>
      <c r="N91" s="126"/>
      <c r="O91" s="126"/>
      <c r="P91" s="126"/>
      <c r="Q91" s="127"/>
      <c r="R91" s="105"/>
      <c r="S91" s="106"/>
      <c r="T91" s="106"/>
      <c r="U91" s="106"/>
      <c r="V91" s="107"/>
      <c r="W91" s="106"/>
      <c r="X91" s="106"/>
      <c r="Y91" s="108"/>
      <c r="Z91" s="109"/>
      <c r="AA91" s="110"/>
      <c r="AB91" s="111"/>
      <c r="AC91" s="112"/>
      <c r="AD91" s="112"/>
      <c r="AE91" s="113"/>
      <c r="AF91" s="114"/>
      <c r="AG91" s="107"/>
      <c r="AH91" s="107"/>
      <c r="AI91" s="107"/>
      <c r="AJ91" s="107"/>
      <c r="AK91" s="107"/>
      <c r="AL91" s="107"/>
      <c r="AM91" s="115"/>
      <c r="AO91" s="117"/>
      <c r="AP91" s="118"/>
      <c r="AQ91" s="118"/>
      <c r="AR91" s="118"/>
      <c r="AS91" s="119"/>
      <c r="AT91" s="119"/>
    </row>
    <row r="92" customFormat="false" ht="13.5" hidden="false" customHeight="false" outlineLevel="0" collapsed="false">
      <c r="A92" s="120"/>
      <c r="B92" s="121" t="s">
        <v>462</v>
      </c>
      <c r="C92" s="110" t="n">
        <v>2</v>
      </c>
      <c r="D92" s="122" t="n">
        <v>0.2</v>
      </c>
      <c r="E92" s="122" t="n">
        <v>0.2</v>
      </c>
      <c r="F92" s="122" t="n">
        <v>2.5128</v>
      </c>
      <c r="G92" s="123" t="n">
        <f aca="false">C92*D92*E92*F92</f>
        <v>0.201024</v>
      </c>
      <c r="H92" s="101"/>
      <c r="I92" s="123" t="n">
        <f aca="false">2*(D92+E92)*F92*C92</f>
        <v>4.02048</v>
      </c>
      <c r="J92" s="101"/>
      <c r="K92" s="124"/>
      <c r="L92" s="125"/>
      <c r="M92" s="125"/>
      <c r="N92" s="126"/>
      <c r="O92" s="126"/>
      <c r="P92" s="126"/>
      <c r="Q92" s="127"/>
      <c r="R92" s="105" t="str">
        <f aca="false">IF(P92=6,N92*O92*Q92*0.222*1,IF(P92&gt;6,"",IF(P92&lt;6,"")))</f>
        <v/>
      </c>
      <c r="S92" s="106" t="str">
        <f aca="false">IF(P92=8,N92*O92*Q92*0.395*1,IF(P92&gt;8,"",IF(P92&lt;8,"")))</f>
        <v/>
      </c>
      <c r="T92" s="106" t="str">
        <f aca="false">IF(P92=10,N92*O92*Q92*0.617*1,IF(P92&gt;10,"",IF(P92&lt;10,"")))</f>
        <v/>
      </c>
      <c r="U92" s="106" t="str">
        <f aca="false">IF(P92=12,N92*O92*Q92*0.888*1,IF(P92&gt;12,"",IF(P92&lt;12,"")))</f>
        <v/>
      </c>
      <c r="V92" s="107" t="str">
        <f aca="false">IF(P92=16,N92*O92*Q92*1.578*1,IF(P92&gt;16,"",IF(P92&lt;16,"")))</f>
        <v/>
      </c>
      <c r="W92" s="106" t="str">
        <f aca="false">IF(P92=20,N92*O92*Q92*2.466*1,IF(P92&gt;20,"",IF(P92&lt;20,"")))</f>
        <v/>
      </c>
      <c r="X92" s="106" t="str">
        <f aca="false">IF(P92=25,N92*O92*Q92*3.853*1,IF(P92&gt;25,"",IF(P92&lt;25,"")))</f>
        <v/>
      </c>
      <c r="Y92" s="108" t="str">
        <f aca="false">IF(P92=32,N92*O92*Q92*6.313*1,IF(P92&gt;32,"",IF(P92&lt;32,"")))</f>
        <v/>
      </c>
      <c r="Z92" s="109"/>
      <c r="AA92" s="110" t="str">
        <f aca="false">IF(AC92&gt;0,N92,"")</f>
        <v/>
      </c>
      <c r="AB92" s="111" t="str">
        <f aca="false">IF(AC92&gt;0,O92,"")</f>
        <v/>
      </c>
      <c r="AC92" s="112"/>
      <c r="AD92" s="112"/>
      <c r="AE92" s="113" t="str">
        <f aca="false">IF(AC92&gt;0,P92,"")</f>
        <v/>
      </c>
      <c r="AF92" s="114" t="str">
        <f aca="false">IF(AE92=6,AA92*AB92*AC92*AD92*(AE92/1000)*0.222*1,IF(AE92&gt;6,"",IF(AE92&lt;6,"")))</f>
        <v/>
      </c>
      <c r="AG92" s="107" t="str">
        <f aca="false">IF(AE92=8,AA92*AB92*AC92*AD92*(AE92/1000)*0.395*1,IF(AE92&gt;8,"",IF(AE92&lt;8,"")))</f>
        <v/>
      </c>
      <c r="AH92" s="107" t="str">
        <f aca="false">IF(AE92=10,AA92*AB92*AC92*AD92*(AE92/1000)*0.617*1,IF(AE92&gt;10,"",IF(AE92&lt;10,"")))</f>
        <v/>
      </c>
      <c r="AI92" s="107" t="str">
        <f aca="false">IF(AE92=12,AA92*AB92*AC92*AD92*(AE92/1000)*0.888*1,IF(AE92&gt;12,"",IF(AE92&lt;12,"")))</f>
        <v/>
      </c>
      <c r="AJ92" s="107" t="str">
        <f aca="false">IF(AE92=16,AA92*AB92*AC92*AD92*(AE92/1000)*1.578*1,IF(AE92&gt;16,"",IF(AE92&lt;16,"")))</f>
        <v/>
      </c>
      <c r="AK92" s="107" t="str">
        <f aca="false">IF(AE92=20,AA92*AB92*AC92*AD92*(AE92/1000)*2.466*1,IF(AE92&gt;20,"",IF(AE92&lt;20,"")))</f>
        <v/>
      </c>
      <c r="AL92" s="107" t="str">
        <f aca="false">IF(AE92=25,AA92*AB92*AC92*AD92*(AE92/1000)*3.853*1,IF(AE92&gt;25,"",IF(AE92&lt;25,"")))</f>
        <v/>
      </c>
      <c r="AM92" s="115" t="str">
        <f aca="false">IF(AE92=32,AA92*AB92*AC92*AD92*(AE92/1000)*6.313*1,IF(AE92&gt;32,"",IF(AE92&lt;32,"")))</f>
        <v/>
      </c>
      <c r="AN92" s="128"/>
      <c r="AO92" s="117" t="s">
        <v>457</v>
      </c>
      <c r="AP92" s="118" t="n">
        <f aca="false">SUM(R92:Y92)+SUM(AN92)</f>
        <v>0</v>
      </c>
      <c r="AQ92" s="118" t="n">
        <f aca="false">SUM(AF92:AM92)</f>
        <v>0</v>
      </c>
      <c r="AR92" s="118" t="n">
        <v>0.201</v>
      </c>
      <c r="AS92" s="119" t="s">
        <v>458</v>
      </c>
      <c r="AT92" s="119" t="s">
        <v>209</v>
      </c>
    </row>
    <row r="93" customFormat="false" ht="13.5" hidden="false" customHeight="false" outlineLevel="0" collapsed="false">
      <c r="A93" s="129"/>
      <c r="B93" s="172"/>
      <c r="C93" s="110"/>
      <c r="D93" s="122"/>
      <c r="E93" s="122"/>
      <c r="F93" s="173"/>
      <c r="G93" s="123"/>
      <c r="H93" s="101"/>
      <c r="I93" s="123"/>
      <c r="J93" s="101"/>
      <c r="K93" s="124" t="s">
        <v>459</v>
      </c>
      <c r="L93" s="125"/>
      <c r="M93" s="125"/>
      <c r="N93" s="126" t="n">
        <f aca="false">$C$92</f>
        <v>2</v>
      </c>
      <c r="O93" s="126" t="n">
        <v>4</v>
      </c>
      <c r="P93" s="126" t="n">
        <v>10</v>
      </c>
      <c r="Q93" s="127" t="n">
        <f aca="false">$F$92+50*10/1000+0.2</f>
        <v>3.2128</v>
      </c>
      <c r="R93" s="105" t="str">
        <f aca="false">IF(P93=6,N93*O93*Q93*0.222*1,IF(P93&gt;6,"",IF(P93&lt;6,"")))</f>
        <v/>
      </c>
      <c r="S93" s="106" t="str">
        <f aca="false">IF(P93=8,N93*O93*Q93*0.395*1,IF(P93&gt;8,"",IF(P93&lt;8,"")))</f>
        <v/>
      </c>
      <c r="T93" s="106" t="n">
        <f aca="false">IF(P93=10,N93*O93*Q93*0.617*1,IF(P93&gt;10,"",IF(P93&lt;10,"")))</f>
        <v>15.8583808</v>
      </c>
      <c r="U93" s="106" t="str">
        <f aca="false">IF(P93=12,N93*O93*Q93*0.888*1,IF(P93&gt;12,"",IF(P93&lt;12,"")))</f>
        <v/>
      </c>
      <c r="V93" s="107" t="str">
        <f aca="false">IF(P93=16,N93*O93*Q93*1.578*1,IF(P93&gt;16,"",IF(P93&lt;16,"")))</f>
        <v/>
      </c>
      <c r="W93" s="106" t="str">
        <f aca="false">IF(P93=20,N93*O93*Q93*2.466*1,IF(P93&gt;20,"",IF(P93&lt;20,"")))</f>
        <v/>
      </c>
      <c r="X93" s="106" t="str">
        <f aca="false">IF(P93=25,N93*O93*Q93*3.853*1,IF(P93&gt;25,"",IF(P93&lt;25,"")))</f>
        <v/>
      </c>
      <c r="Y93" s="108" t="str">
        <f aca="false">IF(P93=32,N93*O93*Q93*6.313*1,IF(P93&gt;32,"",IF(P93&lt;32,"")))</f>
        <v/>
      </c>
      <c r="Z93" s="109"/>
      <c r="AA93" s="110" t="str">
        <f aca="false">IF(AC93&gt;0,N93,"")</f>
        <v/>
      </c>
      <c r="AB93" s="111" t="str">
        <f aca="false">IF(AC93&gt;0,O93,"")</f>
        <v/>
      </c>
      <c r="AC93" s="112"/>
      <c r="AD93" s="112"/>
      <c r="AE93" s="113" t="str">
        <f aca="false">IF(AC93&gt;0,P93,"")</f>
        <v/>
      </c>
      <c r="AF93" s="114" t="str">
        <f aca="false">IF(AE93=6,AA93*AB93*AC93*AD93*(AE93/1000)*0.222*1,IF(AE93&gt;6,"",IF(AE93&lt;6,"")))</f>
        <v/>
      </c>
      <c r="AG93" s="107" t="str">
        <f aca="false">IF(AE93=8,AA93*AB93*AC93*AD93*(AE93/1000)*0.395*1,IF(AE93&gt;8,"",IF(AE93&lt;8,"")))</f>
        <v/>
      </c>
      <c r="AH93" s="107" t="str">
        <f aca="false">IF(AE93=10,AA93*AB93*AC93*AD93*(AE93/1000)*0.617*1,IF(AE93&gt;10,"",IF(AE93&lt;10,"")))</f>
        <v/>
      </c>
      <c r="AI93" s="107" t="str">
        <f aca="false">IF(AE93=12,AA93*AB93*AC93*AD93*(AE93/1000)*0.888*1,IF(AE93&gt;12,"",IF(AE93&lt;12,"")))</f>
        <v/>
      </c>
      <c r="AJ93" s="107" t="str">
        <f aca="false">IF(AE93=16,AA93*AB93*AC93*AD93*(AE93/1000)*1.578*1,IF(AE93&gt;16,"",IF(AE93&lt;16,"")))</f>
        <v/>
      </c>
      <c r="AK93" s="107" t="str">
        <f aca="false">IF(AE93=20,AA93*AB93*AC93*AD93*(AE93/1000)*2.466*1,IF(AE93&gt;20,"",IF(AE93&lt;20,"")))</f>
        <v/>
      </c>
      <c r="AL93" s="107" t="str">
        <f aca="false">IF(AE93=25,AA93*AB93*AC93*AD93*(AE93/1000)*3.853*1,IF(AE93&gt;25,"",IF(AE93&lt;25,"")))</f>
        <v/>
      </c>
      <c r="AM93" s="115" t="str">
        <f aca="false">IF(AE93=32,AA93*AB93*AC93*AD93*(AE93/1000)*6.313*1,IF(AE93&gt;32,"",IF(AE93&lt;32,"")))</f>
        <v/>
      </c>
      <c r="AN93" s="128"/>
      <c r="AO93" s="117" t="s">
        <v>457</v>
      </c>
      <c r="AP93" s="118" t="n">
        <f aca="false">SUM(R93:Y93)+SUM(AN93)</f>
        <v>15.8583808</v>
      </c>
      <c r="AQ93" s="118" t="n">
        <f aca="false">SUM(AF93:AM93)</f>
        <v>0</v>
      </c>
      <c r="AR93" s="118"/>
      <c r="AS93" s="119" t="s">
        <v>460</v>
      </c>
      <c r="AT93" s="119" t="s">
        <v>162</v>
      </c>
    </row>
    <row r="94" customFormat="false" ht="13.5" hidden="false" customHeight="false" outlineLevel="0" collapsed="false">
      <c r="A94" s="129"/>
      <c r="B94" s="172"/>
      <c r="C94" s="110"/>
      <c r="D94" s="122"/>
      <c r="E94" s="122"/>
      <c r="F94" s="173"/>
      <c r="G94" s="123"/>
      <c r="H94" s="101"/>
      <c r="I94" s="123"/>
      <c r="J94" s="101"/>
      <c r="K94" s="124" t="s">
        <v>461</v>
      </c>
      <c r="L94" s="125" t="n">
        <f aca="false">$F$92</f>
        <v>2.5128</v>
      </c>
      <c r="M94" s="125" t="n">
        <v>0.2</v>
      </c>
      <c r="N94" s="126" t="n">
        <f aca="false">$C$92*1</f>
        <v>2</v>
      </c>
      <c r="O94" s="126" t="n">
        <f aca="false">CEILING(L94/M94,1)+1</f>
        <v>14</v>
      </c>
      <c r="P94" s="126" t="n">
        <v>6</v>
      </c>
      <c r="Q94" s="127" t="n">
        <f aca="false">2*($D$92-2*0.035)+2*($E$92-2*0.035)+20*6/1000</f>
        <v>0.64</v>
      </c>
      <c r="R94" s="105" t="n">
        <f aca="false">IF(P94=6,N94*O94*Q94*0.222*1,IF(P94&gt;6,"",IF(P94&lt;6,"")))</f>
        <v>3.97824</v>
      </c>
      <c r="S94" s="106" t="str">
        <f aca="false">IF(P94=8,N94*O94*Q94*0.395*1,IF(P94&gt;8,"",IF(P94&lt;8,"")))</f>
        <v/>
      </c>
      <c r="T94" s="106" t="str">
        <f aca="false">IF(P94=10,N94*O94*Q94*0.617*1,IF(P94&gt;10,"",IF(P94&lt;10,"")))</f>
        <v/>
      </c>
      <c r="U94" s="106" t="str">
        <f aca="false">IF(P94=12,N94*O94*Q94*0.888*1,IF(P94&gt;12,"",IF(P94&lt;12,"")))</f>
        <v/>
      </c>
      <c r="V94" s="107" t="str">
        <f aca="false">IF(P94=16,N94*O94*Q94*1.578*1,IF(P94&gt;16,"",IF(P94&lt;16,"")))</f>
        <v/>
      </c>
      <c r="W94" s="106" t="str">
        <f aca="false">IF(P94=20,N94*O94*Q94*2.466*1,IF(P94&gt;20,"",IF(P94&lt;20,"")))</f>
        <v/>
      </c>
      <c r="X94" s="106" t="str">
        <f aca="false">IF(P94=25,N94*O94*Q94*3.853*1,IF(P94&gt;25,"",IF(P94&lt;25,"")))</f>
        <v/>
      </c>
      <c r="Y94" s="108" t="str">
        <f aca="false">IF(P94=32,N94*O94*Q94*6.313*1,IF(P94&gt;32,"",IF(P94&lt;32,"")))</f>
        <v/>
      </c>
      <c r="Z94" s="109"/>
      <c r="AA94" s="110" t="str">
        <f aca="false">IF(AC94&gt;0,N94,"")</f>
        <v/>
      </c>
      <c r="AB94" s="111" t="str">
        <f aca="false">IF(AC94&gt;0,O94,"")</f>
        <v/>
      </c>
      <c r="AC94" s="112"/>
      <c r="AD94" s="112"/>
      <c r="AE94" s="113" t="str">
        <f aca="false">IF(AC94&gt;0,P94,"")</f>
        <v/>
      </c>
      <c r="AF94" s="114" t="str">
        <f aca="false">IF(AE94=6,AA94*AB94*AC94*AD94*(AE94/1000)*0.222*1,IF(AE94&gt;6,"",IF(AE94&lt;6,"")))</f>
        <v/>
      </c>
      <c r="AG94" s="107" t="str">
        <f aca="false">IF(AE94=8,AA94*AB94*AC94*AD94*(AE94/1000)*0.395*1,IF(AE94&gt;8,"",IF(AE94&lt;8,"")))</f>
        <v/>
      </c>
      <c r="AH94" s="107" t="str">
        <f aca="false">IF(AE94=10,AA94*AB94*AC94*AD94*(AE94/1000)*0.617*1,IF(AE94&gt;10,"",IF(AE94&lt;10,"")))</f>
        <v/>
      </c>
      <c r="AI94" s="107" t="str">
        <f aca="false">IF(AE94=12,AA94*AB94*AC94*AD94*(AE94/1000)*0.888*1,IF(AE94&gt;12,"",IF(AE94&lt;12,"")))</f>
        <v/>
      </c>
      <c r="AJ94" s="107" t="str">
        <f aca="false">IF(AE94=16,AA94*AB94*AC94*AD94*(AE94/1000)*1.578*1,IF(AE94&gt;16,"",IF(AE94&lt;16,"")))</f>
        <v/>
      </c>
      <c r="AK94" s="107" t="str">
        <f aca="false">IF(AE94=20,AA94*AB94*AC94*AD94*(AE94/1000)*2.466*1,IF(AE94&gt;20,"",IF(AE94&lt;20,"")))</f>
        <v/>
      </c>
      <c r="AL94" s="107" t="str">
        <f aca="false">IF(AE94=25,AA94*AB94*AC94*AD94*(AE94/1000)*3.853*1,IF(AE94&gt;25,"",IF(AE94&lt;25,"")))</f>
        <v/>
      </c>
      <c r="AM94" s="115" t="str">
        <f aca="false">IF(AE94=32,AA94*AB94*AC94*AD94*(AE94/1000)*6.313*1,IF(AE94&gt;32,"",IF(AE94&lt;32,"")))</f>
        <v/>
      </c>
      <c r="AN94" s="128"/>
      <c r="AO94" s="117" t="s">
        <v>457</v>
      </c>
      <c r="AP94" s="118" t="n">
        <f aca="false">SUM(R94:Y94)+SUM(AN94)</f>
        <v>3.97824</v>
      </c>
      <c r="AQ94" s="118" t="n">
        <f aca="false">SUM(AF94:AM94)</f>
        <v>0</v>
      </c>
      <c r="AR94" s="118"/>
      <c r="AS94" s="119"/>
      <c r="AT94" s="119" t="s">
        <v>162</v>
      </c>
    </row>
    <row r="95" customFormat="false" ht="13.5" hidden="false" customHeight="false" outlineLevel="0" collapsed="false">
      <c r="A95" s="129"/>
      <c r="B95" s="130"/>
      <c r="C95" s="110"/>
      <c r="D95" s="122"/>
      <c r="E95" s="122"/>
      <c r="F95" s="122"/>
      <c r="G95" s="123"/>
      <c r="H95" s="101"/>
      <c r="I95" s="123"/>
      <c r="J95" s="101"/>
      <c r="K95" s="124"/>
      <c r="L95" s="125"/>
      <c r="M95" s="125"/>
      <c r="N95" s="126"/>
      <c r="O95" s="126"/>
      <c r="P95" s="126"/>
      <c r="Q95" s="127"/>
      <c r="R95" s="105"/>
      <c r="S95" s="106"/>
      <c r="T95" s="106"/>
      <c r="U95" s="106"/>
      <c r="V95" s="107"/>
      <c r="W95" s="106"/>
      <c r="X95" s="106"/>
      <c r="Y95" s="108"/>
      <c r="Z95" s="109"/>
      <c r="AA95" s="110"/>
      <c r="AB95" s="111"/>
      <c r="AC95" s="112"/>
      <c r="AD95" s="112"/>
      <c r="AE95" s="113"/>
      <c r="AF95" s="114"/>
      <c r="AG95" s="107"/>
      <c r="AH95" s="107"/>
      <c r="AI95" s="107"/>
      <c r="AJ95" s="107"/>
      <c r="AK95" s="107"/>
      <c r="AL95" s="107"/>
      <c r="AM95" s="115"/>
      <c r="AO95" s="117"/>
      <c r="AP95" s="118"/>
      <c r="AQ95" s="118"/>
      <c r="AR95" s="118"/>
      <c r="AS95" s="119"/>
      <c r="AT95" s="119"/>
    </row>
    <row r="96" customFormat="false" ht="13.5" hidden="false" customHeight="false" outlineLevel="0" collapsed="false">
      <c r="A96" s="129"/>
      <c r="B96" s="130"/>
      <c r="C96" s="110"/>
      <c r="D96" s="122"/>
      <c r="E96" s="122"/>
      <c r="F96" s="122"/>
      <c r="G96" s="123"/>
      <c r="H96" s="101"/>
      <c r="I96" s="123"/>
      <c r="J96" s="101"/>
      <c r="K96" s="124"/>
      <c r="L96" s="125"/>
      <c r="M96" s="125"/>
      <c r="N96" s="126"/>
      <c r="O96" s="126"/>
      <c r="P96" s="126"/>
      <c r="Q96" s="127"/>
      <c r="R96" s="105"/>
      <c r="S96" s="106"/>
      <c r="T96" s="106"/>
      <c r="U96" s="106"/>
      <c r="V96" s="107"/>
      <c r="W96" s="106"/>
      <c r="X96" s="106"/>
      <c r="Y96" s="108"/>
      <c r="Z96" s="109"/>
      <c r="AA96" s="110"/>
      <c r="AB96" s="111"/>
      <c r="AC96" s="112"/>
      <c r="AD96" s="112"/>
      <c r="AE96" s="113"/>
      <c r="AF96" s="114"/>
      <c r="AG96" s="107"/>
      <c r="AH96" s="107"/>
      <c r="AI96" s="107"/>
      <c r="AJ96" s="107"/>
      <c r="AK96" s="107"/>
      <c r="AL96" s="107"/>
      <c r="AM96" s="115"/>
      <c r="AO96" s="117"/>
      <c r="AP96" s="118"/>
      <c r="AQ96" s="118"/>
      <c r="AR96" s="118"/>
      <c r="AS96" s="119"/>
      <c r="AT96" s="119"/>
    </row>
    <row r="97" customFormat="false" ht="13.5" hidden="false" customHeight="false" outlineLevel="0" collapsed="false">
      <c r="A97" s="131"/>
      <c r="B97" s="132"/>
      <c r="C97" s="133" t="s">
        <v>196</v>
      </c>
      <c r="D97" s="133"/>
      <c r="E97" s="133"/>
      <c r="F97" s="133"/>
      <c r="G97" s="134" t="n">
        <f aca="false">SUM(G6:G95)</f>
        <v>12.9854415</v>
      </c>
      <c r="H97" s="135"/>
      <c r="I97" s="136"/>
      <c r="J97" s="137"/>
      <c r="K97" s="137"/>
      <c r="L97" s="137"/>
      <c r="M97" s="137"/>
      <c r="N97" s="138"/>
      <c r="O97" s="139" t="s">
        <v>197</v>
      </c>
      <c r="P97" s="139"/>
      <c r="Q97" s="139"/>
      <c r="R97" s="140" t="n">
        <f aca="false">SUM(R6:R95)</f>
        <v>10.79808</v>
      </c>
      <c r="S97" s="140" t="n">
        <f aca="false">SUM(S6:S95)</f>
        <v>671.608333106186</v>
      </c>
      <c r="T97" s="140" t="n">
        <f aca="false">SUM(T6:T95)</f>
        <v>45.4743808</v>
      </c>
      <c r="U97" s="140" t="n">
        <f aca="false">SUM(U6:U95)</f>
        <v>163.377792</v>
      </c>
      <c r="V97" s="140" t="n">
        <f aca="false">SUM(V6:V95)</f>
        <v>710.98368</v>
      </c>
      <c r="W97" s="140" t="n">
        <f aca="false">SUM(W6:W95)</f>
        <v>1452.474</v>
      </c>
      <c r="X97" s="140" t="n">
        <f aca="false">SUM(X6:X95)</f>
        <v>0</v>
      </c>
      <c r="Y97" s="140" t="n">
        <f aca="false">SUM(Y6:Y95)</f>
        <v>0</v>
      </c>
      <c r="Z97" s="141"/>
      <c r="AA97" s="142"/>
      <c r="AB97" s="143" t="s">
        <v>197</v>
      </c>
      <c r="AC97" s="143"/>
      <c r="AD97" s="143"/>
      <c r="AE97" s="143"/>
      <c r="AF97" s="140" t="n">
        <f aca="false">SUM(AF6:AF95)</f>
        <v>0</v>
      </c>
      <c r="AG97" s="140" t="n">
        <f aca="false">SUM(AG6:AG95)</f>
        <v>0</v>
      </c>
      <c r="AH97" s="140" t="n">
        <f aca="false">SUM(AH6:AH95)</f>
        <v>0</v>
      </c>
      <c r="AI97" s="140" t="n">
        <f aca="false">SUM(AI6:AI95)</f>
        <v>0</v>
      </c>
      <c r="AJ97" s="140" t="n">
        <f aca="false">SUM(AJ6:AJ95)</f>
        <v>0</v>
      </c>
      <c r="AK97" s="140" t="n">
        <f aca="false">SUM(AK6:AK95)</f>
        <v>167.688</v>
      </c>
      <c r="AL97" s="140" t="n">
        <f aca="false">SUM(AL6:AL95)</f>
        <v>0</v>
      </c>
      <c r="AM97" s="140" t="n">
        <f aca="false">SUM(AM6:AM95)</f>
        <v>0</v>
      </c>
      <c r="AN97" s="144" t="n">
        <f aca="false">SUM(AN6:AN95)</f>
        <v>0</v>
      </c>
      <c r="AO97" s="117"/>
      <c r="AP97" s="118"/>
      <c r="AQ97" s="118"/>
      <c r="AR97" s="118"/>
      <c r="AS97" s="119"/>
      <c r="AT97" s="119"/>
    </row>
    <row r="98" customFormat="false" ht="13.5" hidden="false" customHeight="false" outlineLevel="0" collapsed="false">
      <c r="A98" s="131" t="s">
        <v>198</v>
      </c>
      <c r="B98" s="95"/>
      <c r="C98" s="145" t="s">
        <v>199</v>
      </c>
      <c r="D98" s="145"/>
      <c r="E98" s="145"/>
      <c r="F98" s="145"/>
      <c r="G98" s="146" t="n">
        <f aca="false">SUM(I6:I95)</f>
        <v>196.60748</v>
      </c>
      <c r="H98" s="147"/>
      <c r="I98" s="136"/>
      <c r="J98" s="148"/>
      <c r="K98" s="137"/>
      <c r="L98" s="137"/>
      <c r="M98" s="137"/>
      <c r="N98" s="138"/>
      <c r="O98" s="149" t="s">
        <v>200</v>
      </c>
      <c r="P98" s="149"/>
      <c r="Q98" s="149"/>
      <c r="R98" s="150" t="n">
        <f aca="false">SUM(R97:Y97)+AN97</f>
        <v>3054.71626590619</v>
      </c>
      <c r="S98" s="150"/>
      <c r="T98" s="150"/>
      <c r="U98" s="150"/>
      <c r="V98" s="150"/>
      <c r="W98" s="150"/>
      <c r="X98" s="150"/>
      <c r="Y98" s="150"/>
      <c r="Z98" s="151"/>
      <c r="AA98" s="152"/>
      <c r="AB98" s="153" t="s">
        <v>200</v>
      </c>
      <c r="AC98" s="153"/>
      <c r="AD98" s="153"/>
      <c r="AE98" s="153"/>
      <c r="AF98" s="150" t="n">
        <f aca="false">SUM(AF97:AM97)</f>
        <v>167.688</v>
      </c>
      <c r="AG98" s="150"/>
      <c r="AH98" s="150"/>
      <c r="AI98" s="150"/>
      <c r="AJ98" s="150"/>
      <c r="AK98" s="150"/>
      <c r="AL98" s="150"/>
      <c r="AM98" s="150"/>
      <c r="AN98" s="154"/>
      <c r="AO98" s="117"/>
      <c r="AP98" s="118"/>
      <c r="AQ98" s="118"/>
      <c r="AR98" s="118"/>
      <c r="AS98" s="119"/>
      <c r="AT98" s="119"/>
    </row>
    <row r="99" customFormat="false" ht="13.5" hidden="false" customHeight="false" outlineLevel="0" collapsed="false">
      <c r="A99" s="155"/>
      <c r="B99" s="156"/>
      <c r="C99" s="157" t="s">
        <v>201</v>
      </c>
      <c r="D99" s="157"/>
      <c r="E99" s="157"/>
      <c r="F99" s="157"/>
      <c r="G99" s="158" t="n">
        <f aca="false">IF(G97&gt;0,G98/G97,0)</f>
        <v>15.1406080417058</v>
      </c>
      <c r="H99" s="159"/>
      <c r="I99" s="160"/>
      <c r="J99" s="160"/>
      <c r="K99" s="160"/>
      <c r="L99" s="160"/>
      <c r="M99" s="160"/>
      <c r="N99" s="161"/>
      <c r="O99" s="162" t="s">
        <v>202</v>
      </c>
      <c r="P99" s="162"/>
      <c r="Q99" s="162"/>
      <c r="R99" s="163" t="n">
        <f aca="false">IF(G97&gt;0,R98/G97,0)</f>
        <v>235.241617769114</v>
      </c>
      <c r="S99" s="164"/>
      <c r="T99" s="165"/>
      <c r="U99" s="165"/>
      <c r="V99" s="165"/>
      <c r="W99" s="165"/>
      <c r="X99" s="165"/>
      <c r="Y99" s="166"/>
      <c r="Z99" s="141"/>
      <c r="AA99" s="167"/>
      <c r="AB99" s="168" t="s">
        <v>203</v>
      </c>
      <c r="AC99" s="168"/>
      <c r="AD99" s="168"/>
      <c r="AE99" s="168"/>
      <c r="AF99" s="163" t="n">
        <f aca="false">IF(G97&gt;0,AF98/G97,0)</f>
        <v>12.9135385962811</v>
      </c>
      <c r="AG99" s="164"/>
      <c r="AH99" s="165"/>
      <c r="AI99" s="165"/>
      <c r="AJ99" s="169" t="s">
        <v>204</v>
      </c>
      <c r="AK99" s="169"/>
      <c r="AL99" s="169"/>
      <c r="AM99" s="170" t="n">
        <f aca="false">IF(R98&gt;0,AF98/R98,0)</f>
        <v>0.0548947874051586</v>
      </c>
      <c r="AN99" s="44"/>
      <c r="AO99" s="117"/>
      <c r="AP99" s="118"/>
      <c r="AQ99" s="118"/>
      <c r="AR99" s="118"/>
      <c r="AS99" s="119"/>
      <c r="AT99" s="119"/>
    </row>
    <row r="113" s="55" customFormat="true" ht="13.5" hidden="false" customHeight="false" outlineLevel="0" collapsed="false"/>
    <row r="114" s="55" customFormat="true" ht="13.5" hidden="false" customHeight="false" outlineLevel="0" collapsed="false"/>
    <row r="115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97:F97"/>
    <mergeCell ref="O97:Q97"/>
    <mergeCell ref="AB97:AE97"/>
    <mergeCell ref="C98:F98"/>
    <mergeCell ref="O98:Q98"/>
    <mergeCell ref="R98:Y98"/>
    <mergeCell ref="AB98:AE98"/>
    <mergeCell ref="AF98:AM98"/>
    <mergeCell ref="C99:F99"/>
    <mergeCell ref="O99:Q99"/>
    <mergeCell ref="AB99:AE99"/>
    <mergeCell ref="AJ99:AL9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6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8.43"/>
    <col collapsed="false" customWidth="true" hidden="false" outlineLevel="0" max="6" min="6" style="44" width="9.99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/>
      <c r="D5" s="82"/>
      <c r="E5" s="82" t="s">
        <v>125</v>
      </c>
      <c r="F5" s="83" t="s">
        <v>463</v>
      </c>
      <c r="G5" s="171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3.5" hidden="false" customHeight="false" outlineLevel="0" collapsed="false">
      <c r="A6" s="96"/>
      <c r="B6" s="97" t="s">
        <v>464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customFormat="false" ht="13.5" hidden="false" customHeight="false" outlineLevel="0" collapsed="false">
      <c r="A7" s="120"/>
      <c r="B7" s="121" t="s">
        <v>465</v>
      </c>
      <c r="C7" s="110" t="n">
        <v>2</v>
      </c>
      <c r="D7" s="122" t="n">
        <v>2.28</v>
      </c>
      <c r="E7" s="122" t="n">
        <v>0.25</v>
      </c>
      <c r="F7" s="122" t="n">
        <f aca="false">24.1247/2.28</f>
        <v>10.5810087719298</v>
      </c>
      <c r="G7" s="123" t="n">
        <f aca="false">C7*D7*E7*F7</f>
        <v>12.06235</v>
      </c>
      <c r="H7" s="101"/>
      <c r="I7" s="123" t="n">
        <f aca="false">2*C7*D7*F7</f>
        <v>96.4988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466</v>
      </c>
      <c r="AP7" s="118" t="n">
        <f aca="false">SUM(R7:Y7)+SUM(AN7)</f>
        <v>0</v>
      </c>
      <c r="AQ7" s="118" t="n">
        <f aca="false">SUM(AF7:AM7)</f>
        <v>0</v>
      </c>
      <c r="AR7" s="118" t="n">
        <v>12.0624</v>
      </c>
      <c r="AS7" s="119" t="s">
        <v>467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468</v>
      </c>
      <c r="L8" s="125" t="n">
        <f aca="false">$D$7-2*0.25</f>
        <v>1.78</v>
      </c>
      <c r="M8" s="125" t="n">
        <v>0.15</v>
      </c>
      <c r="N8" s="126" t="n">
        <f aca="false">2*$C$7</f>
        <v>4</v>
      </c>
      <c r="O8" s="126" t="n">
        <f aca="false">CEILING(L8/M8,1)+1</f>
        <v>13</v>
      </c>
      <c r="P8" s="126" t="n">
        <v>10</v>
      </c>
      <c r="Q8" s="127" t="n">
        <f aca="false">$F$7+0.5-0.05+0.3</f>
        <v>11.3310087719298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n">
        <f aca="false">IF(P8=10,N8*O8*Q8*0.617*1,IF(P8&gt;10,"",IF(P8&lt;10,"")))</f>
        <v>363.544085438597</v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str">
        <f aca="false">IF(P8=20,N8*O8*Q8*2.466*1,IF(P8&gt;20,"",IF(P8&lt;20,"")))</f>
        <v/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466</v>
      </c>
      <c r="AP8" s="118" t="n">
        <f aca="false">SUM(R8:Y8)+SUM(AN8)</f>
        <v>363.544085438597</v>
      </c>
      <c r="AQ8" s="118" t="n">
        <f aca="false">SUM(AF8:AM8)</f>
        <v>0</v>
      </c>
      <c r="AR8" s="118"/>
      <c r="AS8" s="119" t="s">
        <v>469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397</v>
      </c>
      <c r="L9" s="125" t="n">
        <f aca="false">$F$7</f>
        <v>10.5810087719298</v>
      </c>
      <c r="M9" s="125" t="n">
        <v>0.15</v>
      </c>
      <c r="N9" s="126" t="n">
        <f aca="false">2*$C$7</f>
        <v>4</v>
      </c>
      <c r="O9" s="126" t="n">
        <f aca="false">CEILING(L9/M9,1)+1</f>
        <v>72</v>
      </c>
      <c r="P9" s="126" t="n">
        <v>10</v>
      </c>
      <c r="Q9" s="127" t="n">
        <f aca="false">$D$7-2*0.035+2*0.15</f>
        <v>2.51</v>
      </c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n">
        <f aca="false">IF(P9=10,N9*O9*Q9*0.617*1,IF(P9&gt;10,"",IF(P9&lt;10,"")))</f>
        <v>446.01696</v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str">
        <f aca="false">IF(P9=20,N9*O9*Q9*2.466*1,IF(P9&gt;20,"",IF(P9&lt;20,"")))</f>
        <v/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466</v>
      </c>
      <c r="AP9" s="118" t="n">
        <f aca="false">SUM(R9:Y9)+SUM(AN9)</f>
        <v>446.01696</v>
      </c>
      <c r="AQ9" s="118" t="n">
        <f aca="false">SUM(AF9:AM9)</f>
        <v>0</v>
      </c>
      <c r="AR9" s="118"/>
      <c r="AS9" s="119"/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470</v>
      </c>
      <c r="L10" s="125"/>
      <c r="M10" s="125"/>
      <c r="N10" s="126" t="n">
        <f aca="false">2*$C$7</f>
        <v>4</v>
      </c>
      <c r="O10" s="126" t="n">
        <v>4</v>
      </c>
      <c r="P10" s="126" t="n">
        <v>12</v>
      </c>
      <c r="Q10" s="127" t="n">
        <f aca="false">$F$7+0.5-0.05+0.3</f>
        <v>11.3310087719298</v>
      </c>
      <c r="R10" s="105" t="str">
        <f aca="false">IF(P10=6,N10*O10*Q10*0.222*1,IF(P10&gt;6,"",IF(P10&lt;6,"")))</f>
        <v/>
      </c>
      <c r="S10" s="106" t="str">
        <f aca="false">IF(P10=8,N10*O10*Q10*0.395*1,IF(P10&gt;8,"",IF(P10&lt;8,"")))</f>
        <v/>
      </c>
      <c r="T10" s="106" t="str">
        <f aca="false">IF(P10=10,N10*O10*Q10*0.617*1,IF(P10&gt;10,"",IF(P10&lt;10,"")))</f>
        <v/>
      </c>
      <c r="U10" s="106" t="n">
        <f aca="false">IF(P10=12,N10*O10*Q10*0.888*1,IF(P10&gt;12,"",IF(P10&lt;12,"")))</f>
        <v>160.990972631579</v>
      </c>
      <c r="V10" s="107" t="str">
        <f aca="false">IF(P10=16,N10*O10*Q10*1.578*1,IF(P10&gt;16,"",IF(P10&lt;16,"")))</f>
        <v/>
      </c>
      <c r="W10" s="106" t="str">
        <f aca="false">IF(P10=20,N10*O10*Q10*2.466*1,IF(P10&gt;20,"",IF(P10&lt;20,"")))</f>
        <v/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466</v>
      </c>
      <c r="AP10" s="118" t="n">
        <f aca="false">SUM(R10:Y10)+SUM(AN10)</f>
        <v>160.990972631579</v>
      </c>
      <c r="AQ10" s="118" t="n">
        <f aca="false">SUM(AF10:AM10)</f>
        <v>0</v>
      </c>
      <c r="AR10" s="118"/>
      <c r="AS10" s="119"/>
      <c r="AT10" s="119" t="s">
        <v>162</v>
      </c>
    </row>
    <row r="11" customFormat="false" ht="13.5" hidden="false" customHeight="false" outlineLevel="0" collapsed="false">
      <c r="A11" s="129"/>
      <c r="B11" s="172"/>
      <c r="C11" s="110"/>
      <c r="D11" s="122"/>
      <c r="E11" s="122"/>
      <c r="F11" s="173"/>
      <c r="G11" s="123"/>
      <c r="H11" s="101"/>
      <c r="I11" s="123"/>
      <c r="J11" s="101"/>
      <c r="K11" s="124" t="s">
        <v>471</v>
      </c>
      <c r="L11" s="125" t="n">
        <f aca="false">$F$7</f>
        <v>10.5810087719298</v>
      </c>
      <c r="M11" s="125" t="n">
        <v>0.15</v>
      </c>
      <c r="N11" s="126" t="n">
        <f aca="false">2*$C$7</f>
        <v>4</v>
      </c>
      <c r="O11" s="126" t="n">
        <f aca="false">CEILING(L11/M11,1)+1</f>
        <v>72</v>
      </c>
      <c r="P11" s="126" t="n">
        <v>8</v>
      </c>
      <c r="Q11" s="127" t="n">
        <f aca="false">4*(0.25-2*0.035)+20*8/1000</f>
        <v>0.88</v>
      </c>
      <c r="R11" s="105" t="str">
        <f aca="false">IF(P11=6,N11*O11*Q11*0.222*1,IF(P11&gt;6,"",IF(P11&lt;6,"")))</f>
        <v/>
      </c>
      <c r="S11" s="106" t="n">
        <f aca="false">IF(P11=8,N11*O11*Q11*0.395*1,IF(P11&gt;8,"",IF(P11&lt;8,"")))</f>
        <v>100.1088</v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str">
        <f aca="false">IF(P11=16,N11*O11*Q11*1.578*1,IF(P11&gt;16,"",IF(P11&lt;16,"")))</f>
        <v/>
      </c>
      <c r="W11" s="106" t="str">
        <f aca="false">IF(P11=20,N11*O11*Q11*2.466*1,IF(P11&gt;20,"",IF(P11&lt;20,"")))</f>
        <v/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466</v>
      </c>
      <c r="AP11" s="118" t="n">
        <f aca="false">SUM(R11:Y11)+SUM(AN11)</f>
        <v>100.1088</v>
      </c>
      <c r="AQ11" s="118" t="n">
        <f aca="false">SUM(AF11:AM11)</f>
        <v>0</v>
      </c>
      <c r="AR11" s="118"/>
      <c r="AS11" s="119"/>
      <c r="AT11" s="119" t="s">
        <v>162</v>
      </c>
    </row>
    <row r="12" customFormat="false" ht="13.5" hidden="false" customHeight="false" outlineLevel="0" collapsed="false">
      <c r="A12" s="129"/>
      <c r="B12" s="130"/>
      <c r="C12" s="110"/>
      <c r="D12" s="122"/>
      <c r="E12" s="122"/>
      <c r="F12" s="122"/>
      <c r="G12" s="123"/>
      <c r="H12" s="101"/>
      <c r="I12" s="123"/>
      <c r="J12" s="101"/>
      <c r="K12" s="124"/>
      <c r="L12" s="125"/>
      <c r="M12" s="125"/>
      <c r="N12" s="126"/>
      <c r="O12" s="126"/>
      <c r="P12" s="126"/>
      <c r="Q12" s="127"/>
      <c r="R12" s="105"/>
      <c r="S12" s="106"/>
      <c r="T12" s="106"/>
      <c r="U12" s="106"/>
      <c r="V12" s="107"/>
      <c r="W12" s="106"/>
      <c r="X12" s="106"/>
      <c r="Y12" s="108"/>
      <c r="Z12" s="109"/>
      <c r="AA12" s="110"/>
      <c r="AB12" s="111"/>
      <c r="AC12" s="112"/>
      <c r="AD12" s="112"/>
      <c r="AE12" s="113"/>
      <c r="AF12" s="114"/>
      <c r="AG12" s="107"/>
      <c r="AH12" s="107"/>
      <c r="AI12" s="107"/>
      <c r="AJ12" s="107"/>
      <c r="AK12" s="107"/>
      <c r="AL12" s="107"/>
      <c r="AM12" s="115"/>
      <c r="AO12" s="117"/>
      <c r="AP12" s="118"/>
      <c r="AQ12" s="118"/>
      <c r="AR12" s="118"/>
      <c r="AS12" s="119"/>
      <c r="AT12" s="119"/>
    </row>
    <row r="13" customFormat="false" ht="19.4" hidden="false" customHeight="false" outlineLevel="0" collapsed="false">
      <c r="A13" s="120"/>
      <c r="B13" s="121" t="s">
        <v>472</v>
      </c>
      <c r="C13" s="110" t="n">
        <v>1</v>
      </c>
      <c r="D13" s="122" t="n">
        <v>1.9</v>
      </c>
      <c r="E13" s="122" t="n">
        <v>0.15</v>
      </c>
      <c r="F13" s="122" t="n">
        <f aca="false">6.8392/1.9</f>
        <v>3.59957894736842</v>
      </c>
      <c r="G13" s="123" t="n">
        <f aca="false">C13*D13*E13*F13</f>
        <v>1.02588</v>
      </c>
      <c r="H13" s="101"/>
      <c r="I13" s="123" t="n">
        <f aca="false">1*C13*D13*F13</f>
        <v>6.8392</v>
      </c>
      <c r="J13" s="101"/>
      <c r="K13" s="124"/>
      <c r="L13" s="125"/>
      <c r="M13" s="125"/>
      <c r="N13" s="126"/>
      <c r="O13" s="126"/>
      <c r="P13" s="126"/>
      <c r="Q13" s="127"/>
      <c r="R13" s="105" t="str">
        <f aca="false">IF(P13=6,N13*O13*Q13*0.222*1,IF(P13&gt;6,"",IF(P13&lt;6,"")))</f>
        <v/>
      </c>
      <c r="S13" s="106" t="str">
        <f aca="false">IF(P13=8,N13*O13*Q13*0.395*1,IF(P13&gt;8,"",IF(P13&lt;8,"")))</f>
        <v/>
      </c>
      <c r="T13" s="106" t="str">
        <f aca="false">IF(P13=10,N13*O13*Q13*0.617*1,IF(P13&gt;10,"",IF(P13&lt;10,"")))</f>
        <v/>
      </c>
      <c r="U13" s="106" t="str">
        <f aca="false">IF(P13=12,N13*O13*Q13*0.888*1,IF(P13&gt;12,"",IF(P13&lt;12,"")))</f>
        <v/>
      </c>
      <c r="V13" s="107" t="str">
        <f aca="false">IF(P13=16,N13*O13*Q13*1.578*1,IF(P13&gt;16,"",IF(P13&lt;16,"")))</f>
        <v/>
      </c>
      <c r="W13" s="106" t="str">
        <f aca="false">IF(P13=20,N13*O13*Q13*2.466*1,IF(P13&gt;20,"",IF(P13&lt;20,"")))</f>
        <v/>
      </c>
      <c r="X13" s="106" t="str">
        <f aca="false">IF(P13=25,N13*O13*Q13*3.853*1,IF(P13&gt;25,"",IF(P13&lt;25,"")))</f>
        <v/>
      </c>
      <c r="Y13" s="108" t="str">
        <f aca="false">IF(P13=32,N13*O13*Q13*6.313*1,IF(P13&gt;32,"",IF(P13&lt;32,"")))</f>
        <v/>
      </c>
      <c r="Z13" s="109"/>
      <c r="AA13" s="110" t="str">
        <f aca="false">IF(AC13&gt;0,N13,"")</f>
        <v/>
      </c>
      <c r="AB13" s="111" t="str">
        <f aca="false">IF(AC13&gt;0,O13,"")</f>
        <v/>
      </c>
      <c r="AC13" s="112"/>
      <c r="AD13" s="112"/>
      <c r="AE13" s="113" t="str">
        <f aca="false">IF(AC13&gt;0,P13,"")</f>
        <v/>
      </c>
      <c r="AF13" s="114" t="str">
        <f aca="false">IF(AE13=6,AA13*AB13*AC13*AD13*(AE13/1000)*0.222*1,IF(AE13&gt;6,"",IF(AE13&lt;6,"")))</f>
        <v/>
      </c>
      <c r="AG13" s="107" t="str">
        <f aca="false">IF(AE13=8,AA13*AB13*AC13*AD13*(AE13/1000)*0.395*1,IF(AE13&gt;8,"",IF(AE13&lt;8,"")))</f>
        <v/>
      </c>
      <c r="AH13" s="107" t="str">
        <f aca="false">IF(AE13=10,AA13*AB13*AC13*AD13*(AE13/1000)*0.617*1,IF(AE13&gt;10,"",IF(AE13&lt;10,"")))</f>
        <v/>
      </c>
      <c r="AI13" s="107" t="str">
        <f aca="false">IF(AE13=12,AA13*AB13*AC13*AD13*(AE13/1000)*0.888*1,IF(AE13&gt;12,"",IF(AE13&lt;12,"")))</f>
        <v/>
      </c>
      <c r="AJ13" s="107" t="str">
        <f aca="false">IF(AE13=16,AA13*AB13*AC13*AD13*(AE13/1000)*1.578*1,IF(AE13&gt;16,"",IF(AE13&lt;16,"")))</f>
        <v/>
      </c>
      <c r="AK13" s="107" t="str">
        <f aca="false">IF(AE13=20,AA13*AB13*AC13*AD13*(AE13/1000)*2.466*1,IF(AE13&gt;20,"",IF(AE13&lt;20,"")))</f>
        <v/>
      </c>
      <c r="AL13" s="107" t="str">
        <f aca="false">IF(AE13=25,AA13*AB13*AC13*AD13*(AE13/1000)*3.853*1,IF(AE13&gt;25,"",IF(AE13&lt;25,"")))</f>
        <v/>
      </c>
      <c r="AM13" s="115" t="str">
        <f aca="false">IF(AE13=32,AA13*AB13*AC13*AD13*(AE13/1000)*6.313*1,IF(AE13&gt;32,"",IF(AE13&lt;32,"")))</f>
        <v/>
      </c>
      <c r="AN13" s="128"/>
      <c r="AO13" s="117" t="s">
        <v>473</v>
      </c>
      <c r="AP13" s="118" t="n">
        <f aca="false">SUM(R13:Y13)+SUM(AN13)</f>
        <v>0</v>
      </c>
      <c r="AQ13" s="118" t="n">
        <f aca="false">SUM(AF13:AM13)</f>
        <v>0</v>
      </c>
      <c r="AR13" s="118" t="n">
        <v>1.0259</v>
      </c>
      <c r="AS13" s="119" t="s">
        <v>474</v>
      </c>
      <c r="AT13" s="119" t="s">
        <v>209</v>
      </c>
    </row>
    <row r="14" customFormat="false" ht="13.5" hidden="false" customHeight="false" outlineLevel="0" collapsed="false">
      <c r="A14" s="129"/>
      <c r="B14" s="172"/>
      <c r="C14" s="110"/>
      <c r="D14" s="122"/>
      <c r="E14" s="122"/>
      <c r="F14" s="173"/>
      <c r="G14" s="123"/>
      <c r="H14" s="101"/>
      <c r="I14" s="123"/>
      <c r="J14" s="101"/>
      <c r="K14" s="124" t="s">
        <v>468</v>
      </c>
      <c r="L14" s="125" t="n">
        <f aca="false">$D$13</f>
        <v>1.9</v>
      </c>
      <c r="M14" s="125" t="n">
        <v>0.15</v>
      </c>
      <c r="N14" s="126" t="n">
        <f aca="false">2*$C$13</f>
        <v>2</v>
      </c>
      <c r="O14" s="126" t="n">
        <f aca="false">CEILING(L14/M14,1)+1</f>
        <v>14</v>
      </c>
      <c r="P14" s="126" t="n">
        <v>10</v>
      </c>
      <c r="Q14" s="127" t="n">
        <f aca="false">$F$13+0.5-0.05+0.3</f>
        <v>4.34957894736842</v>
      </c>
      <c r="R14" s="105" t="str">
        <f aca="false">IF(P14=6,N14*O14*Q14*0.222*1,IF(P14&gt;6,"",IF(P14&lt;6,"")))</f>
        <v/>
      </c>
      <c r="S14" s="106" t="str">
        <f aca="false">IF(P14=8,N14*O14*Q14*0.395*1,IF(P14&gt;8,"",IF(P14&lt;8,"")))</f>
        <v/>
      </c>
      <c r="T14" s="106" t="n">
        <f aca="false">IF(P14=10,N14*O14*Q14*0.617*1,IF(P14&gt;10,"",IF(P14&lt;10,"")))</f>
        <v>75.1433258947369</v>
      </c>
      <c r="U14" s="106" t="str">
        <f aca="false">IF(P14=12,N14*O14*Q14*0.888*1,IF(P14&gt;12,"",IF(P14&lt;12,"")))</f>
        <v/>
      </c>
      <c r="V14" s="107" t="str">
        <f aca="false">IF(P14=16,N14*O14*Q14*1.578*1,IF(P14&gt;16,"",IF(P14&lt;16,"")))</f>
        <v/>
      </c>
      <c r="W14" s="106" t="str">
        <f aca="false">IF(P14=20,N14*O14*Q14*2.466*1,IF(P14&gt;20,"",IF(P14&lt;20,"")))</f>
        <v/>
      </c>
      <c r="X14" s="106" t="str">
        <f aca="false">IF(P14=25,N14*O14*Q14*3.853*1,IF(P14&gt;25,"",IF(P14&lt;25,"")))</f>
        <v/>
      </c>
      <c r="Y14" s="108" t="str">
        <f aca="false">IF(P14=32,N14*O14*Q14*6.313*1,IF(P14&gt;32,"",IF(P14&lt;32,"")))</f>
        <v/>
      </c>
      <c r="Z14" s="109"/>
      <c r="AA14" s="110" t="str">
        <f aca="false">IF(AC14&gt;0,N14,"")</f>
        <v/>
      </c>
      <c r="AB14" s="111" t="str">
        <f aca="false">IF(AC14&gt;0,O14,"")</f>
        <v/>
      </c>
      <c r="AC14" s="112"/>
      <c r="AD14" s="112"/>
      <c r="AE14" s="113" t="str">
        <f aca="false">IF(AC14&gt;0,P14,"")</f>
        <v/>
      </c>
      <c r="AF14" s="114" t="str">
        <f aca="false">IF(AE14=6,AA14*AB14*AC14*AD14*(AE14/1000)*0.222*1,IF(AE14&gt;6,"",IF(AE14&lt;6,"")))</f>
        <v/>
      </c>
      <c r="AG14" s="107" t="str">
        <f aca="false">IF(AE14=8,AA14*AB14*AC14*AD14*(AE14/1000)*0.395*1,IF(AE14&gt;8,"",IF(AE14&lt;8,"")))</f>
        <v/>
      </c>
      <c r="AH14" s="107" t="str">
        <f aca="false">IF(AE14=10,AA14*AB14*AC14*AD14*(AE14/1000)*0.617*1,IF(AE14&gt;10,"",IF(AE14&lt;10,"")))</f>
        <v/>
      </c>
      <c r="AI14" s="107" t="str">
        <f aca="false">IF(AE14=12,AA14*AB14*AC14*AD14*(AE14/1000)*0.888*1,IF(AE14&gt;12,"",IF(AE14&lt;12,"")))</f>
        <v/>
      </c>
      <c r="AJ14" s="107" t="str">
        <f aca="false">IF(AE14=16,AA14*AB14*AC14*AD14*(AE14/1000)*1.578*1,IF(AE14&gt;16,"",IF(AE14&lt;16,"")))</f>
        <v/>
      </c>
      <c r="AK14" s="107" t="str">
        <f aca="false">IF(AE14=20,AA14*AB14*AC14*AD14*(AE14/1000)*2.466*1,IF(AE14&gt;20,"",IF(AE14&lt;20,"")))</f>
        <v/>
      </c>
      <c r="AL14" s="107" t="str">
        <f aca="false">IF(AE14=25,AA14*AB14*AC14*AD14*(AE14/1000)*3.853*1,IF(AE14&gt;25,"",IF(AE14&lt;25,"")))</f>
        <v/>
      </c>
      <c r="AM14" s="115" t="str">
        <f aca="false">IF(AE14=32,AA14*AB14*AC14*AD14*(AE14/1000)*6.313*1,IF(AE14&gt;32,"",IF(AE14&lt;32,"")))</f>
        <v/>
      </c>
      <c r="AN14" s="128"/>
      <c r="AO14" s="117" t="s">
        <v>473</v>
      </c>
      <c r="AP14" s="118" t="n">
        <f aca="false">SUM(R14:Y14)+SUM(AN14)</f>
        <v>75.1433258947369</v>
      </c>
      <c r="AQ14" s="118" t="n">
        <f aca="false">SUM(AF14:AM14)</f>
        <v>0</v>
      </c>
      <c r="AR14" s="118"/>
      <c r="AS14" s="119"/>
      <c r="AT14" s="119" t="s">
        <v>162</v>
      </c>
    </row>
    <row r="15" customFormat="false" ht="13.5" hidden="false" customHeight="false" outlineLevel="0" collapsed="false">
      <c r="A15" s="129"/>
      <c r="B15" s="172"/>
      <c r="C15" s="110"/>
      <c r="D15" s="122"/>
      <c r="E15" s="122"/>
      <c r="F15" s="173"/>
      <c r="G15" s="123"/>
      <c r="H15" s="101"/>
      <c r="I15" s="123"/>
      <c r="J15" s="101"/>
      <c r="K15" s="124" t="s">
        <v>397</v>
      </c>
      <c r="L15" s="125" t="n">
        <f aca="false">$F$13</f>
        <v>3.59957894736842</v>
      </c>
      <c r="M15" s="125" t="n">
        <v>0.15</v>
      </c>
      <c r="N15" s="126" t="n">
        <f aca="false">2*$C$13</f>
        <v>2</v>
      </c>
      <c r="O15" s="126" t="n">
        <f aca="false">CEILING(L15/M15,1)+1</f>
        <v>25</v>
      </c>
      <c r="P15" s="126" t="n">
        <v>10</v>
      </c>
      <c r="Q15" s="127" t="n">
        <f aca="false">$D$13+2*0.15</f>
        <v>2.2</v>
      </c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n">
        <f aca="false">IF(P15=10,N15*O15*Q15*0.617*1,IF(P15&gt;10,"",IF(P15&lt;10,"")))</f>
        <v>67.87</v>
      </c>
      <c r="U15" s="106" t="str">
        <f aca="false">IF(P15=12,N15*O15*Q15*0.888*1,IF(P15&gt;12,"",IF(P15&lt;12,"")))</f>
        <v/>
      </c>
      <c r="V15" s="107" t="str">
        <f aca="false">IF(P15=16,N15*O15*Q15*1.578*1,IF(P15&gt;16,"",IF(P15&lt;16,"")))</f>
        <v/>
      </c>
      <c r="W15" s="106" t="str">
        <f aca="false">IF(P15=20,N15*O15*Q15*2.466*1,IF(P15&gt;20,"",IF(P15&lt;20,"")))</f>
        <v/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473</v>
      </c>
      <c r="AP15" s="118" t="n">
        <f aca="false">SUM(R15:Y15)+SUM(AN15)</f>
        <v>67.87</v>
      </c>
      <c r="AQ15" s="118" t="n">
        <f aca="false">SUM(AF15:AM15)</f>
        <v>0</v>
      </c>
      <c r="AR15" s="118"/>
      <c r="AS15" s="119"/>
      <c r="AT15" s="119" t="s">
        <v>162</v>
      </c>
    </row>
    <row r="16" customFormat="false" ht="13.5" hidden="false" customHeight="false" outlineLevel="0" collapsed="false">
      <c r="A16" s="129"/>
      <c r="B16" s="172"/>
      <c r="C16" s="110"/>
      <c r="D16" s="122"/>
      <c r="E16" s="122"/>
      <c r="F16" s="173"/>
      <c r="G16" s="123"/>
      <c r="H16" s="101"/>
      <c r="I16" s="123"/>
      <c r="J16" s="101"/>
      <c r="K16" s="124" t="s">
        <v>475</v>
      </c>
      <c r="L16" s="125" t="n">
        <f aca="false">$F$13</f>
        <v>3.59957894736842</v>
      </c>
      <c r="M16" s="125" t="n">
        <v>0.4</v>
      </c>
      <c r="N16" s="126" t="n">
        <f aca="false">CEILING($D$13/0.35,1)+1</f>
        <v>7</v>
      </c>
      <c r="O16" s="126" t="n">
        <f aca="false">CEILING(L16/M16,1)+1</f>
        <v>10</v>
      </c>
      <c r="P16" s="126" t="n">
        <v>10</v>
      </c>
      <c r="Q16" s="127" t="n">
        <v>0.698</v>
      </c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n">
        <f aca="false">IF(P16=10,N16*O16*Q16*0.617*1,IF(P16&gt;10,"",IF(P16&lt;10,"")))</f>
        <v>30.14662</v>
      </c>
      <c r="U16" s="106" t="str">
        <f aca="false">IF(P16=12,N16*O16*Q16*0.888*1,IF(P16&gt;12,"",IF(P16&lt;12,"")))</f>
        <v/>
      </c>
      <c r="V16" s="107" t="str">
        <f aca="false">IF(P16=16,N16*O16*Q16*1.578*1,IF(P16&gt;16,"",IF(P16&lt;16,"")))</f>
        <v/>
      </c>
      <c r="W16" s="106" t="str">
        <f aca="false">IF(P16=20,N16*O16*Q16*2.466*1,IF(P16&gt;20,"",IF(P16&lt;20,"")))</f>
        <v/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473</v>
      </c>
      <c r="AP16" s="118" t="n">
        <f aca="false">SUM(R16:Y16)+SUM(AN16)</f>
        <v>30.14662</v>
      </c>
      <c r="AQ16" s="118" t="n">
        <f aca="false">SUM(AF16:AM16)</f>
        <v>0</v>
      </c>
      <c r="AR16" s="118"/>
      <c r="AS16" s="119" t="s">
        <v>476</v>
      </c>
      <c r="AT16" s="119" t="s">
        <v>477</v>
      </c>
    </row>
    <row r="17" customFormat="false" ht="13.5" hidden="false" customHeight="false" outlineLevel="0" collapsed="false">
      <c r="A17" s="129"/>
      <c r="B17" s="130"/>
      <c r="C17" s="110"/>
      <c r="D17" s="122"/>
      <c r="E17" s="122"/>
      <c r="F17" s="122"/>
      <c r="G17" s="123"/>
      <c r="H17" s="101"/>
      <c r="I17" s="123"/>
      <c r="J17" s="101"/>
      <c r="K17" s="124"/>
      <c r="L17" s="125"/>
      <c r="M17" s="125"/>
      <c r="N17" s="126"/>
      <c r="O17" s="126"/>
      <c r="P17" s="126"/>
      <c r="Q17" s="127"/>
      <c r="R17" s="105"/>
      <c r="S17" s="106"/>
      <c r="T17" s="106"/>
      <c r="U17" s="106"/>
      <c r="V17" s="107"/>
      <c r="W17" s="106"/>
      <c r="X17" s="106"/>
      <c r="Y17" s="108"/>
      <c r="Z17" s="109"/>
      <c r="AA17" s="110"/>
      <c r="AB17" s="111"/>
      <c r="AC17" s="112"/>
      <c r="AD17" s="112"/>
      <c r="AE17" s="113"/>
      <c r="AF17" s="114"/>
      <c r="AG17" s="107"/>
      <c r="AH17" s="107"/>
      <c r="AI17" s="107"/>
      <c r="AJ17" s="107"/>
      <c r="AK17" s="107"/>
      <c r="AL17" s="107"/>
      <c r="AM17" s="115"/>
      <c r="AO17" s="117"/>
      <c r="AP17" s="118"/>
      <c r="AQ17" s="118"/>
      <c r="AR17" s="118"/>
      <c r="AS17" s="119"/>
      <c r="AT17" s="119"/>
    </row>
    <row r="18" customFormat="false" ht="13.5" hidden="false" customHeight="false" outlineLevel="0" collapsed="false">
      <c r="A18" s="129"/>
      <c r="B18" s="130"/>
      <c r="C18" s="110"/>
      <c r="D18" s="122"/>
      <c r="E18" s="122"/>
      <c r="F18" s="122"/>
      <c r="G18" s="123"/>
      <c r="H18" s="101"/>
      <c r="I18" s="123"/>
      <c r="J18" s="101"/>
      <c r="K18" s="124"/>
      <c r="L18" s="125"/>
      <c r="M18" s="125"/>
      <c r="N18" s="126"/>
      <c r="O18" s="126"/>
      <c r="P18" s="126"/>
      <c r="Q18" s="127"/>
      <c r="R18" s="105"/>
      <c r="S18" s="106"/>
      <c r="T18" s="106"/>
      <c r="U18" s="106"/>
      <c r="V18" s="107"/>
      <c r="W18" s="106"/>
      <c r="X18" s="106"/>
      <c r="Y18" s="108"/>
      <c r="Z18" s="109"/>
      <c r="AA18" s="110"/>
      <c r="AB18" s="111"/>
      <c r="AC18" s="112"/>
      <c r="AD18" s="112"/>
      <c r="AE18" s="113"/>
      <c r="AF18" s="114"/>
      <c r="AG18" s="107"/>
      <c r="AH18" s="107"/>
      <c r="AI18" s="107"/>
      <c r="AJ18" s="107"/>
      <c r="AK18" s="107"/>
      <c r="AL18" s="107"/>
      <c r="AM18" s="115"/>
      <c r="AO18" s="117"/>
      <c r="AP18" s="118"/>
      <c r="AQ18" s="118"/>
      <c r="AR18" s="118"/>
      <c r="AS18" s="119"/>
      <c r="AT18" s="119"/>
    </row>
    <row r="19" customFormat="false" ht="13.5" hidden="false" customHeight="false" outlineLevel="0" collapsed="false">
      <c r="A19" s="131"/>
      <c r="B19" s="132"/>
      <c r="C19" s="133" t="s">
        <v>196</v>
      </c>
      <c r="D19" s="133"/>
      <c r="E19" s="133"/>
      <c r="F19" s="133"/>
      <c r="G19" s="134" t="n">
        <f aca="false">SUM(G6:G17)</f>
        <v>13.08823</v>
      </c>
      <c r="H19" s="135"/>
      <c r="I19" s="136"/>
      <c r="J19" s="137"/>
      <c r="K19" s="137"/>
      <c r="L19" s="137"/>
      <c r="M19" s="137"/>
      <c r="N19" s="138"/>
      <c r="O19" s="139" t="s">
        <v>197</v>
      </c>
      <c r="P19" s="139"/>
      <c r="Q19" s="139"/>
      <c r="R19" s="140" t="n">
        <f aca="false">SUM(R6:R17)</f>
        <v>0</v>
      </c>
      <c r="S19" s="140" t="n">
        <f aca="false">SUM(S6:S17)</f>
        <v>100.1088</v>
      </c>
      <c r="T19" s="140" t="n">
        <f aca="false">SUM(T6:T17)</f>
        <v>982.720991333333</v>
      </c>
      <c r="U19" s="140" t="n">
        <f aca="false">SUM(U6:U17)</f>
        <v>160.990972631579</v>
      </c>
      <c r="V19" s="140" t="n">
        <f aca="false">SUM(V6:V17)</f>
        <v>0</v>
      </c>
      <c r="W19" s="140" t="n">
        <f aca="false">SUM(W6:W17)</f>
        <v>0</v>
      </c>
      <c r="X19" s="140" t="n">
        <f aca="false">SUM(X6:X17)</f>
        <v>0</v>
      </c>
      <c r="Y19" s="140" t="n">
        <f aca="false">SUM(Y6:Y17)</f>
        <v>0</v>
      </c>
      <c r="Z19" s="141"/>
      <c r="AA19" s="142"/>
      <c r="AB19" s="143" t="s">
        <v>197</v>
      </c>
      <c r="AC19" s="143"/>
      <c r="AD19" s="143"/>
      <c r="AE19" s="143"/>
      <c r="AF19" s="140" t="n">
        <f aca="false">SUM(AF6:AF17)</f>
        <v>0</v>
      </c>
      <c r="AG19" s="140" t="n">
        <f aca="false">SUM(AG6:AG17)</f>
        <v>0</v>
      </c>
      <c r="AH19" s="140" t="n">
        <f aca="false">SUM(AH6:AH17)</f>
        <v>0</v>
      </c>
      <c r="AI19" s="140" t="n">
        <f aca="false">SUM(AI6:AI17)</f>
        <v>0</v>
      </c>
      <c r="AJ19" s="140" t="n">
        <f aca="false">SUM(AJ6:AJ17)</f>
        <v>0</v>
      </c>
      <c r="AK19" s="140" t="n">
        <f aca="false">SUM(AK6:AK17)</f>
        <v>0</v>
      </c>
      <c r="AL19" s="140" t="n">
        <f aca="false">SUM(AL6:AL17)</f>
        <v>0</v>
      </c>
      <c r="AM19" s="140" t="n">
        <f aca="false">SUM(AM6:AM17)</f>
        <v>0</v>
      </c>
      <c r="AN19" s="144" t="n">
        <f aca="false">SUM(AN6:AN17)</f>
        <v>0</v>
      </c>
      <c r="AO19" s="117"/>
      <c r="AP19" s="118"/>
      <c r="AQ19" s="118"/>
      <c r="AR19" s="118"/>
      <c r="AS19" s="119"/>
      <c r="AT19" s="119"/>
    </row>
    <row r="20" customFormat="false" ht="13.5" hidden="false" customHeight="false" outlineLevel="0" collapsed="false">
      <c r="A20" s="131" t="s">
        <v>198</v>
      </c>
      <c r="B20" s="95"/>
      <c r="C20" s="145" t="s">
        <v>199</v>
      </c>
      <c r="D20" s="145"/>
      <c r="E20" s="145"/>
      <c r="F20" s="145"/>
      <c r="G20" s="146" t="n">
        <f aca="false">SUM(I6:I17)</f>
        <v>103.338</v>
      </c>
      <c r="H20" s="147"/>
      <c r="I20" s="136"/>
      <c r="J20" s="148"/>
      <c r="K20" s="137"/>
      <c r="L20" s="137"/>
      <c r="M20" s="137"/>
      <c r="N20" s="138"/>
      <c r="O20" s="149" t="s">
        <v>200</v>
      </c>
      <c r="P20" s="149"/>
      <c r="Q20" s="149"/>
      <c r="R20" s="150" t="n">
        <f aca="false">SUM(R19:Y19)+AN19</f>
        <v>1243.82076396491</v>
      </c>
      <c r="S20" s="150"/>
      <c r="T20" s="150"/>
      <c r="U20" s="150"/>
      <c r="V20" s="150"/>
      <c r="W20" s="150"/>
      <c r="X20" s="150"/>
      <c r="Y20" s="150"/>
      <c r="Z20" s="151"/>
      <c r="AA20" s="152"/>
      <c r="AB20" s="153" t="s">
        <v>200</v>
      </c>
      <c r="AC20" s="153"/>
      <c r="AD20" s="153"/>
      <c r="AE20" s="153"/>
      <c r="AF20" s="150" t="n">
        <f aca="false">SUM(AF19:AM19)</f>
        <v>0</v>
      </c>
      <c r="AG20" s="150"/>
      <c r="AH20" s="150"/>
      <c r="AI20" s="150"/>
      <c r="AJ20" s="150"/>
      <c r="AK20" s="150"/>
      <c r="AL20" s="150"/>
      <c r="AM20" s="150"/>
      <c r="AN20" s="154"/>
      <c r="AO20" s="117"/>
      <c r="AP20" s="118"/>
      <c r="AQ20" s="118"/>
      <c r="AR20" s="118"/>
      <c r="AS20" s="119"/>
      <c r="AT20" s="119"/>
    </row>
    <row r="21" customFormat="false" ht="13.5" hidden="false" customHeight="false" outlineLevel="0" collapsed="false">
      <c r="A21" s="155"/>
      <c r="B21" s="156"/>
      <c r="C21" s="157" t="s">
        <v>201</v>
      </c>
      <c r="D21" s="157"/>
      <c r="E21" s="157"/>
      <c r="F21" s="157"/>
      <c r="G21" s="158" t="n">
        <f aca="false">IF(G19&gt;0,G20/G19,0)</f>
        <v>7.89549083413113</v>
      </c>
      <c r="H21" s="159"/>
      <c r="I21" s="160"/>
      <c r="J21" s="160"/>
      <c r="K21" s="160"/>
      <c r="L21" s="160"/>
      <c r="M21" s="160"/>
      <c r="N21" s="161"/>
      <c r="O21" s="162" t="s">
        <v>202</v>
      </c>
      <c r="P21" s="162"/>
      <c r="Q21" s="162"/>
      <c r="R21" s="163" t="n">
        <f aca="false">IF(G19&gt;0,R20/G19,0)</f>
        <v>95.0335350131311</v>
      </c>
      <c r="S21" s="164"/>
      <c r="T21" s="165"/>
      <c r="U21" s="165"/>
      <c r="V21" s="165"/>
      <c r="W21" s="165"/>
      <c r="X21" s="165"/>
      <c r="Y21" s="166"/>
      <c r="Z21" s="141"/>
      <c r="AA21" s="167"/>
      <c r="AB21" s="168" t="s">
        <v>203</v>
      </c>
      <c r="AC21" s="168"/>
      <c r="AD21" s="168"/>
      <c r="AE21" s="168"/>
      <c r="AF21" s="163" t="n">
        <f aca="false">IF(G19&gt;0,AF20/G19,0)</f>
        <v>0</v>
      </c>
      <c r="AG21" s="164"/>
      <c r="AH21" s="165"/>
      <c r="AI21" s="165"/>
      <c r="AJ21" s="169" t="s">
        <v>204</v>
      </c>
      <c r="AK21" s="169"/>
      <c r="AL21" s="169"/>
      <c r="AM21" s="170" t="n">
        <f aca="false">IF(R20&gt;0,AF20/R20,0)</f>
        <v>0</v>
      </c>
      <c r="AN21" s="44"/>
      <c r="AO21" s="117"/>
      <c r="AP21" s="118"/>
      <c r="AQ21" s="118"/>
      <c r="AR21" s="118"/>
      <c r="AS21" s="119"/>
      <c r="AT21" s="119"/>
    </row>
    <row r="31" s="55" customFormat="true" ht="13.5" hidden="false" customHeight="false" outlineLevel="0" collapsed="false"/>
    <row r="32" s="55" customFormat="true" ht="13.5" hidden="false" customHeight="false" outlineLevel="0" collapsed="false"/>
    <row r="33" s="55" customFormat="true" ht="13.5" hidden="false" customHeight="false" outlineLevel="0" collapsed="false"/>
    <row r="36" s="55" customFormat="true" ht="13.5" hidden="false" customHeight="false" outlineLevel="0" collapsed="false"/>
    <row r="37" s="95" customFormat="true" ht="13.5" hidden="false" customHeight="false" outlineLevel="0" collapsed="false"/>
    <row r="38" s="116" customFormat="true" ht="13.5" hidden="false" customHeight="false" outlineLevel="0" collapsed="false"/>
    <row r="63" s="55" customFormat="true" ht="13.5" hidden="false" customHeight="false" outlineLevel="0" collapsed="false"/>
    <row r="64" s="55" customFormat="true" ht="13.5" hidden="false" customHeight="false" outlineLevel="0" collapsed="false"/>
    <row r="65" s="55" customFormat="true" ht="13.5" hidden="false" customHeight="false" outlineLevel="0" collapsed="false"/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19:F19"/>
    <mergeCell ref="O19:Q19"/>
    <mergeCell ref="AB19:AE19"/>
    <mergeCell ref="C20:F20"/>
    <mergeCell ref="O20:Q20"/>
    <mergeCell ref="R20:Y20"/>
    <mergeCell ref="AB20:AE20"/>
    <mergeCell ref="AF20:AM20"/>
    <mergeCell ref="C21:F21"/>
    <mergeCell ref="O21:Q21"/>
    <mergeCell ref="AB21:AE21"/>
    <mergeCell ref="AJ21:AL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6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1015625" defaultRowHeight="13.5" zeroHeight="false" outlineLevelRow="0" outlineLevelCol="0"/>
  <cols>
    <col collapsed="false" customWidth="true" hidden="false" outlineLevel="0" max="1" min="1" style="42" width="12.43"/>
    <col collapsed="false" customWidth="true" hidden="false" outlineLevel="0" max="2" min="2" style="43" width="34"/>
    <col collapsed="false" customWidth="true" hidden="false" outlineLevel="0" max="3" min="3" style="44" width="5.87"/>
    <col collapsed="false" customWidth="true" hidden="false" outlineLevel="0" max="4" min="4" style="44" width="6.99"/>
    <col collapsed="false" customWidth="true" hidden="false" outlineLevel="0" max="5" min="5" style="44" width="8.43"/>
    <col collapsed="false" customWidth="true" hidden="false" outlineLevel="0" max="6" min="6" style="44" width="9.99"/>
    <col collapsed="false" customWidth="true" hidden="false" outlineLevel="0" max="7" min="7" style="44" width="7.43"/>
    <col collapsed="false" customWidth="true" hidden="false" outlineLevel="0" max="8" min="8" style="44" width="3.66"/>
    <col collapsed="false" customWidth="true" hidden="false" outlineLevel="0" max="9" min="9" style="44" width="9.99"/>
    <col collapsed="false" customWidth="true" hidden="false" outlineLevel="0" max="10" min="10" style="44" width="3.66"/>
    <col collapsed="false" customWidth="true" hidden="false" outlineLevel="0" max="11" min="11" style="44" width="40"/>
    <col collapsed="false" customWidth="true" hidden="false" outlineLevel="0" max="12" min="12" style="44" width="8.1"/>
    <col collapsed="false" customWidth="true" hidden="false" outlineLevel="0" max="14" min="13" style="44" width="5.55"/>
    <col collapsed="false" customWidth="true" hidden="false" outlineLevel="0" max="15" min="15" style="45" width="6.43"/>
    <col collapsed="false" customWidth="true" hidden="false" outlineLevel="0" max="16" min="16" style="44" width="5.55"/>
    <col collapsed="false" customWidth="true" hidden="false" outlineLevel="0" max="17" min="17" style="44" width="7.1"/>
    <col collapsed="false" customWidth="true" hidden="false" outlineLevel="0" max="18" min="18" style="44" width="8.43"/>
    <col collapsed="false" customWidth="true" hidden="false" outlineLevel="0" max="19" min="19" style="44" width="8.66"/>
    <col collapsed="false" customWidth="false" hidden="false" outlineLevel="0" max="22" min="20" style="44" width="9.1"/>
    <col collapsed="false" customWidth="true" hidden="false" outlineLevel="0" max="24" min="23" style="44" width="8.55"/>
    <col collapsed="false" customWidth="true" hidden="false" outlineLevel="0" max="25" min="25" style="44" width="6.32"/>
    <col collapsed="false" customWidth="true" hidden="false" outlineLevel="0" max="26" min="26" style="44" width="3.66"/>
    <col collapsed="false" customWidth="true" hidden="false" outlineLevel="0" max="27" min="27" style="46" width="14.66"/>
    <col collapsed="false" customWidth="true" hidden="false" outlineLevel="0" max="28" min="28" style="46" width="6.32"/>
    <col collapsed="false" customWidth="true" hidden="false" outlineLevel="0" max="29" min="29" style="46" width="7.88"/>
    <col collapsed="false" customWidth="true" hidden="false" outlineLevel="0" max="31" min="30" style="46" width="5.66"/>
    <col collapsed="false" customWidth="true" hidden="false" outlineLevel="0" max="38" min="32" style="46" width="6.1"/>
    <col collapsed="false" customWidth="true" hidden="false" outlineLevel="0" max="39" min="39" style="46" width="6.99"/>
    <col collapsed="false" customWidth="true" hidden="false" outlineLevel="0" max="40" min="40" style="46" width="8.34"/>
    <col collapsed="false" customWidth="true" hidden="false" outlineLevel="0" max="249" min="41" style="44" width="6"/>
    <col collapsed="false" customWidth="true" hidden="false" outlineLevel="0" max="250" min="250" style="44" width="6.1"/>
    <col collapsed="false" customWidth="true" hidden="false" outlineLevel="0" max="251" min="251" style="44" width="26.43"/>
    <col collapsed="false" customWidth="true" hidden="false" outlineLevel="0" max="255" min="252" style="44" width="5.87"/>
    <col collapsed="false" customWidth="false" hidden="false" outlineLevel="0" max="257" min="256" style="44" width="9.1"/>
  </cols>
  <sheetData>
    <row r="1" s="56" customFormat="true" ht="39.75" hidden="false" customHeight="true" outlineLevel="0" collapsed="false">
      <c r="A1" s="47"/>
      <c r="B1" s="48"/>
      <c r="C1" s="48"/>
      <c r="D1" s="49"/>
      <c r="E1" s="50" t="s">
        <v>115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 t="s">
        <v>116</v>
      </c>
      <c r="T1" s="52" t="s">
        <v>117</v>
      </c>
      <c r="U1" s="52"/>
      <c r="V1" s="52"/>
      <c r="W1" s="53" t="s">
        <v>118</v>
      </c>
      <c r="X1" s="54"/>
      <c r="Y1" s="54"/>
      <c r="Z1" s="5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s="66" customFormat="true" ht="13.5" hidden="false" customHeight="true" outlineLevel="0" collapsed="false">
      <c r="A2" s="57"/>
      <c r="B2" s="58"/>
      <c r="C2" s="58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 t="s">
        <v>119</v>
      </c>
      <c r="T2" s="62" t="s">
        <v>120</v>
      </c>
      <c r="U2" s="62"/>
      <c r="V2" s="63"/>
      <c r="W2" s="64" t="s">
        <v>121</v>
      </c>
      <c r="X2" s="65" t="n">
        <f aca="true">TODAY()</f>
        <v>46325</v>
      </c>
      <c r="Y2" s="6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="66" customFormat="true" ht="13.5" hidden="false" customHeight="true" outlineLevel="0" collapsed="false">
      <c r="A3" s="67"/>
      <c r="B3" s="68"/>
      <c r="O3" s="69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44"/>
      <c r="AO3" s="44"/>
      <c r="AP3" s="44"/>
    </row>
    <row r="4" s="55" customFormat="true" ht="13.5" hidden="false" customHeight="true" outlineLevel="0" collapsed="false">
      <c r="A4" s="70" t="s">
        <v>122</v>
      </c>
      <c r="B4" s="71" t="s">
        <v>123</v>
      </c>
      <c r="C4" s="72" t="s">
        <v>124</v>
      </c>
      <c r="D4" s="72"/>
      <c r="E4" s="72"/>
      <c r="F4" s="72"/>
      <c r="G4" s="72"/>
      <c r="H4" s="73"/>
      <c r="I4" s="74" t="s">
        <v>205</v>
      </c>
      <c r="J4" s="73"/>
      <c r="K4" s="75" t="s">
        <v>126</v>
      </c>
      <c r="L4" s="75"/>
      <c r="M4" s="75"/>
      <c r="N4" s="75"/>
      <c r="O4" s="75"/>
      <c r="P4" s="75"/>
      <c r="Q4" s="75"/>
      <c r="R4" s="72" t="s">
        <v>127</v>
      </c>
      <c r="S4" s="72"/>
      <c r="T4" s="72"/>
      <c r="U4" s="72"/>
      <c r="V4" s="72"/>
      <c r="W4" s="72"/>
      <c r="X4" s="72"/>
      <c r="Y4" s="72"/>
      <c r="Z4" s="76"/>
      <c r="AA4" s="77" t="s">
        <v>128</v>
      </c>
      <c r="AB4" s="77"/>
      <c r="AC4" s="77"/>
      <c r="AD4" s="77"/>
      <c r="AE4" s="77"/>
      <c r="AF4" s="78" t="s">
        <v>127</v>
      </c>
      <c r="AG4" s="78"/>
      <c r="AH4" s="78"/>
      <c r="AI4" s="78"/>
      <c r="AJ4" s="78"/>
      <c r="AK4" s="78"/>
      <c r="AL4" s="78"/>
      <c r="AM4" s="78"/>
      <c r="AN4" s="79" t="s">
        <v>129</v>
      </c>
      <c r="AO4" s="80" t="s">
        <v>130</v>
      </c>
      <c r="AP4" s="80" t="s">
        <v>7</v>
      </c>
      <c r="AQ4" s="80" t="s">
        <v>131</v>
      </c>
      <c r="AR4" s="80" t="s">
        <v>12</v>
      </c>
      <c r="AS4" s="80" t="s">
        <v>132</v>
      </c>
      <c r="AT4" s="80" t="s">
        <v>133</v>
      </c>
    </row>
    <row r="5" s="95" customFormat="true" ht="30.75" hidden="false" customHeight="true" outlineLevel="0" collapsed="false">
      <c r="A5" s="70"/>
      <c r="B5" s="71"/>
      <c r="C5" s="81" t="s">
        <v>134</v>
      </c>
      <c r="D5" s="82" t="s">
        <v>135</v>
      </c>
      <c r="E5" s="82" t="s">
        <v>136</v>
      </c>
      <c r="F5" s="83" t="s">
        <v>137</v>
      </c>
      <c r="G5" s="83" t="s">
        <v>206</v>
      </c>
      <c r="H5" s="85"/>
      <c r="I5" s="86" t="s">
        <v>206</v>
      </c>
      <c r="J5" s="73"/>
      <c r="K5" s="81" t="s">
        <v>123</v>
      </c>
      <c r="L5" s="87" t="s">
        <v>140</v>
      </c>
      <c r="M5" s="87" t="s">
        <v>141</v>
      </c>
      <c r="N5" s="87" t="s">
        <v>142</v>
      </c>
      <c r="O5" s="82" t="s">
        <v>143</v>
      </c>
      <c r="P5" s="82" t="s">
        <v>144</v>
      </c>
      <c r="Q5" s="88" t="s">
        <v>145</v>
      </c>
      <c r="R5" s="89" t="s">
        <v>146</v>
      </c>
      <c r="S5" s="90" t="s">
        <v>147</v>
      </c>
      <c r="T5" s="90" t="s">
        <v>148</v>
      </c>
      <c r="U5" s="90" t="s">
        <v>149</v>
      </c>
      <c r="V5" s="90" t="s">
        <v>150</v>
      </c>
      <c r="W5" s="90" t="s">
        <v>151</v>
      </c>
      <c r="X5" s="90" t="s">
        <v>152</v>
      </c>
      <c r="Y5" s="91" t="s">
        <v>153</v>
      </c>
      <c r="Z5" s="76"/>
      <c r="AA5" s="81" t="s">
        <v>142</v>
      </c>
      <c r="AB5" s="92" t="s">
        <v>154</v>
      </c>
      <c r="AC5" s="92" t="s">
        <v>155</v>
      </c>
      <c r="AD5" s="93" t="s">
        <v>156</v>
      </c>
      <c r="AE5" s="82" t="s">
        <v>144</v>
      </c>
      <c r="AF5" s="89" t="s">
        <v>146</v>
      </c>
      <c r="AG5" s="90" t="s">
        <v>147</v>
      </c>
      <c r="AH5" s="90" t="s">
        <v>148</v>
      </c>
      <c r="AI5" s="90" t="s">
        <v>149</v>
      </c>
      <c r="AJ5" s="90" t="s">
        <v>150</v>
      </c>
      <c r="AK5" s="90" t="s">
        <v>151</v>
      </c>
      <c r="AL5" s="90" t="s">
        <v>152</v>
      </c>
      <c r="AM5" s="94" t="s">
        <v>153</v>
      </c>
      <c r="AN5" s="79" t="s">
        <v>157</v>
      </c>
      <c r="AO5" s="80"/>
      <c r="AP5" s="80"/>
      <c r="AQ5" s="80"/>
      <c r="AR5" s="80"/>
      <c r="AS5" s="80"/>
      <c r="AT5" s="80"/>
    </row>
    <row r="6" s="116" customFormat="true" ht="13.5" hidden="false" customHeight="false" outlineLevel="0" collapsed="false">
      <c r="A6" s="96"/>
      <c r="B6" s="97" t="s">
        <v>478</v>
      </c>
      <c r="C6" s="98"/>
      <c r="D6" s="99"/>
      <c r="E6" s="99"/>
      <c r="F6" s="99"/>
      <c r="G6" s="100"/>
      <c r="H6" s="101"/>
      <c r="I6" s="100"/>
      <c r="J6" s="101"/>
      <c r="K6" s="102"/>
      <c r="L6" s="103"/>
      <c r="M6" s="103"/>
      <c r="N6" s="104"/>
      <c r="O6" s="104"/>
      <c r="P6" s="104"/>
      <c r="Q6" s="100"/>
      <c r="R6" s="105"/>
      <c r="S6" s="106"/>
      <c r="T6" s="106"/>
      <c r="U6" s="106"/>
      <c r="V6" s="107"/>
      <c r="W6" s="106"/>
      <c r="X6" s="106"/>
      <c r="Y6" s="108"/>
      <c r="Z6" s="109"/>
      <c r="AA6" s="110"/>
      <c r="AB6" s="111"/>
      <c r="AC6" s="112"/>
      <c r="AD6" s="112"/>
      <c r="AE6" s="113"/>
      <c r="AF6" s="114"/>
      <c r="AG6" s="107"/>
      <c r="AH6" s="107"/>
      <c r="AI6" s="107"/>
      <c r="AJ6" s="107"/>
      <c r="AK6" s="107"/>
      <c r="AL6" s="107"/>
      <c r="AM6" s="115"/>
      <c r="AO6" s="117"/>
      <c r="AP6" s="118"/>
      <c r="AQ6" s="118"/>
      <c r="AR6" s="118"/>
      <c r="AS6" s="119"/>
      <c r="AT6" s="119"/>
    </row>
    <row r="7" customFormat="false" ht="13.5" hidden="false" customHeight="false" outlineLevel="0" collapsed="false">
      <c r="A7" s="120"/>
      <c r="B7" s="121" t="s">
        <v>479</v>
      </c>
      <c r="C7" s="110" t="n">
        <v>1</v>
      </c>
      <c r="D7" s="122" t="n">
        <v>0.25</v>
      </c>
      <c r="E7" s="122" t="n">
        <v>0.5</v>
      </c>
      <c r="F7" s="122" t="n">
        <f aca="false">0.5869/(0.25*0.5)</f>
        <v>4.6952</v>
      </c>
      <c r="G7" s="123" t="n">
        <f aca="false">C7*D7*E7*F7</f>
        <v>0.5869</v>
      </c>
      <c r="H7" s="101"/>
      <c r="I7" s="123" t="n">
        <f aca="false">C7*F7*(D7+(E7-0.2)+(E7))</f>
        <v>4.92996</v>
      </c>
      <c r="J7" s="101"/>
      <c r="K7" s="124"/>
      <c r="L7" s="125"/>
      <c r="M7" s="125"/>
      <c r="N7" s="126"/>
      <c r="O7" s="126"/>
      <c r="P7" s="126"/>
      <c r="Q7" s="127"/>
      <c r="R7" s="105" t="str">
        <f aca="false">IF(P7=6,N7*O7*Q7*0.222*1,IF(P7&gt;6,"",IF(P7&lt;6,"")))</f>
        <v/>
      </c>
      <c r="S7" s="106" t="str">
        <f aca="false">IF(P7=8,N7*O7*Q7*0.395*1,IF(P7&gt;8,"",IF(P7&lt;8,"")))</f>
        <v/>
      </c>
      <c r="T7" s="106" t="str">
        <f aca="false">IF(P7=10,N7*O7*Q7*0.617*1,IF(P7&gt;10,"",IF(P7&lt;10,"")))</f>
        <v/>
      </c>
      <c r="U7" s="106" t="str">
        <f aca="false">IF(P7=12,N7*O7*Q7*0.888*1,IF(P7&gt;12,"",IF(P7&lt;12,"")))</f>
        <v/>
      </c>
      <c r="V7" s="107" t="str">
        <f aca="false">IF(P7=16,N7*O7*Q7*1.578*1,IF(P7&gt;16,"",IF(P7&lt;16,"")))</f>
        <v/>
      </c>
      <c r="W7" s="106" t="str">
        <f aca="false">IF(P7=20,N7*O7*Q7*2.466*1,IF(P7&gt;20,"",IF(P7&lt;20,"")))</f>
        <v/>
      </c>
      <c r="X7" s="106" t="str">
        <f aca="false">IF(P7=25,N7*O7*Q7*3.853*1,IF(P7&gt;25,"",IF(P7&lt;25,"")))</f>
        <v/>
      </c>
      <c r="Y7" s="108" t="str">
        <f aca="false">IF(P7=32,N7*O7*Q7*6.313*1,IF(P7&gt;32,"",IF(P7&lt;32,"")))</f>
        <v/>
      </c>
      <c r="Z7" s="109"/>
      <c r="AA7" s="110" t="str">
        <f aca="false">IF(AC7&gt;0,N7,"")</f>
        <v/>
      </c>
      <c r="AB7" s="111" t="str">
        <f aca="false">IF(AC7&gt;0,O7,"")</f>
        <v/>
      </c>
      <c r="AC7" s="112"/>
      <c r="AD7" s="112"/>
      <c r="AE7" s="113" t="str">
        <f aca="false">IF(AC7&gt;0,P7,"")</f>
        <v/>
      </c>
      <c r="AF7" s="114" t="str">
        <f aca="false">IF(AE7=6,AA7*AB7*AC7*AD7*(AE7/1000)*0.222*1,IF(AE7&gt;6,"",IF(AE7&lt;6,"")))</f>
        <v/>
      </c>
      <c r="AG7" s="107" t="str">
        <f aca="false">IF(AE7=8,AA7*AB7*AC7*AD7*(AE7/1000)*0.395*1,IF(AE7&gt;8,"",IF(AE7&lt;8,"")))</f>
        <v/>
      </c>
      <c r="AH7" s="107" t="str">
        <f aca="false">IF(AE7=10,AA7*AB7*AC7*AD7*(AE7/1000)*0.617*1,IF(AE7&gt;10,"",IF(AE7&lt;10,"")))</f>
        <v/>
      </c>
      <c r="AI7" s="107" t="str">
        <f aca="false">IF(AE7=12,AA7*AB7*AC7*AD7*(AE7/1000)*0.888*1,IF(AE7&gt;12,"",IF(AE7&lt;12,"")))</f>
        <v/>
      </c>
      <c r="AJ7" s="107" t="str">
        <f aca="false">IF(AE7=16,AA7*AB7*AC7*AD7*(AE7/1000)*1.578*1,IF(AE7&gt;16,"",IF(AE7&lt;16,"")))</f>
        <v/>
      </c>
      <c r="AK7" s="107" t="str">
        <f aca="false">IF(AE7=20,AA7*AB7*AC7*AD7*(AE7/1000)*2.466*1,IF(AE7&gt;20,"",IF(AE7&lt;20,"")))</f>
        <v/>
      </c>
      <c r="AL7" s="107" t="str">
        <f aca="false">IF(AE7=25,AA7*AB7*AC7*AD7*(AE7/1000)*3.853*1,IF(AE7&gt;25,"",IF(AE7&lt;25,"")))</f>
        <v/>
      </c>
      <c r="AM7" s="115" t="str">
        <f aca="false">IF(AE7=32,AA7*AB7*AC7*AD7*(AE7/1000)*6.313*1,IF(AE7&gt;32,"",IF(AE7&lt;32,"")))</f>
        <v/>
      </c>
      <c r="AN7" s="128"/>
      <c r="AO7" s="117" t="s">
        <v>160</v>
      </c>
      <c r="AP7" s="118" t="n">
        <f aca="false">SUM(R7:Y7)+SUM(AN7)</f>
        <v>0</v>
      </c>
      <c r="AQ7" s="118" t="n">
        <f aca="false">SUM(AF7:AM7)</f>
        <v>0</v>
      </c>
      <c r="AR7" s="118" t="n">
        <v>0.5869</v>
      </c>
      <c r="AS7" s="119" t="s">
        <v>480</v>
      </c>
      <c r="AT7" s="119" t="s">
        <v>209</v>
      </c>
    </row>
    <row r="8" customFormat="false" ht="13.5" hidden="false" customHeight="false" outlineLevel="0" collapsed="false">
      <c r="A8" s="129"/>
      <c r="B8" s="172"/>
      <c r="C8" s="110"/>
      <c r="D8" s="122"/>
      <c r="E8" s="122"/>
      <c r="F8" s="173"/>
      <c r="G8" s="123"/>
      <c r="H8" s="101"/>
      <c r="I8" s="123"/>
      <c r="J8" s="101"/>
      <c r="K8" s="124" t="s">
        <v>481</v>
      </c>
      <c r="L8" s="125"/>
      <c r="M8" s="125"/>
      <c r="N8" s="126" t="n">
        <f aca="false">$C$7</f>
        <v>1</v>
      </c>
      <c r="O8" s="126" t="n">
        <v>3</v>
      </c>
      <c r="P8" s="126" t="n">
        <v>20</v>
      </c>
      <c r="Q8" s="127" t="n">
        <f aca="false">4.945+2*50*20/1000</f>
        <v>6.945</v>
      </c>
      <c r="R8" s="105" t="str">
        <f aca="false">IF(P8=6,N8*O8*Q8*0.222*1,IF(P8&gt;6,"",IF(P8&lt;6,"")))</f>
        <v/>
      </c>
      <c r="S8" s="106" t="str">
        <f aca="false">IF(P8=8,N8*O8*Q8*0.395*1,IF(P8&gt;8,"",IF(P8&lt;8,"")))</f>
        <v/>
      </c>
      <c r="T8" s="106" t="str">
        <f aca="false">IF(P8=10,N8*O8*Q8*0.617*1,IF(P8&gt;10,"",IF(P8&lt;10,"")))</f>
        <v/>
      </c>
      <c r="U8" s="106" t="str">
        <f aca="false">IF(P8=12,N8*O8*Q8*0.888*1,IF(P8&gt;12,"",IF(P8&lt;12,"")))</f>
        <v/>
      </c>
      <c r="V8" s="107" t="str">
        <f aca="false">IF(P8=16,N8*O8*Q8*1.578*1,IF(P8&gt;16,"",IF(P8&lt;16,"")))</f>
        <v/>
      </c>
      <c r="W8" s="106" t="n">
        <f aca="false">IF(P8=20,N8*O8*Q8*2.466*1,IF(P8&gt;20,"",IF(P8&lt;20,"")))</f>
        <v>51.37911</v>
      </c>
      <c r="X8" s="106" t="str">
        <f aca="false">IF(P8=25,N8*O8*Q8*3.853*1,IF(P8&gt;25,"",IF(P8&lt;25,"")))</f>
        <v/>
      </c>
      <c r="Y8" s="108" t="str">
        <f aca="false">IF(P8=32,N8*O8*Q8*6.313*1,IF(P8&gt;32,"",IF(P8&lt;32,"")))</f>
        <v/>
      </c>
      <c r="Z8" s="109"/>
      <c r="AA8" s="110" t="str">
        <f aca="false">IF(AC8&gt;0,N8,"")</f>
        <v/>
      </c>
      <c r="AB8" s="111" t="str">
        <f aca="false">IF(AC8&gt;0,O8,"")</f>
        <v/>
      </c>
      <c r="AC8" s="112"/>
      <c r="AD8" s="112"/>
      <c r="AE8" s="113" t="str">
        <f aca="false">IF(AC8&gt;0,P8,"")</f>
        <v/>
      </c>
      <c r="AF8" s="114" t="str">
        <f aca="false">IF(AE8=6,AA8*AB8*AC8*AD8*(AE8/1000)*0.222*1,IF(AE8&gt;6,"",IF(AE8&lt;6,"")))</f>
        <v/>
      </c>
      <c r="AG8" s="107" t="str">
        <f aca="false">IF(AE8=8,AA8*AB8*AC8*AD8*(AE8/1000)*0.395*1,IF(AE8&gt;8,"",IF(AE8&lt;8,"")))</f>
        <v/>
      </c>
      <c r="AH8" s="107" t="str">
        <f aca="false">IF(AE8=10,AA8*AB8*AC8*AD8*(AE8/1000)*0.617*1,IF(AE8&gt;10,"",IF(AE8&lt;10,"")))</f>
        <v/>
      </c>
      <c r="AI8" s="107" t="str">
        <f aca="false">IF(AE8=12,AA8*AB8*AC8*AD8*(AE8/1000)*0.888*1,IF(AE8&gt;12,"",IF(AE8&lt;12,"")))</f>
        <v/>
      </c>
      <c r="AJ8" s="107" t="str">
        <f aca="false">IF(AE8=16,AA8*AB8*AC8*AD8*(AE8/1000)*1.578*1,IF(AE8&gt;16,"",IF(AE8&lt;16,"")))</f>
        <v/>
      </c>
      <c r="AK8" s="107" t="str">
        <f aca="false">IF(AE8=20,AA8*AB8*AC8*AD8*(AE8/1000)*2.466*1,IF(AE8&gt;20,"",IF(AE8&lt;20,"")))</f>
        <v/>
      </c>
      <c r="AL8" s="107" t="str">
        <f aca="false">IF(AE8=25,AA8*AB8*AC8*AD8*(AE8/1000)*3.853*1,IF(AE8&gt;25,"",IF(AE8&lt;25,"")))</f>
        <v/>
      </c>
      <c r="AM8" s="115" t="str">
        <f aca="false">IF(AE8=32,AA8*AB8*AC8*AD8*(AE8/1000)*6.313*1,IF(AE8&gt;32,"",IF(AE8&lt;32,"")))</f>
        <v/>
      </c>
      <c r="AN8" s="128"/>
      <c r="AO8" s="117" t="s">
        <v>160</v>
      </c>
      <c r="AP8" s="118" t="n">
        <f aca="false">SUM(R8:Y8)+SUM(AN8)</f>
        <v>51.37911</v>
      </c>
      <c r="AQ8" s="118" t="n">
        <f aca="false">SUM(AF8:AM8)</f>
        <v>0</v>
      </c>
      <c r="AR8" s="118"/>
      <c r="AS8" s="119" t="s">
        <v>482</v>
      </c>
      <c r="AT8" s="119" t="s">
        <v>162</v>
      </c>
    </row>
    <row r="9" customFormat="false" ht="13.5" hidden="false" customHeight="false" outlineLevel="0" collapsed="false">
      <c r="A9" s="129"/>
      <c r="B9" s="172"/>
      <c r="C9" s="110"/>
      <c r="D9" s="122"/>
      <c r="E9" s="122"/>
      <c r="F9" s="173"/>
      <c r="G9" s="123"/>
      <c r="H9" s="101"/>
      <c r="I9" s="123"/>
      <c r="J9" s="101"/>
      <c r="K9" s="124" t="s">
        <v>483</v>
      </c>
      <c r="L9" s="125"/>
      <c r="M9" s="125"/>
      <c r="N9" s="126" t="n">
        <f aca="false">$C$7</f>
        <v>1</v>
      </c>
      <c r="O9" s="126" t="n">
        <v>2</v>
      </c>
      <c r="P9" s="126" t="n">
        <v>20</v>
      </c>
      <c r="Q9" s="127" t="n">
        <f aca="false">4.945+2*50*20/1000</f>
        <v>6.945</v>
      </c>
      <c r="R9" s="105" t="str">
        <f aca="false">IF(P9=6,N9*O9*Q9*0.222*1,IF(P9&gt;6,"",IF(P9&lt;6,"")))</f>
        <v/>
      </c>
      <c r="S9" s="106" t="str">
        <f aca="false">IF(P9=8,N9*O9*Q9*0.395*1,IF(P9&gt;8,"",IF(P9&lt;8,"")))</f>
        <v/>
      </c>
      <c r="T9" s="106" t="str">
        <f aca="false">IF(P9=10,N9*O9*Q9*0.617*1,IF(P9&gt;10,"",IF(P9&lt;10,"")))</f>
        <v/>
      </c>
      <c r="U9" s="106" t="str">
        <f aca="false">IF(P9=12,N9*O9*Q9*0.888*1,IF(P9&gt;12,"",IF(P9&lt;12,"")))</f>
        <v/>
      </c>
      <c r="V9" s="107" t="str">
        <f aca="false">IF(P9=16,N9*O9*Q9*1.578*1,IF(P9&gt;16,"",IF(P9&lt;16,"")))</f>
        <v/>
      </c>
      <c r="W9" s="106" t="n">
        <f aca="false">IF(P9=20,N9*O9*Q9*2.466*1,IF(P9&gt;20,"",IF(P9&lt;20,"")))</f>
        <v>34.25274</v>
      </c>
      <c r="X9" s="106" t="str">
        <f aca="false">IF(P9=25,N9*O9*Q9*3.853*1,IF(P9&gt;25,"",IF(P9&lt;25,"")))</f>
        <v/>
      </c>
      <c r="Y9" s="108" t="str">
        <f aca="false">IF(P9=32,N9*O9*Q9*6.313*1,IF(P9&gt;32,"",IF(P9&lt;32,"")))</f>
        <v/>
      </c>
      <c r="Z9" s="109"/>
      <c r="AA9" s="110" t="str">
        <f aca="false">IF(AC9&gt;0,N9,"")</f>
        <v/>
      </c>
      <c r="AB9" s="111" t="str">
        <f aca="false">IF(AC9&gt;0,O9,"")</f>
        <v/>
      </c>
      <c r="AC9" s="112"/>
      <c r="AD9" s="112"/>
      <c r="AE9" s="113" t="str">
        <f aca="false">IF(AC9&gt;0,P9,"")</f>
        <v/>
      </c>
      <c r="AF9" s="114" t="str">
        <f aca="false">IF(AE9=6,AA9*AB9*AC9*AD9*(AE9/1000)*0.222*1,IF(AE9&gt;6,"",IF(AE9&lt;6,"")))</f>
        <v/>
      </c>
      <c r="AG9" s="107" t="str">
        <f aca="false">IF(AE9=8,AA9*AB9*AC9*AD9*(AE9/1000)*0.395*1,IF(AE9&gt;8,"",IF(AE9&lt;8,"")))</f>
        <v/>
      </c>
      <c r="AH9" s="107" t="str">
        <f aca="false">IF(AE9=10,AA9*AB9*AC9*AD9*(AE9/1000)*0.617*1,IF(AE9&gt;10,"",IF(AE9&lt;10,"")))</f>
        <v/>
      </c>
      <c r="AI9" s="107" t="str">
        <f aca="false">IF(AE9=12,AA9*AB9*AC9*AD9*(AE9/1000)*0.888*1,IF(AE9&gt;12,"",IF(AE9&lt;12,"")))</f>
        <v/>
      </c>
      <c r="AJ9" s="107" t="str">
        <f aca="false">IF(AE9=16,AA9*AB9*AC9*AD9*(AE9/1000)*1.578*1,IF(AE9&gt;16,"",IF(AE9&lt;16,"")))</f>
        <v/>
      </c>
      <c r="AK9" s="107" t="str">
        <f aca="false">IF(AE9=20,AA9*AB9*AC9*AD9*(AE9/1000)*2.466*1,IF(AE9&gt;20,"",IF(AE9&lt;20,"")))</f>
        <v/>
      </c>
      <c r="AL9" s="107" t="str">
        <f aca="false">IF(AE9=25,AA9*AB9*AC9*AD9*(AE9/1000)*3.853*1,IF(AE9&gt;25,"",IF(AE9&lt;25,"")))</f>
        <v/>
      </c>
      <c r="AM9" s="115" t="str">
        <f aca="false">IF(AE9=32,AA9*AB9*AC9*AD9*(AE9/1000)*6.313*1,IF(AE9&gt;32,"",IF(AE9&lt;32,"")))</f>
        <v/>
      </c>
      <c r="AN9" s="128"/>
      <c r="AO9" s="117" t="s">
        <v>160</v>
      </c>
      <c r="AP9" s="118" t="n">
        <f aca="false">SUM(R9:Y9)+SUM(AN9)</f>
        <v>34.25274</v>
      </c>
      <c r="AQ9" s="118" t="n">
        <f aca="false">SUM(AF9:AM9)</f>
        <v>0</v>
      </c>
      <c r="AR9" s="118"/>
      <c r="AS9" s="119" t="s">
        <v>482</v>
      </c>
      <c r="AT9" s="119" t="s">
        <v>162</v>
      </c>
    </row>
    <row r="10" customFormat="false" ht="13.5" hidden="false" customHeight="false" outlineLevel="0" collapsed="false">
      <c r="A10" s="129"/>
      <c r="B10" s="172"/>
      <c r="C10" s="110"/>
      <c r="D10" s="122"/>
      <c r="E10" s="122"/>
      <c r="F10" s="173"/>
      <c r="G10" s="123"/>
      <c r="H10" s="101"/>
      <c r="I10" s="123"/>
      <c r="J10" s="101"/>
      <c r="K10" s="124" t="s">
        <v>484</v>
      </c>
      <c r="L10" s="125"/>
      <c r="M10" s="125"/>
      <c r="N10" s="126" t="n">
        <f aca="false">$C$7</f>
        <v>1</v>
      </c>
      <c r="O10" s="126" t="n">
        <v>3</v>
      </c>
      <c r="P10" s="126" t="n">
        <v>20</v>
      </c>
      <c r="Q10" s="127" t="n">
        <f aca="false">4.945+2*50*20/1000</f>
        <v>6.945</v>
      </c>
      <c r="R10" s="105" t="str">
        <f aca="false">IF(P10=6,N10*O10*Q10*0.222*1,IF(P10&gt;6,"",IF(P10&lt;6,"")))</f>
        <v/>
      </c>
      <c r="S10" s="106" t="str">
        <f aca="false">IF(P10=8,N10*O10*Q10*0.395*1,IF(P10&gt;8,"",IF(P10&lt;8,"")))</f>
        <v/>
      </c>
      <c r="T10" s="106" t="str">
        <f aca="false">IF(P10=10,N10*O10*Q10*0.617*1,IF(P10&gt;10,"",IF(P10&lt;10,"")))</f>
        <v/>
      </c>
      <c r="U10" s="106" t="str">
        <f aca="false">IF(P10=12,N10*O10*Q10*0.888*1,IF(P10&gt;12,"",IF(P10&lt;12,"")))</f>
        <v/>
      </c>
      <c r="V10" s="107" t="str">
        <f aca="false">IF(P10=16,N10*O10*Q10*1.578*1,IF(P10&gt;16,"",IF(P10&lt;16,"")))</f>
        <v/>
      </c>
      <c r="W10" s="106" t="n">
        <f aca="false">IF(P10=20,N10*O10*Q10*2.466*1,IF(P10&gt;20,"",IF(P10&lt;20,"")))</f>
        <v>51.37911</v>
      </c>
      <c r="X10" s="106" t="str">
        <f aca="false">IF(P10=25,N10*O10*Q10*3.853*1,IF(P10&gt;25,"",IF(P10&lt;25,"")))</f>
        <v/>
      </c>
      <c r="Y10" s="108" t="str">
        <f aca="false">IF(P10=32,N10*O10*Q10*6.313*1,IF(P10&gt;32,"",IF(P10&lt;32,"")))</f>
        <v/>
      </c>
      <c r="Z10" s="109"/>
      <c r="AA10" s="110" t="str">
        <f aca="false">IF(AC10&gt;0,N10,"")</f>
        <v/>
      </c>
      <c r="AB10" s="111" t="str">
        <f aca="false">IF(AC10&gt;0,O10,"")</f>
        <v/>
      </c>
      <c r="AC10" s="112"/>
      <c r="AD10" s="112"/>
      <c r="AE10" s="113" t="str">
        <f aca="false">IF(AC10&gt;0,P10,"")</f>
        <v/>
      </c>
      <c r="AF10" s="114" t="str">
        <f aca="false">IF(AE10=6,AA10*AB10*AC10*AD10*(AE10/1000)*0.222*1,IF(AE10&gt;6,"",IF(AE10&lt;6,"")))</f>
        <v/>
      </c>
      <c r="AG10" s="107" t="str">
        <f aca="false">IF(AE10=8,AA10*AB10*AC10*AD10*(AE10/1000)*0.395*1,IF(AE10&gt;8,"",IF(AE10&lt;8,"")))</f>
        <v/>
      </c>
      <c r="AH10" s="107" t="str">
        <f aca="false">IF(AE10=10,AA10*AB10*AC10*AD10*(AE10/1000)*0.617*1,IF(AE10&gt;10,"",IF(AE10&lt;10,"")))</f>
        <v/>
      </c>
      <c r="AI10" s="107" t="str">
        <f aca="false">IF(AE10=12,AA10*AB10*AC10*AD10*(AE10/1000)*0.888*1,IF(AE10&gt;12,"",IF(AE10&lt;12,"")))</f>
        <v/>
      </c>
      <c r="AJ10" s="107" t="str">
        <f aca="false">IF(AE10=16,AA10*AB10*AC10*AD10*(AE10/1000)*1.578*1,IF(AE10&gt;16,"",IF(AE10&lt;16,"")))</f>
        <v/>
      </c>
      <c r="AK10" s="107" t="str">
        <f aca="false">IF(AE10=20,AA10*AB10*AC10*AD10*(AE10/1000)*2.466*1,IF(AE10&gt;20,"",IF(AE10&lt;20,"")))</f>
        <v/>
      </c>
      <c r="AL10" s="107" t="str">
        <f aca="false">IF(AE10=25,AA10*AB10*AC10*AD10*(AE10/1000)*3.853*1,IF(AE10&gt;25,"",IF(AE10&lt;25,"")))</f>
        <v/>
      </c>
      <c r="AM10" s="115" t="str">
        <f aca="false">IF(AE10=32,AA10*AB10*AC10*AD10*(AE10/1000)*6.313*1,IF(AE10&gt;32,"",IF(AE10&lt;32,"")))</f>
        <v/>
      </c>
      <c r="AN10" s="128"/>
      <c r="AO10" s="117" t="s">
        <v>160</v>
      </c>
      <c r="AP10" s="118" t="n">
        <f aca="false">SUM(R10:Y10)+SUM(AN10)</f>
        <v>51.37911</v>
      </c>
      <c r="AQ10" s="118" t="n">
        <f aca="false">SUM(AF10:AM10)</f>
        <v>0</v>
      </c>
      <c r="AR10" s="118"/>
      <c r="AS10" s="119" t="s">
        <v>482</v>
      </c>
      <c r="AT10" s="119" t="s">
        <v>162</v>
      </c>
    </row>
    <row r="11" customFormat="false" ht="13.5" hidden="false" customHeight="false" outlineLevel="0" collapsed="false">
      <c r="A11" s="129"/>
      <c r="B11" s="172"/>
      <c r="C11" s="110"/>
      <c r="D11" s="122"/>
      <c r="E11" s="122"/>
      <c r="F11" s="173"/>
      <c r="G11" s="123"/>
      <c r="H11" s="101"/>
      <c r="I11" s="123"/>
      <c r="J11" s="101"/>
      <c r="K11" s="124" t="s">
        <v>485</v>
      </c>
      <c r="L11" s="125"/>
      <c r="M11" s="125"/>
      <c r="N11" s="126" t="n">
        <f aca="false">$C$7</f>
        <v>1</v>
      </c>
      <c r="O11" s="126" t="n">
        <v>2</v>
      </c>
      <c r="P11" s="126" t="n">
        <v>20</v>
      </c>
      <c r="Q11" s="127" t="n">
        <f aca="false">4.945+2*50*20/1000</f>
        <v>6.945</v>
      </c>
      <c r="R11" s="105" t="str">
        <f aca="false">IF(P11=6,N11*O11*Q11*0.222*1,IF(P11&gt;6,"",IF(P11&lt;6,"")))</f>
        <v/>
      </c>
      <c r="S11" s="106" t="str">
        <f aca="false">IF(P11=8,N11*O11*Q11*0.395*1,IF(P11&gt;8,"",IF(P11&lt;8,"")))</f>
        <v/>
      </c>
      <c r="T11" s="106" t="str">
        <f aca="false">IF(P11=10,N11*O11*Q11*0.617*1,IF(P11&gt;10,"",IF(P11&lt;10,"")))</f>
        <v/>
      </c>
      <c r="U11" s="106" t="str">
        <f aca="false">IF(P11=12,N11*O11*Q11*0.888*1,IF(P11&gt;12,"",IF(P11&lt;12,"")))</f>
        <v/>
      </c>
      <c r="V11" s="107" t="str">
        <f aca="false">IF(P11=16,N11*O11*Q11*1.578*1,IF(P11&gt;16,"",IF(P11&lt;16,"")))</f>
        <v/>
      </c>
      <c r="W11" s="106" t="n">
        <f aca="false">IF(P11=20,N11*O11*Q11*2.466*1,IF(P11&gt;20,"",IF(P11&lt;20,"")))</f>
        <v>34.25274</v>
      </c>
      <c r="X11" s="106" t="str">
        <f aca="false">IF(P11=25,N11*O11*Q11*3.853*1,IF(P11&gt;25,"",IF(P11&lt;25,"")))</f>
        <v/>
      </c>
      <c r="Y11" s="108" t="str">
        <f aca="false">IF(P11=32,N11*O11*Q11*6.313*1,IF(P11&gt;32,"",IF(P11&lt;32,"")))</f>
        <v/>
      </c>
      <c r="Z11" s="109"/>
      <c r="AA11" s="110" t="str">
        <f aca="false">IF(AC11&gt;0,N11,"")</f>
        <v/>
      </c>
      <c r="AB11" s="111" t="str">
        <f aca="false">IF(AC11&gt;0,O11,"")</f>
        <v/>
      </c>
      <c r="AC11" s="112"/>
      <c r="AD11" s="112"/>
      <c r="AE11" s="113" t="str">
        <f aca="false">IF(AC11&gt;0,P11,"")</f>
        <v/>
      </c>
      <c r="AF11" s="114" t="str">
        <f aca="false">IF(AE11=6,AA11*AB11*AC11*AD11*(AE11/1000)*0.222*1,IF(AE11&gt;6,"",IF(AE11&lt;6,"")))</f>
        <v/>
      </c>
      <c r="AG11" s="107" t="str">
        <f aca="false">IF(AE11=8,AA11*AB11*AC11*AD11*(AE11/1000)*0.395*1,IF(AE11&gt;8,"",IF(AE11&lt;8,"")))</f>
        <v/>
      </c>
      <c r="AH11" s="107" t="str">
        <f aca="false">IF(AE11=10,AA11*AB11*AC11*AD11*(AE11/1000)*0.617*1,IF(AE11&gt;10,"",IF(AE11&lt;10,"")))</f>
        <v/>
      </c>
      <c r="AI11" s="107" t="str">
        <f aca="false">IF(AE11=12,AA11*AB11*AC11*AD11*(AE11/1000)*0.888*1,IF(AE11&gt;12,"",IF(AE11&lt;12,"")))</f>
        <v/>
      </c>
      <c r="AJ11" s="107" t="str">
        <f aca="false">IF(AE11=16,AA11*AB11*AC11*AD11*(AE11/1000)*1.578*1,IF(AE11&gt;16,"",IF(AE11&lt;16,"")))</f>
        <v/>
      </c>
      <c r="AK11" s="107" t="str">
        <f aca="false">IF(AE11=20,AA11*AB11*AC11*AD11*(AE11/1000)*2.466*1,IF(AE11&gt;20,"",IF(AE11&lt;20,"")))</f>
        <v/>
      </c>
      <c r="AL11" s="107" t="str">
        <f aca="false">IF(AE11=25,AA11*AB11*AC11*AD11*(AE11/1000)*3.853*1,IF(AE11&gt;25,"",IF(AE11&lt;25,"")))</f>
        <v/>
      </c>
      <c r="AM11" s="115" t="str">
        <f aca="false">IF(AE11=32,AA11*AB11*AC11*AD11*(AE11/1000)*6.313*1,IF(AE11&gt;32,"",IF(AE11&lt;32,"")))</f>
        <v/>
      </c>
      <c r="AN11" s="128"/>
      <c r="AO11" s="117" t="s">
        <v>160</v>
      </c>
      <c r="AP11" s="118" t="n">
        <f aca="false">SUM(R11:Y11)+SUM(AN11)</f>
        <v>34.25274</v>
      </c>
      <c r="AQ11" s="118" t="n">
        <f aca="false">SUM(AF11:AM11)</f>
        <v>0</v>
      </c>
      <c r="AR11" s="118"/>
      <c r="AS11" s="119" t="s">
        <v>482</v>
      </c>
      <c r="AT11" s="119" t="s">
        <v>162</v>
      </c>
    </row>
    <row r="12" customFormat="false" ht="13.5" hidden="false" customHeight="false" outlineLevel="0" collapsed="false">
      <c r="A12" s="129"/>
      <c r="B12" s="172"/>
      <c r="C12" s="110"/>
      <c r="D12" s="122"/>
      <c r="E12" s="122"/>
      <c r="F12" s="173"/>
      <c r="G12" s="123"/>
      <c r="H12" s="101"/>
      <c r="I12" s="123"/>
      <c r="J12" s="101"/>
      <c r="K12" s="124" t="s">
        <v>486</v>
      </c>
      <c r="L12" s="125" t="n">
        <f aca="false">$F$7</f>
        <v>4.6952</v>
      </c>
      <c r="M12" s="125" t="n">
        <v>0.125</v>
      </c>
      <c r="N12" s="126" t="n">
        <f aca="false">$C$7</f>
        <v>1</v>
      </c>
      <c r="O12" s="126" t="n">
        <f aca="false">CEILING(L12/M12,1)+1</f>
        <v>39</v>
      </c>
      <c r="P12" s="126" t="n">
        <v>8</v>
      </c>
      <c r="Q12" s="127" t="n">
        <f aca="false">2*($D$7-2*0.035)+2*($E$7-2*0.035)+20*8/1000</f>
        <v>1.38</v>
      </c>
      <c r="R12" s="105" t="str">
        <f aca="false">IF(P12=6,N12*O12*Q12*0.222*1,IF(P12&gt;6,"",IF(P12&lt;6,"")))</f>
        <v/>
      </c>
      <c r="S12" s="106" t="n">
        <f aca="false">IF(P12=8,N12*O12*Q12*0.395*1,IF(P12&gt;8,"",IF(P12&lt;8,"")))</f>
        <v>21.2589</v>
      </c>
      <c r="T12" s="106" t="str">
        <f aca="false">IF(P12=10,N12*O12*Q12*0.617*1,IF(P12&gt;10,"",IF(P12&lt;10,"")))</f>
        <v/>
      </c>
      <c r="U12" s="106" t="str">
        <f aca="false">IF(P12=12,N12*O12*Q12*0.888*1,IF(P12&gt;12,"",IF(P12&lt;12,"")))</f>
        <v/>
      </c>
      <c r="V12" s="107" t="str">
        <f aca="false">IF(P12=16,N12*O12*Q12*1.578*1,IF(P12&gt;16,"",IF(P12&lt;16,"")))</f>
        <v/>
      </c>
      <c r="W12" s="106" t="str">
        <f aca="false">IF(P12=20,N12*O12*Q12*2.466*1,IF(P12&gt;20,"",IF(P12&lt;20,"")))</f>
        <v/>
      </c>
      <c r="X12" s="106" t="str">
        <f aca="false">IF(P12=25,N12*O12*Q12*3.853*1,IF(P12&gt;25,"",IF(P12&lt;25,"")))</f>
        <v/>
      </c>
      <c r="Y12" s="108" t="str">
        <f aca="false">IF(P12=32,N12*O12*Q12*6.313*1,IF(P12&gt;32,"",IF(P12&lt;32,"")))</f>
        <v/>
      </c>
      <c r="Z12" s="109"/>
      <c r="AA12" s="110" t="str">
        <f aca="false">IF(AC12&gt;0,N12,"")</f>
        <v/>
      </c>
      <c r="AB12" s="111" t="str">
        <f aca="false">IF(AC12&gt;0,O12,"")</f>
        <v/>
      </c>
      <c r="AC12" s="112"/>
      <c r="AD12" s="112"/>
      <c r="AE12" s="113" t="str">
        <f aca="false">IF(AC12&gt;0,P12,"")</f>
        <v/>
      </c>
      <c r="AF12" s="114" t="str">
        <f aca="false">IF(AE12=6,AA12*AB12*AC12*AD12*(AE12/1000)*0.222*1,IF(AE12&gt;6,"",IF(AE12&lt;6,"")))</f>
        <v/>
      </c>
      <c r="AG12" s="107" t="str">
        <f aca="false">IF(AE12=8,AA12*AB12*AC12*AD12*(AE12/1000)*0.395*1,IF(AE12&gt;8,"",IF(AE12&lt;8,"")))</f>
        <v/>
      </c>
      <c r="AH12" s="107" t="str">
        <f aca="false">IF(AE12=10,AA12*AB12*AC12*AD12*(AE12/1000)*0.617*1,IF(AE12&gt;10,"",IF(AE12&lt;10,"")))</f>
        <v/>
      </c>
      <c r="AI12" s="107" t="str">
        <f aca="false">IF(AE12=12,AA12*AB12*AC12*AD12*(AE12/1000)*0.888*1,IF(AE12&gt;12,"",IF(AE12&lt;12,"")))</f>
        <v/>
      </c>
      <c r="AJ12" s="107" t="str">
        <f aca="false">IF(AE12=16,AA12*AB12*AC12*AD12*(AE12/1000)*1.578*1,IF(AE12&gt;16,"",IF(AE12&lt;16,"")))</f>
        <v/>
      </c>
      <c r="AK12" s="107" t="str">
        <f aca="false">IF(AE12=20,AA12*AB12*AC12*AD12*(AE12/1000)*2.466*1,IF(AE12&gt;20,"",IF(AE12&lt;20,"")))</f>
        <v/>
      </c>
      <c r="AL12" s="107" t="str">
        <f aca="false">IF(AE12=25,AA12*AB12*AC12*AD12*(AE12/1000)*3.853*1,IF(AE12&gt;25,"",IF(AE12&lt;25,"")))</f>
        <v/>
      </c>
      <c r="AM12" s="115" t="str">
        <f aca="false">IF(AE12=32,AA12*AB12*AC12*AD12*(AE12/1000)*6.313*1,IF(AE12&gt;32,"",IF(AE12&lt;32,"")))</f>
        <v/>
      </c>
      <c r="AN12" s="128"/>
      <c r="AO12" s="117" t="s">
        <v>160</v>
      </c>
      <c r="AP12" s="118" t="n">
        <f aca="false">SUM(R12:Y12)+SUM(AN12)</f>
        <v>21.2589</v>
      </c>
      <c r="AQ12" s="118" t="n">
        <f aca="false">SUM(AF12:AM12)</f>
        <v>0</v>
      </c>
      <c r="AR12" s="118"/>
      <c r="AS12" s="119"/>
      <c r="AT12" s="119" t="s">
        <v>162</v>
      </c>
    </row>
    <row r="13" customFormat="false" ht="13.5" hidden="false" customHeight="false" outlineLevel="0" collapsed="false">
      <c r="A13" s="129"/>
      <c r="B13" s="130"/>
      <c r="C13" s="110"/>
      <c r="D13" s="122"/>
      <c r="E13" s="122"/>
      <c r="F13" s="122"/>
      <c r="G13" s="123"/>
      <c r="H13" s="101"/>
      <c r="I13" s="123"/>
      <c r="J13" s="101"/>
      <c r="K13" s="124"/>
      <c r="L13" s="125"/>
      <c r="M13" s="125"/>
      <c r="N13" s="126"/>
      <c r="O13" s="126"/>
      <c r="P13" s="126"/>
      <c r="Q13" s="127"/>
      <c r="R13" s="105"/>
      <c r="S13" s="106"/>
      <c r="T13" s="106"/>
      <c r="U13" s="106"/>
      <c r="V13" s="107"/>
      <c r="W13" s="106"/>
      <c r="X13" s="106"/>
      <c r="Y13" s="108"/>
      <c r="Z13" s="109"/>
      <c r="AA13" s="110"/>
      <c r="AB13" s="111"/>
      <c r="AC13" s="112"/>
      <c r="AD13" s="112"/>
      <c r="AE13" s="113"/>
      <c r="AF13" s="114"/>
      <c r="AG13" s="107"/>
      <c r="AH13" s="107"/>
      <c r="AI13" s="107"/>
      <c r="AJ13" s="107"/>
      <c r="AK13" s="107"/>
      <c r="AL13" s="107"/>
      <c r="AM13" s="115"/>
      <c r="AO13" s="117"/>
      <c r="AP13" s="118"/>
      <c r="AQ13" s="118"/>
      <c r="AR13" s="118"/>
      <c r="AS13" s="119"/>
      <c r="AT13" s="119"/>
    </row>
    <row r="14" customFormat="false" ht="13.5" hidden="false" customHeight="false" outlineLevel="0" collapsed="false">
      <c r="A14" s="120"/>
      <c r="B14" s="121" t="s">
        <v>487</v>
      </c>
      <c r="C14" s="110" t="n">
        <v>1</v>
      </c>
      <c r="D14" s="122" t="n">
        <v>0.25</v>
      </c>
      <c r="E14" s="122" t="n">
        <v>0.5</v>
      </c>
      <c r="F14" s="122" t="n">
        <f aca="false">0.385/(0.25*0.5)</f>
        <v>3.08</v>
      </c>
      <c r="G14" s="123" t="n">
        <f aca="false">C14*D14*E14*F14</f>
        <v>0.385</v>
      </c>
      <c r="H14" s="101"/>
      <c r="I14" s="123" t="n">
        <f aca="false">C14*F14*(D14+(E14-0.2)+(E14-0.2))</f>
        <v>2.618</v>
      </c>
      <c r="J14" s="101"/>
      <c r="K14" s="124"/>
      <c r="L14" s="125"/>
      <c r="M14" s="125"/>
      <c r="N14" s="126"/>
      <c r="O14" s="126"/>
      <c r="P14" s="126"/>
      <c r="Q14" s="127"/>
      <c r="R14" s="105" t="str">
        <f aca="false">IF(P14=6,N14*O14*Q14*0.222*1,IF(P14&gt;6,"",IF(P14&lt;6,"")))</f>
        <v/>
      </c>
      <c r="S14" s="106" t="str">
        <f aca="false">IF(P14=8,N14*O14*Q14*0.395*1,IF(P14&gt;8,"",IF(P14&lt;8,"")))</f>
        <v/>
      </c>
      <c r="T14" s="106" t="str">
        <f aca="false">IF(P14=10,N14*O14*Q14*0.617*1,IF(P14&gt;10,"",IF(P14&lt;10,"")))</f>
        <v/>
      </c>
      <c r="U14" s="106" t="str">
        <f aca="false">IF(P14=12,N14*O14*Q14*0.888*1,IF(P14&gt;12,"",IF(P14&lt;12,"")))</f>
        <v/>
      </c>
      <c r="V14" s="107" t="str">
        <f aca="false">IF(P14=16,N14*O14*Q14*1.578*1,IF(P14&gt;16,"",IF(P14&lt;16,"")))</f>
        <v/>
      </c>
      <c r="W14" s="106" t="str">
        <f aca="false">IF(P14=20,N14*O14*Q14*2.466*1,IF(P14&gt;20,"",IF(P14&lt;20,"")))</f>
        <v/>
      </c>
      <c r="X14" s="106" t="str">
        <f aca="false">IF(P14=25,N14*O14*Q14*3.853*1,IF(P14&gt;25,"",IF(P14&lt;25,"")))</f>
        <v/>
      </c>
      <c r="Y14" s="108" t="str">
        <f aca="false">IF(P14=32,N14*O14*Q14*6.313*1,IF(P14&gt;32,"",IF(P14&lt;32,"")))</f>
        <v/>
      </c>
      <c r="Z14" s="109"/>
      <c r="AA14" s="110" t="str">
        <f aca="false">IF(AC14&gt;0,N14,"")</f>
        <v/>
      </c>
      <c r="AB14" s="111" t="str">
        <f aca="false">IF(AC14&gt;0,O14,"")</f>
        <v/>
      </c>
      <c r="AC14" s="112"/>
      <c r="AD14" s="112"/>
      <c r="AE14" s="113" t="str">
        <f aca="false">IF(AC14&gt;0,P14,"")</f>
        <v/>
      </c>
      <c r="AF14" s="114" t="str">
        <f aca="false">IF(AE14=6,AA14*AB14*AC14*AD14*(AE14/1000)*0.222*1,IF(AE14&gt;6,"",IF(AE14&lt;6,"")))</f>
        <v/>
      </c>
      <c r="AG14" s="107" t="str">
        <f aca="false">IF(AE14=8,AA14*AB14*AC14*AD14*(AE14/1000)*0.395*1,IF(AE14&gt;8,"",IF(AE14&lt;8,"")))</f>
        <v/>
      </c>
      <c r="AH14" s="107" t="str">
        <f aca="false">IF(AE14=10,AA14*AB14*AC14*AD14*(AE14/1000)*0.617*1,IF(AE14&gt;10,"",IF(AE14&lt;10,"")))</f>
        <v/>
      </c>
      <c r="AI14" s="107" t="str">
        <f aca="false">IF(AE14=12,AA14*AB14*AC14*AD14*(AE14/1000)*0.888*1,IF(AE14&gt;12,"",IF(AE14&lt;12,"")))</f>
        <v/>
      </c>
      <c r="AJ14" s="107" t="str">
        <f aca="false">IF(AE14=16,AA14*AB14*AC14*AD14*(AE14/1000)*1.578*1,IF(AE14&gt;16,"",IF(AE14&lt;16,"")))</f>
        <v/>
      </c>
      <c r="AK14" s="107" t="str">
        <f aca="false">IF(AE14=20,AA14*AB14*AC14*AD14*(AE14/1000)*2.466*1,IF(AE14&gt;20,"",IF(AE14&lt;20,"")))</f>
        <v/>
      </c>
      <c r="AL14" s="107" t="str">
        <f aca="false">IF(AE14=25,AA14*AB14*AC14*AD14*(AE14/1000)*3.853*1,IF(AE14&gt;25,"",IF(AE14&lt;25,"")))</f>
        <v/>
      </c>
      <c r="AM14" s="115" t="str">
        <f aca="false">IF(AE14=32,AA14*AB14*AC14*AD14*(AE14/1000)*6.313*1,IF(AE14&gt;32,"",IF(AE14&lt;32,"")))</f>
        <v/>
      </c>
      <c r="AN14" s="128"/>
      <c r="AO14" s="117" t="s">
        <v>160</v>
      </c>
      <c r="AP14" s="118" t="n">
        <f aca="false">SUM(R14:Y14)+SUM(AN14)</f>
        <v>0</v>
      </c>
      <c r="AQ14" s="118" t="n">
        <f aca="false">SUM(AF14:AM14)</f>
        <v>0</v>
      </c>
      <c r="AR14" s="118" t="n">
        <v>0.385</v>
      </c>
      <c r="AS14" s="119" t="s">
        <v>488</v>
      </c>
      <c r="AT14" s="119" t="s">
        <v>209</v>
      </c>
    </row>
    <row r="15" customFormat="false" ht="13.5" hidden="false" customHeight="false" outlineLevel="0" collapsed="false">
      <c r="A15" s="129"/>
      <c r="B15" s="172"/>
      <c r="C15" s="110"/>
      <c r="D15" s="122"/>
      <c r="E15" s="122"/>
      <c r="F15" s="173"/>
      <c r="G15" s="123"/>
      <c r="H15" s="101"/>
      <c r="I15" s="123"/>
      <c r="J15" s="101"/>
      <c r="K15" s="124" t="s">
        <v>481</v>
      </c>
      <c r="L15" s="125"/>
      <c r="M15" s="125"/>
      <c r="N15" s="126" t="n">
        <f aca="false">$C$14</f>
        <v>1</v>
      </c>
      <c r="O15" s="126" t="n">
        <v>3</v>
      </c>
      <c r="P15" s="126" t="n">
        <v>20</v>
      </c>
      <c r="Q15" s="127" t="n">
        <f aca="false">3.33+2*50*20/1000</f>
        <v>5.33</v>
      </c>
      <c r="R15" s="105" t="str">
        <f aca="false">IF(P15=6,N15*O15*Q15*0.222*1,IF(P15&gt;6,"",IF(P15&lt;6,"")))</f>
        <v/>
      </c>
      <c r="S15" s="106" t="str">
        <f aca="false">IF(P15=8,N15*O15*Q15*0.395*1,IF(P15&gt;8,"",IF(P15&lt;8,"")))</f>
        <v/>
      </c>
      <c r="T15" s="106" t="str">
        <f aca="false">IF(P15=10,N15*O15*Q15*0.617*1,IF(P15&gt;10,"",IF(P15&lt;10,"")))</f>
        <v/>
      </c>
      <c r="U15" s="106" t="str">
        <f aca="false">IF(P15=12,N15*O15*Q15*0.888*1,IF(P15&gt;12,"",IF(P15&lt;12,"")))</f>
        <v/>
      </c>
      <c r="V15" s="107" t="str">
        <f aca="false">IF(P15=16,N15*O15*Q15*1.578*1,IF(P15&gt;16,"",IF(P15&lt;16,"")))</f>
        <v/>
      </c>
      <c r="W15" s="106" t="n">
        <f aca="false">IF(P15=20,N15*O15*Q15*2.466*1,IF(P15&gt;20,"",IF(P15&lt;20,"")))</f>
        <v>39.43134</v>
      </c>
      <c r="X15" s="106" t="str">
        <f aca="false">IF(P15=25,N15*O15*Q15*3.853*1,IF(P15&gt;25,"",IF(P15&lt;25,"")))</f>
        <v/>
      </c>
      <c r="Y15" s="108" t="str">
        <f aca="false">IF(P15=32,N15*O15*Q15*6.313*1,IF(P15&gt;32,"",IF(P15&lt;32,"")))</f>
        <v/>
      </c>
      <c r="Z15" s="109"/>
      <c r="AA15" s="110" t="str">
        <f aca="false">IF(AC15&gt;0,N15,"")</f>
        <v/>
      </c>
      <c r="AB15" s="111" t="str">
        <f aca="false">IF(AC15&gt;0,O15,"")</f>
        <v/>
      </c>
      <c r="AC15" s="112"/>
      <c r="AD15" s="112"/>
      <c r="AE15" s="113" t="str">
        <f aca="false">IF(AC15&gt;0,P15,"")</f>
        <v/>
      </c>
      <c r="AF15" s="114" t="str">
        <f aca="false">IF(AE15=6,AA15*AB15*AC15*AD15*(AE15/1000)*0.222*1,IF(AE15&gt;6,"",IF(AE15&lt;6,"")))</f>
        <v/>
      </c>
      <c r="AG15" s="107" t="str">
        <f aca="false">IF(AE15=8,AA15*AB15*AC15*AD15*(AE15/1000)*0.395*1,IF(AE15&gt;8,"",IF(AE15&lt;8,"")))</f>
        <v/>
      </c>
      <c r="AH15" s="107" t="str">
        <f aca="false">IF(AE15=10,AA15*AB15*AC15*AD15*(AE15/1000)*0.617*1,IF(AE15&gt;10,"",IF(AE15&lt;10,"")))</f>
        <v/>
      </c>
      <c r="AI15" s="107" t="str">
        <f aca="false">IF(AE15=12,AA15*AB15*AC15*AD15*(AE15/1000)*0.888*1,IF(AE15&gt;12,"",IF(AE15&lt;12,"")))</f>
        <v/>
      </c>
      <c r="AJ15" s="107" t="str">
        <f aca="false">IF(AE15=16,AA15*AB15*AC15*AD15*(AE15/1000)*1.578*1,IF(AE15&gt;16,"",IF(AE15&lt;16,"")))</f>
        <v/>
      </c>
      <c r="AK15" s="107" t="str">
        <f aca="false">IF(AE15=20,AA15*AB15*AC15*AD15*(AE15/1000)*2.466*1,IF(AE15&gt;20,"",IF(AE15&lt;20,"")))</f>
        <v/>
      </c>
      <c r="AL15" s="107" t="str">
        <f aca="false">IF(AE15=25,AA15*AB15*AC15*AD15*(AE15/1000)*3.853*1,IF(AE15&gt;25,"",IF(AE15&lt;25,"")))</f>
        <v/>
      </c>
      <c r="AM15" s="115" t="str">
        <f aca="false">IF(AE15=32,AA15*AB15*AC15*AD15*(AE15/1000)*6.313*1,IF(AE15&gt;32,"",IF(AE15&lt;32,"")))</f>
        <v/>
      </c>
      <c r="AN15" s="128"/>
      <c r="AO15" s="117" t="s">
        <v>160</v>
      </c>
      <c r="AP15" s="118" t="n">
        <f aca="false">SUM(R15:Y15)+SUM(AN15)</f>
        <v>39.43134</v>
      </c>
      <c r="AQ15" s="118" t="n">
        <f aca="false">SUM(AF15:AM15)</f>
        <v>0</v>
      </c>
      <c r="AR15" s="118"/>
      <c r="AS15" s="119" t="s">
        <v>482</v>
      </c>
      <c r="AT15" s="119" t="s">
        <v>162</v>
      </c>
    </row>
    <row r="16" customFormat="false" ht="13.5" hidden="false" customHeight="false" outlineLevel="0" collapsed="false">
      <c r="A16" s="129"/>
      <c r="B16" s="172"/>
      <c r="C16" s="110"/>
      <c r="D16" s="122"/>
      <c r="E16" s="122"/>
      <c r="F16" s="173"/>
      <c r="G16" s="123"/>
      <c r="H16" s="101"/>
      <c r="I16" s="123"/>
      <c r="J16" s="101"/>
      <c r="K16" s="124" t="s">
        <v>483</v>
      </c>
      <c r="L16" s="125"/>
      <c r="M16" s="125"/>
      <c r="N16" s="126" t="n">
        <f aca="false">$C$14</f>
        <v>1</v>
      </c>
      <c r="O16" s="126" t="n">
        <v>2</v>
      </c>
      <c r="P16" s="126" t="n">
        <v>20</v>
      </c>
      <c r="Q16" s="127" t="n">
        <f aca="false">3.33+2*50*20/1000</f>
        <v>5.33</v>
      </c>
      <c r="R16" s="105" t="str">
        <f aca="false">IF(P16=6,N16*O16*Q16*0.222*1,IF(P16&gt;6,"",IF(P16&lt;6,"")))</f>
        <v/>
      </c>
      <c r="S16" s="106" t="str">
        <f aca="false">IF(P16=8,N16*O16*Q16*0.395*1,IF(P16&gt;8,"",IF(P16&lt;8,"")))</f>
        <v/>
      </c>
      <c r="T16" s="106" t="str">
        <f aca="false">IF(P16=10,N16*O16*Q16*0.617*1,IF(P16&gt;10,"",IF(P16&lt;10,"")))</f>
        <v/>
      </c>
      <c r="U16" s="106" t="str">
        <f aca="false">IF(P16=12,N16*O16*Q16*0.888*1,IF(P16&gt;12,"",IF(P16&lt;12,"")))</f>
        <v/>
      </c>
      <c r="V16" s="107" t="str">
        <f aca="false">IF(P16=16,N16*O16*Q16*1.578*1,IF(P16&gt;16,"",IF(P16&lt;16,"")))</f>
        <v/>
      </c>
      <c r="W16" s="106" t="n">
        <f aca="false">IF(P16=20,N16*O16*Q16*2.466*1,IF(P16&gt;20,"",IF(P16&lt;20,"")))</f>
        <v>26.28756</v>
      </c>
      <c r="X16" s="106" t="str">
        <f aca="false">IF(P16=25,N16*O16*Q16*3.853*1,IF(P16&gt;25,"",IF(P16&lt;25,"")))</f>
        <v/>
      </c>
      <c r="Y16" s="108" t="str">
        <f aca="false">IF(P16=32,N16*O16*Q16*6.313*1,IF(P16&gt;32,"",IF(P16&lt;32,"")))</f>
        <v/>
      </c>
      <c r="Z16" s="109"/>
      <c r="AA16" s="110" t="str">
        <f aca="false">IF(AC16&gt;0,N16,"")</f>
        <v/>
      </c>
      <c r="AB16" s="111" t="str">
        <f aca="false">IF(AC16&gt;0,O16,"")</f>
        <v/>
      </c>
      <c r="AC16" s="112"/>
      <c r="AD16" s="112"/>
      <c r="AE16" s="113" t="str">
        <f aca="false">IF(AC16&gt;0,P16,"")</f>
        <v/>
      </c>
      <c r="AF16" s="114" t="str">
        <f aca="false">IF(AE16=6,AA16*AB16*AC16*AD16*(AE16/1000)*0.222*1,IF(AE16&gt;6,"",IF(AE16&lt;6,"")))</f>
        <v/>
      </c>
      <c r="AG16" s="107" t="str">
        <f aca="false">IF(AE16=8,AA16*AB16*AC16*AD16*(AE16/1000)*0.395*1,IF(AE16&gt;8,"",IF(AE16&lt;8,"")))</f>
        <v/>
      </c>
      <c r="AH16" s="107" t="str">
        <f aca="false">IF(AE16=10,AA16*AB16*AC16*AD16*(AE16/1000)*0.617*1,IF(AE16&gt;10,"",IF(AE16&lt;10,"")))</f>
        <v/>
      </c>
      <c r="AI16" s="107" t="str">
        <f aca="false">IF(AE16=12,AA16*AB16*AC16*AD16*(AE16/1000)*0.888*1,IF(AE16&gt;12,"",IF(AE16&lt;12,"")))</f>
        <v/>
      </c>
      <c r="AJ16" s="107" t="str">
        <f aca="false">IF(AE16=16,AA16*AB16*AC16*AD16*(AE16/1000)*1.578*1,IF(AE16&gt;16,"",IF(AE16&lt;16,"")))</f>
        <v/>
      </c>
      <c r="AK16" s="107" t="str">
        <f aca="false">IF(AE16=20,AA16*AB16*AC16*AD16*(AE16/1000)*2.466*1,IF(AE16&gt;20,"",IF(AE16&lt;20,"")))</f>
        <v/>
      </c>
      <c r="AL16" s="107" t="str">
        <f aca="false">IF(AE16=25,AA16*AB16*AC16*AD16*(AE16/1000)*3.853*1,IF(AE16&gt;25,"",IF(AE16&lt;25,"")))</f>
        <v/>
      </c>
      <c r="AM16" s="115" t="str">
        <f aca="false">IF(AE16=32,AA16*AB16*AC16*AD16*(AE16/1000)*6.313*1,IF(AE16&gt;32,"",IF(AE16&lt;32,"")))</f>
        <v/>
      </c>
      <c r="AN16" s="128"/>
      <c r="AO16" s="117" t="s">
        <v>160</v>
      </c>
      <c r="AP16" s="118" t="n">
        <f aca="false">SUM(R16:Y16)+SUM(AN16)</f>
        <v>26.28756</v>
      </c>
      <c r="AQ16" s="118" t="n">
        <f aca="false">SUM(AF16:AM16)</f>
        <v>0</v>
      </c>
      <c r="AR16" s="118"/>
      <c r="AS16" s="119" t="s">
        <v>482</v>
      </c>
      <c r="AT16" s="119" t="s">
        <v>162</v>
      </c>
    </row>
    <row r="17" customFormat="false" ht="13.5" hidden="false" customHeight="false" outlineLevel="0" collapsed="false">
      <c r="A17" s="129"/>
      <c r="B17" s="172"/>
      <c r="C17" s="110"/>
      <c r="D17" s="122"/>
      <c r="E17" s="122"/>
      <c r="F17" s="173"/>
      <c r="G17" s="123"/>
      <c r="H17" s="101"/>
      <c r="I17" s="123"/>
      <c r="J17" s="101"/>
      <c r="K17" s="124" t="s">
        <v>306</v>
      </c>
      <c r="L17" s="125"/>
      <c r="M17" s="125"/>
      <c r="N17" s="126" t="n">
        <f aca="false">$C$14</f>
        <v>1</v>
      </c>
      <c r="O17" s="126" t="n">
        <v>3</v>
      </c>
      <c r="P17" s="126" t="n">
        <v>16</v>
      </c>
      <c r="Q17" s="127" t="n">
        <f aca="false">3.33+2*50*16/1000</f>
        <v>4.93</v>
      </c>
      <c r="R17" s="105" t="str">
        <f aca="false">IF(P17=6,N17*O17*Q17*0.222*1,IF(P17&gt;6,"",IF(P17&lt;6,"")))</f>
        <v/>
      </c>
      <c r="S17" s="106" t="str">
        <f aca="false">IF(P17=8,N17*O17*Q17*0.395*1,IF(P17&gt;8,"",IF(P17&lt;8,"")))</f>
        <v/>
      </c>
      <c r="T17" s="106" t="str">
        <f aca="false">IF(P17=10,N17*O17*Q17*0.617*1,IF(P17&gt;10,"",IF(P17&lt;10,"")))</f>
        <v/>
      </c>
      <c r="U17" s="106" t="str">
        <f aca="false">IF(P17=12,N17*O17*Q17*0.888*1,IF(P17&gt;12,"",IF(P17&lt;12,"")))</f>
        <v/>
      </c>
      <c r="V17" s="107" t="n">
        <f aca="false">IF(P17=16,N17*O17*Q17*1.578*1,IF(P17&gt;16,"",IF(P17&lt;16,"")))</f>
        <v>23.33862</v>
      </c>
      <c r="W17" s="106" t="str">
        <f aca="false">IF(P17=20,N17*O17*Q17*2.466*1,IF(P17&gt;20,"",IF(P17&lt;20,"")))</f>
        <v/>
      </c>
      <c r="X17" s="106" t="str">
        <f aca="false">IF(P17=25,N17*O17*Q17*3.853*1,IF(P17&gt;25,"",IF(P17&lt;25,"")))</f>
        <v/>
      </c>
      <c r="Y17" s="108" t="str">
        <f aca="false">IF(P17=32,N17*O17*Q17*6.313*1,IF(P17&gt;32,"",IF(P17&lt;32,"")))</f>
        <v/>
      </c>
      <c r="Z17" s="109"/>
      <c r="AA17" s="110" t="str">
        <f aca="false">IF(AC17&gt;0,N17,"")</f>
        <v/>
      </c>
      <c r="AB17" s="111" t="str">
        <f aca="false">IF(AC17&gt;0,O17,"")</f>
        <v/>
      </c>
      <c r="AC17" s="112"/>
      <c r="AD17" s="112"/>
      <c r="AE17" s="113" t="str">
        <f aca="false">IF(AC17&gt;0,P17,"")</f>
        <v/>
      </c>
      <c r="AF17" s="114" t="str">
        <f aca="false">IF(AE17=6,AA17*AB17*AC17*AD17*(AE17/1000)*0.222*1,IF(AE17&gt;6,"",IF(AE17&lt;6,"")))</f>
        <v/>
      </c>
      <c r="AG17" s="107" t="str">
        <f aca="false">IF(AE17=8,AA17*AB17*AC17*AD17*(AE17/1000)*0.395*1,IF(AE17&gt;8,"",IF(AE17&lt;8,"")))</f>
        <v/>
      </c>
      <c r="AH17" s="107" t="str">
        <f aca="false">IF(AE17=10,AA17*AB17*AC17*AD17*(AE17/1000)*0.617*1,IF(AE17&gt;10,"",IF(AE17&lt;10,"")))</f>
        <v/>
      </c>
      <c r="AI17" s="107" t="str">
        <f aca="false">IF(AE17=12,AA17*AB17*AC17*AD17*(AE17/1000)*0.888*1,IF(AE17&gt;12,"",IF(AE17&lt;12,"")))</f>
        <v/>
      </c>
      <c r="AJ17" s="107" t="str">
        <f aca="false">IF(AE17=16,AA17*AB17*AC17*AD17*(AE17/1000)*1.578*1,IF(AE17&gt;16,"",IF(AE17&lt;16,"")))</f>
        <v/>
      </c>
      <c r="AK17" s="107" t="str">
        <f aca="false">IF(AE17=20,AA17*AB17*AC17*AD17*(AE17/1000)*2.466*1,IF(AE17&gt;20,"",IF(AE17&lt;20,"")))</f>
        <v/>
      </c>
      <c r="AL17" s="107" t="str">
        <f aca="false">IF(AE17=25,AA17*AB17*AC17*AD17*(AE17/1000)*3.853*1,IF(AE17&gt;25,"",IF(AE17&lt;25,"")))</f>
        <v/>
      </c>
      <c r="AM17" s="115" t="str">
        <f aca="false">IF(AE17=32,AA17*AB17*AC17*AD17*(AE17/1000)*6.313*1,IF(AE17&gt;32,"",IF(AE17&lt;32,"")))</f>
        <v/>
      </c>
      <c r="AN17" s="128"/>
      <c r="AO17" s="117" t="s">
        <v>160</v>
      </c>
      <c r="AP17" s="118" t="n">
        <f aca="false">SUM(R17:Y17)+SUM(AN17)</f>
        <v>23.33862</v>
      </c>
      <c r="AQ17" s="118" t="n">
        <f aca="false">SUM(AF17:AM17)</f>
        <v>0</v>
      </c>
      <c r="AR17" s="118"/>
      <c r="AS17" s="119" t="s">
        <v>482</v>
      </c>
      <c r="AT17" s="119" t="s">
        <v>162</v>
      </c>
    </row>
    <row r="18" customFormat="false" ht="13.5" hidden="false" customHeight="false" outlineLevel="0" collapsed="false">
      <c r="A18" s="129"/>
      <c r="B18" s="172"/>
      <c r="C18" s="110"/>
      <c r="D18" s="122"/>
      <c r="E18" s="122"/>
      <c r="F18" s="173"/>
      <c r="G18" s="123"/>
      <c r="H18" s="101"/>
      <c r="I18" s="123"/>
      <c r="J18" s="101"/>
      <c r="K18" s="124" t="s">
        <v>486</v>
      </c>
      <c r="L18" s="125" t="n">
        <f aca="false">$F$14</f>
        <v>3.08</v>
      </c>
      <c r="M18" s="125" t="n">
        <v>0.125</v>
      </c>
      <c r="N18" s="126" t="n">
        <f aca="false">$C$14</f>
        <v>1</v>
      </c>
      <c r="O18" s="126" t="n">
        <f aca="false">CEILING(L18/M18,1)+1</f>
        <v>26</v>
      </c>
      <c r="P18" s="126" t="n">
        <v>8</v>
      </c>
      <c r="Q18" s="127" t="n">
        <f aca="false">2*($D$14-2*0.035)+2*($E$14-2*0.035)+20*8/1000</f>
        <v>1.38</v>
      </c>
      <c r="R18" s="105" t="str">
        <f aca="false">IF(P18=6,N18*O18*Q18*0.222*1,IF(P18&gt;6,"",IF(P18&lt;6,"")))</f>
        <v/>
      </c>
      <c r="S18" s="106" t="n">
        <f aca="false">IF(P18=8,N18*O18*Q18*0.395*1,IF(P18&gt;8,"",IF(P18&lt;8,"")))</f>
        <v>14.1726</v>
      </c>
      <c r="T18" s="106" t="str">
        <f aca="false">IF(P18=10,N18*O18*Q18*0.617*1,IF(P18&gt;10,"",IF(P18&lt;10,"")))</f>
        <v/>
      </c>
      <c r="U18" s="106" t="str">
        <f aca="false">IF(P18=12,N18*O18*Q18*0.888*1,IF(P18&gt;12,"",IF(P18&lt;12,"")))</f>
        <v/>
      </c>
      <c r="V18" s="107" t="str">
        <f aca="false">IF(P18=16,N18*O18*Q18*1.578*1,IF(P18&gt;16,"",IF(P18&lt;16,"")))</f>
        <v/>
      </c>
      <c r="W18" s="106" t="str">
        <f aca="false">IF(P18=20,N18*O18*Q18*2.466*1,IF(P18&gt;20,"",IF(P18&lt;20,"")))</f>
        <v/>
      </c>
      <c r="X18" s="106" t="str">
        <f aca="false">IF(P18=25,N18*O18*Q18*3.853*1,IF(P18&gt;25,"",IF(P18&lt;25,"")))</f>
        <v/>
      </c>
      <c r="Y18" s="108" t="str">
        <f aca="false">IF(P18=32,N18*O18*Q18*6.313*1,IF(P18&gt;32,"",IF(P18&lt;32,"")))</f>
        <v/>
      </c>
      <c r="Z18" s="109"/>
      <c r="AA18" s="110" t="str">
        <f aca="false">IF(AC18&gt;0,N18,"")</f>
        <v/>
      </c>
      <c r="AB18" s="111" t="str">
        <f aca="false">IF(AC18&gt;0,O18,"")</f>
        <v/>
      </c>
      <c r="AC18" s="112"/>
      <c r="AD18" s="112"/>
      <c r="AE18" s="113" t="str">
        <f aca="false">IF(AC18&gt;0,P18,"")</f>
        <v/>
      </c>
      <c r="AF18" s="114" t="str">
        <f aca="false">IF(AE18=6,AA18*AB18*AC18*AD18*(AE18/1000)*0.222*1,IF(AE18&gt;6,"",IF(AE18&lt;6,"")))</f>
        <v/>
      </c>
      <c r="AG18" s="107" t="str">
        <f aca="false">IF(AE18=8,AA18*AB18*AC18*AD18*(AE18/1000)*0.395*1,IF(AE18&gt;8,"",IF(AE18&lt;8,"")))</f>
        <v/>
      </c>
      <c r="AH18" s="107" t="str">
        <f aca="false">IF(AE18=10,AA18*AB18*AC18*AD18*(AE18/1000)*0.617*1,IF(AE18&gt;10,"",IF(AE18&lt;10,"")))</f>
        <v/>
      </c>
      <c r="AI18" s="107" t="str">
        <f aca="false">IF(AE18=12,AA18*AB18*AC18*AD18*(AE18/1000)*0.888*1,IF(AE18&gt;12,"",IF(AE18&lt;12,"")))</f>
        <v/>
      </c>
      <c r="AJ18" s="107" t="str">
        <f aca="false">IF(AE18=16,AA18*AB18*AC18*AD18*(AE18/1000)*1.578*1,IF(AE18&gt;16,"",IF(AE18&lt;16,"")))</f>
        <v/>
      </c>
      <c r="AK18" s="107" t="str">
        <f aca="false">IF(AE18=20,AA18*AB18*AC18*AD18*(AE18/1000)*2.466*1,IF(AE18&gt;20,"",IF(AE18&lt;20,"")))</f>
        <v/>
      </c>
      <c r="AL18" s="107" t="str">
        <f aca="false">IF(AE18=25,AA18*AB18*AC18*AD18*(AE18/1000)*3.853*1,IF(AE18&gt;25,"",IF(AE18&lt;25,"")))</f>
        <v/>
      </c>
      <c r="AM18" s="115" t="str">
        <f aca="false">IF(AE18=32,AA18*AB18*AC18*AD18*(AE18/1000)*6.313*1,IF(AE18&gt;32,"",IF(AE18&lt;32,"")))</f>
        <v/>
      </c>
      <c r="AN18" s="128"/>
      <c r="AO18" s="117" t="s">
        <v>160</v>
      </c>
      <c r="AP18" s="118" t="n">
        <f aca="false">SUM(R18:Y18)+SUM(AN18)</f>
        <v>14.1726</v>
      </c>
      <c r="AQ18" s="118" t="n">
        <f aca="false">SUM(AF18:AM18)</f>
        <v>0</v>
      </c>
      <c r="AR18" s="118"/>
      <c r="AS18" s="119"/>
      <c r="AT18" s="119" t="s">
        <v>162</v>
      </c>
    </row>
    <row r="19" customFormat="false" ht="13.5" hidden="false" customHeight="false" outlineLevel="0" collapsed="false">
      <c r="A19" s="129"/>
      <c r="B19" s="130"/>
      <c r="C19" s="110"/>
      <c r="D19" s="122"/>
      <c r="E19" s="122"/>
      <c r="F19" s="122"/>
      <c r="G19" s="123"/>
      <c r="H19" s="101"/>
      <c r="I19" s="123"/>
      <c r="J19" s="101"/>
      <c r="K19" s="124"/>
      <c r="L19" s="125"/>
      <c r="M19" s="125"/>
      <c r="N19" s="126"/>
      <c r="O19" s="126"/>
      <c r="P19" s="126"/>
      <c r="Q19" s="127"/>
      <c r="R19" s="105"/>
      <c r="S19" s="106"/>
      <c r="T19" s="106"/>
      <c r="U19" s="106"/>
      <c r="V19" s="107"/>
      <c r="W19" s="106"/>
      <c r="X19" s="106"/>
      <c r="Y19" s="108"/>
      <c r="Z19" s="109"/>
      <c r="AA19" s="110"/>
      <c r="AB19" s="111"/>
      <c r="AC19" s="112"/>
      <c r="AD19" s="112"/>
      <c r="AE19" s="113"/>
      <c r="AF19" s="114"/>
      <c r="AG19" s="107"/>
      <c r="AH19" s="107"/>
      <c r="AI19" s="107"/>
      <c r="AJ19" s="107"/>
      <c r="AK19" s="107"/>
      <c r="AL19" s="107"/>
      <c r="AM19" s="115"/>
      <c r="AO19" s="117"/>
      <c r="AP19" s="118"/>
      <c r="AQ19" s="118"/>
      <c r="AR19" s="118"/>
      <c r="AS19" s="119"/>
      <c r="AT19" s="119"/>
    </row>
    <row r="20" customFormat="false" ht="13.5" hidden="false" customHeight="false" outlineLevel="0" collapsed="false">
      <c r="A20" s="120"/>
      <c r="B20" s="121" t="s">
        <v>489</v>
      </c>
      <c r="C20" s="110" t="n">
        <v>1</v>
      </c>
      <c r="D20" s="122" t="n">
        <v>0.25</v>
      </c>
      <c r="E20" s="122" t="n">
        <v>0.5</v>
      </c>
      <c r="F20" s="122" t="n">
        <f aca="false">0.3606/(0.25*0.5)</f>
        <v>2.8848</v>
      </c>
      <c r="G20" s="123" t="n">
        <f aca="false">C20*D20*E20*F20</f>
        <v>0.3606</v>
      </c>
      <c r="H20" s="101"/>
      <c r="I20" s="123" t="n">
        <f aca="false">C20*F20*(D20+(E20-0.2)+(E20-0.2))</f>
        <v>2.45208</v>
      </c>
      <c r="J20" s="101"/>
      <c r="K20" s="124"/>
      <c r="L20" s="125"/>
      <c r="M20" s="125"/>
      <c r="N20" s="126"/>
      <c r="O20" s="126"/>
      <c r="P20" s="126"/>
      <c r="Q20" s="127"/>
      <c r="R20" s="105" t="str">
        <f aca="false">IF(P20=6,N20*O20*Q20*0.222*1,IF(P20&gt;6,"",IF(P20&lt;6,"")))</f>
        <v/>
      </c>
      <c r="S20" s="106" t="str">
        <f aca="false">IF(P20=8,N20*O20*Q20*0.395*1,IF(P20&gt;8,"",IF(P20&lt;8,"")))</f>
        <v/>
      </c>
      <c r="T20" s="106" t="str">
        <f aca="false">IF(P20=10,N20*O20*Q20*0.617*1,IF(P20&gt;10,"",IF(P20&lt;10,"")))</f>
        <v/>
      </c>
      <c r="U20" s="106" t="str">
        <f aca="false">IF(P20=12,N20*O20*Q20*0.888*1,IF(P20&gt;12,"",IF(P20&lt;12,"")))</f>
        <v/>
      </c>
      <c r="V20" s="107" t="str">
        <f aca="false">IF(P20=16,N20*O20*Q20*1.578*1,IF(P20&gt;16,"",IF(P20&lt;16,"")))</f>
        <v/>
      </c>
      <c r="W20" s="106" t="str">
        <f aca="false">IF(P20=20,N20*O20*Q20*2.466*1,IF(P20&gt;20,"",IF(P20&lt;20,"")))</f>
        <v/>
      </c>
      <c r="X20" s="106" t="str">
        <f aca="false">IF(P20=25,N20*O20*Q20*3.853*1,IF(P20&gt;25,"",IF(P20&lt;25,"")))</f>
        <v/>
      </c>
      <c r="Y20" s="108" t="str">
        <f aca="false">IF(P20=32,N20*O20*Q20*6.313*1,IF(P20&gt;32,"",IF(P20&lt;32,"")))</f>
        <v/>
      </c>
      <c r="Z20" s="109"/>
      <c r="AA20" s="110" t="str">
        <f aca="false">IF(AC20&gt;0,N20,"")</f>
        <v/>
      </c>
      <c r="AB20" s="111" t="str">
        <f aca="false">IF(AC20&gt;0,O20,"")</f>
        <v/>
      </c>
      <c r="AC20" s="112"/>
      <c r="AD20" s="112"/>
      <c r="AE20" s="113" t="str">
        <f aca="false">IF(AC20&gt;0,P20,"")</f>
        <v/>
      </c>
      <c r="AF20" s="114" t="str">
        <f aca="false">IF(AE20=6,AA20*AB20*AC20*AD20*(AE20/1000)*0.222*1,IF(AE20&gt;6,"",IF(AE20&lt;6,"")))</f>
        <v/>
      </c>
      <c r="AG20" s="107" t="str">
        <f aca="false">IF(AE20=8,AA20*AB20*AC20*AD20*(AE20/1000)*0.395*1,IF(AE20&gt;8,"",IF(AE20&lt;8,"")))</f>
        <v/>
      </c>
      <c r="AH20" s="107" t="str">
        <f aca="false">IF(AE20=10,AA20*AB20*AC20*AD20*(AE20/1000)*0.617*1,IF(AE20&gt;10,"",IF(AE20&lt;10,"")))</f>
        <v/>
      </c>
      <c r="AI20" s="107" t="str">
        <f aca="false">IF(AE20=12,AA20*AB20*AC20*AD20*(AE20/1000)*0.888*1,IF(AE20&gt;12,"",IF(AE20&lt;12,"")))</f>
        <v/>
      </c>
      <c r="AJ20" s="107" t="str">
        <f aca="false">IF(AE20=16,AA20*AB20*AC20*AD20*(AE20/1000)*1.578*1,IF(AE20&gt;16,"",IF(AE20&lt;16,"")))</f>
        <v/>
      </c>
      <c r="AK20" s="107" t="str">
        <f aca="false">IF(AE20=20,AA20*AB20*AC20*AD20*(AE20/1000)*2.466*1,IF(AE20&gt;20,"",IF(AE20&lt;20,"")))</f>
        <v/>
      </c>
      <c r="AL20" s="107" t="str">
        <f aca="false">IF(AE20=25,AA20*AB20*AC20*AD20*(AE20/1000)*3.853*1,IF(AE20&gt;25,"",IF(AE20&lt;25,"")))</f>
        <v/>
      </c>
      <c r="AM20" s="115" t="str">
        <f aca="false">IF(AE20=32,AA20*AB20*AC20*AD20*(AE20/1000)*6.313*1,IF(AE20&gt;32,"",IF(AE20&lt;32,"")))</f>
        <v/>
      </c>
      <c r="AN20" s="128"/>
      <c r="AO20" s="117" t="s">
        <v>160</v>
      </c>
      <c r="AP20" s="118" t="n">
        <f aca="false">SUM(R20:Y20)+SUM(AN20)</f>
        <v>0</v>
      </c>
      <c r="AQ20" s="118" t="n">
        <f aca="false">SUM(AF20:AM20)</f>
        <v>0</v>
      </c>
      <c r="AR20" s="118" t="n">
        <v>0.3606</v>
      </c>
      <c r="AS20" s="119" t="s">
        <v>490</v>
      </c>
      <c r="AT20" s="119" t="s">
        <v>209</v>
      </c>
    </row>
    <row r="21" customFormat="false" ht="13.5" hidden="false" customHeight="false" outlineLevel="0" collapsed="false">
      <c r="A21" s="129"/>
      <c r="B21" s="172"/>
      <c r="C21" s="110"/>
      <c r="D21" s="122"/>
      <c r="E21" s="122"/>
      <c r="F21" s="173"/>
      <c r="G21" s="123"/>
      <c r="H21" s="101"/>
      <c r="I21" s="123"/>
      <c r="J21" s="101"/>
      <c r="K21" s="124" t="s">
        <v>491</v>
      </c>
      <c r="L21" s="125"/>
      <c r="M21" s="125"/>
      <c r="N21" s="126" t="n">
        <f aca="false">$C$20</f>
        <v>1</v>
      </c>
      <c r="O21" s="126" t="n">
        <v>2</v>
      </c>
      <c r="P21" s="126" t="n">
        <v>16</v>
      </c>
      <c r="Q21" s="127" t="n">
        <f aca="false">3.135+2*50*16/1000</f>
        <v>4.735</v>
      </c>
      <c r="R21" s="105" t="str">
        <f aca="false">IF(P21=6,N21*O21*Q21*0.222*1,IF(P21&gt;6,"",IF(P21&lt;6,"")))</f>
        <v/>
      </c>
      <c r="S21" s="106" t="str">
        <f aca="false">IF(P21=8,N21*O21*Q21*0.395*1,IF(P21&gt;8,"",IF(P21&lt;8,"")))</f>
        <v/>
      </c>
      <c r="T21" s="106" t="str">
        <f aca="false">IF(P21=10,N21*O21*Q21*0.617*1,IF(P21&gt;10,"",IF(P21&lt;10,"")))</f>
        <v/>
      </c>
      <c r="U21" s="106" t="str">
        <f aca="false">IF(P21=12,N21*O21*Q21*0.888*1,IF(P21&gt;12,"",IF(P21&lt;12,"")))</f>
        <v/>
      </c>
      <c r="V21" s="107" t="n">
        <f aca="false">IF(P21=16,N21*O21*Q21*1.578*1,IF(P21&gt;16,"",IF(P21&lt;16,"")))</f>
        <v>14.94366</v>
      </c>
      <c r="W21" s="106" t="str">
        <f aca="false">IF(P21=20,N21*O21*Q21*2.466*1,IF(P21&gt;20,"",IF(P21&lt;20,"")))</f>
        <v/>
      </c>
      <c r="X21" s="106" t="str">
        <f aca="false">IF(P21=25,N21*O21*Q21*3.853*1,IF(P21&gt;25,"",IF(P21&lt;25,"")))</f>
        <v/>
      </c>
      <c r="Y21" s="108" t="str">
        <f aca="false">IF(P21=32,N21*O21*Q21*6.313*1,IF(P21&gt;32,"",IF(P21&lt;32,"")))</f>
        <v/>
      </c>
      <c r="Z21" s="109"/>
      <c r="AA21" s="110" t="str">
        <f aca="false">IF(AC21&gt;0,N21,"")</f>
        <v/>
      </c>
      <c r="AB21" s="111" t="str">
        <f aca="false">IF(AC21&gt;0,O21,"")</f>
        <v/>
      </c>
      <c r="AC21" s="112"/>
      <c r="AD21" s="112"/>
      <c r="AE21" s="113" t="str">
        <f aca="false">IF(AC21&gt;0,P21,"")</f>
        <v/>
      </c>
      <c r="AF21" s="114" t="str">
        <f aca="false">IF(AE21=6,AA21*AB21*AC21*AD21*(AE21/1000)*0.222*1,IF(AE21&gt;6,"",IF(AE21&lt;6,"")))</f>
        <v/>
      </c>
      <c r="AG21" s="107" t="str">
        <f aca="false">IF(AE21=8,AA21*AB21*AC21*AD21*(AE21/1000)*0.395*1,IF(AE21&gt;8,"",IF(AE21&lt;8,"")))</f>
        <v/>
      </c>
      <c r="AH21" s="107" t="str">
        <f aca="false">IF(AE21=10,AA21*AB21*AC21*AD21*(AE21/1000)*0.617*1,IF(AE21&gt;10,"",IF(AE21&lt;10,"")))</f>
        <v/>
      </c>
      <c r="AI21" s="107" t="str">
        <f aca="false">IF(AE21=12,AA21*AB21*AC21*AD21*(AE21/1000)*0.888*1,IF(AE21&gt;12,"",IF(AE21&lt;12,"")))</f>
        <v/>
      </c>
      <c r="AJ21" s="107" t="str">
        <f aca="false">IF(AE21=16,AA21*AB21*AC21*AD21*(AE21/1000)*1.578*1,IF(AE21&gt;16,"",IF(AE21&lt;16,"")))</f>
        <v/>
      </c>
      <c r="AK21" s="107" t="str">
        <f aca="false">IF(AE21=20,AA21*AB21*AC21*AD21*(AE21/1000)*2.466*1,IF(AE21&gt;20,"",IF(AE21&lt;20,"")))</f>
        <v/>
      </c>
      <c r="AL21" s="107" t="str">
        <f aca="false">IF(AE21=25,AA21*AB21*AC21*AD21*(AE21/1000)*3.853*1,IF(AE21&gt;25,"",IF(AE21&lt;25,"")))</f>
        <v/>
      </c>
      <c r="AM21" s="115" t="str">
        <f aca="false">IF(AE21=32,AA21*AB21*AC21*AD21*(AE21/1000)*6.313*1,IF(AE21&gt;32,"",IF(AE21&lt;32,"")))</f>
        <v/>
      </c>
      <c r="AN21" s="128"/>
      <c r="AO21" s="117" t="s">
        <v>160</v>
      </c>
      <c r="AP21" s="118" t="n">
        <f aca="false">SUM(R21:Y21)+SUM(AN21)</f>
        <v>14.94366</v>
      </c>
      <c r="AQ21" s="118" t="n">
        <f aca="false">SUM(AF21:AM21)</f>
        <v>0</v>
      </c>
      <c r="AR21" s="118"/>
      <c r="AS21" s="119" t="s">
        <v>482</v>
      </c>
      <c r="AT21" s="119" t="s">
        <v>162</v>
      </c>
    </row>
    <row r="22" customFormat="false" ht="13.5" hidden="false" customHeight="false" outlineLevel="0" collapsed="false">
      <c r="A22" s="129"/>
      <c r="B22" s="172"/>
      <c r="C22" s="110"/>
      <c r="D22" s="122"/>
      <c r="E22" s="122"/>
      <c r="F22" s="173"/>
      <c r="G22" s="123"/>
      <c r="H22" s="101"/>
      <c r="I22" s="123"/>
      <c r="J22" s="101"/>
      <c r="K22" s="124" t="s">
        <v>492</v>
      </c>
      <c r="L22" s="125"/>
      <c r="M22" s="125"/>
      <c r="N22" s="126" t="n">
        <f aca="false">$C$20</f>
        <v>1</v>
      </c>
      <c r="O22" s="126" t="n">
        <v>1</v>
      </c>
      <c r="P22" s="126" t="n">
        <v>12</v>
      </c>
      <c r="Q22" s="127" t="n">
        <f aca="false">3.135+2*50*12/1000</f>
        <v>4.335</v>
      </c>
      <c r="R22" s="105" t="str">
        <f aca="false">IF(P22=6,N22*O22*Q22*0.222*1,IF(P22&gt;6,"",IF(P22&lt;6,"")))</f>
        <v/>
      </c>
      <c r="S22" s="106" t="str">
        <f aca="false">IF(P22=8,N22*O22*Q22*0.395*1,IF(P22&gt;8,"",IF(P22&lt;8,"")))</f>
        <v/>
      </c>
      <c r="T22" s="106" t="str">
        <f aca="false">IF(P22=10,N22*O22*Q22*0.617*1,IF(P22&gt;10,"",IF(P22&lt;10,"")))</f>
        <v/>
      </c>
      <c r="U22" s="106" t="n">
        <f aca="false">IF(P22=12,N22*O22*Q22*0.888*1,IF(P22&gt;12,"",IF(P22&lt;12,"")))</f>
        <v>3.84948</v>
      </c>
      <c r="V22" s="107" t="str">
        <f aca="false">IF(P22=16,N22*O22*Q22*1.578*1,IF(P22&gt;16,"",IF(P22&lt;16,"")))</f>
        <v/>
      </c>
      <c r="W22" s="106" t="str">
        <f aca="false">IF(P22=20,N22*O22*Q22*2.466*1,IF(P22&gt;20,"",IF(P22&lt;20,"")))</f>
        <v/>
      </c>
      <c r="X22" s="106" t="str">
        <f aca="false">IF(P22=25,N22*O22*Q22*3.853*1,IF(P22&gt;25,"",IF(P22&lt;25,"")))</f>
        <v/>
      </c>
      <c r="Y22" s="108" t="str">
        <f aca="false">IF(P22=32,N22*O22*Q22*6.313*1,IF(P22&gt;32,"",IF(P22&lt;32,"")))</f>
        <v/>
      </c>
      <c r="Z22" s="109"/>
      <c r="AA22" s="110" t="str">
        <f aca="false">IF(AC22&gt;0,N22,"")</f>
        <v/>
      </c>
      <c r="AB22" s="111" t="str">
        <f aca="false">IF(AC22&gt;0,O22,"")</f>
        <v/>
      </c>
      <c r="AC22" s="112"/>
      <c r="AD22" s="112"/>
      <c r="AE22" s="113" t="str">
        <f aca="false">IF(AC22&gt;0,P22,"")</f>
        <v/>
      </c>
      <c r="AF22" s="114" t="str">
        <f aca="false">IF(AE22=6,AA22*AB22*AC22*AD22*(AE22/1000)*0.222*1,IF(AE22&gt;6,"",IF(AE22&lt;6,"")))</f>
        <v/>
      </c>
      <c r="AG22" s="107" t="str">
        <f aca="false">IF(AE22=8,AA22*AB22*AC22*AD22*(AE22/1000)*0.395*1,IF(AE22&gt;8,"",IF(AE22&lt;8,"")))</f>
        <v/>
      </c>
      <c r="AH22" s="107" t="str">
        <f aca="false">IF(AE22=10,AA22*AB22*AC22*AD22*(AE22/1000)*0.617*1,IF(AE22&gt;10,"",IF(AE22&lt;10,"")))</f>
        <v/>
      </c>
      <c r="AI22" s="107" t="str">
        <f aca="false">IF(AE22=12,AA22*AB22*AC22*AD22*(AE22/1000)*0.888*1,IF(AE22&gt;12,"",IF(AE22&lt;12,"")))</f>
        <v/>
      </c>
      <c r="AJ22" s="107" t="str">
        <f aca="false">IF(AE22=16,AA22*AB22*AC22*AD22*(AE22/1000)*1.578*1,IF(AE22&gt;16,"",IF(AE22&lt;16,"")))</f>
        <v/>
      </c>
      <c r="AK22" s="107" t="str">
        <f aca="false">IF(AE22=20,AA22*AB22*AC22*AD22*(AE22/1000)*2.466*1,IF(AE22&gt;20,"",IF(AE22&lt;20,"")))</f>
        <v/>
      </c>
      <c r="AL22" s="107" t="str">
        <f aca="false">IF(AE22=25,AA22*AB22*AC22*AD22*(AE22/1000)*3.853*1,IF(AE22&gt;25,"",IF(AE22&lt;25,"")))</f>
        <v/>
      </c>
      <c r="AM22" s="115" t="str">
        <f aca="false">IF(AE22=32,AA22*AB22*AC22*AD22*(AE22/1000)*6.313*1,IF(AE22&gt;32,"",IF(AE22&lt;32,"")))</f>
        <v/>
      </c>
      <c r="AN22" s="128"/>
      <c r="AO22" s="117" t="s">
        <v>160</v>
      </c>
      <c r="AP22" s="118" t="n">
        <f aca="false">SUM(R22:Y22)+SUM(AN22)</f>
        <v>3.84948</v>
      </c>
      <c r="AQ22" s="118" t="n">
        <f aca="false">SUM(AF22:AM22)</f>
        <v>0</v>
      </c>
      <c r="AR22" s="118"/>
      <c r="AS22" s="119" t="s">
        <v>482</v>
      </c>
      <c r="AT22" s="119" t="s">
        <v>162</v>
      </c>
    </row>
    <row r="23" customFormat="false" ht="13.5" hidden="false" customHeight="false" outlineLevel="0" collapsed="false">
      <c r="A23" s="129"/>
      <c r="B23" s="172"/>
      <c r="C23" s="110"/>
      <c r="D23" s="122"/>
      <c r="E23" s="122"/>
      <c r="F23" s="173"/>
      <c r="G23" s="123"/>
      <c r="H23" s="101"/>
      <c r="I23" s="123"/>
      <c r="J23" s="101"/>
      <c r="K23" s="124" t="s">
        <v>493</v>
      </c>
      <c r="L23" s="125"/>
      <c r="M23" s="125"/>
      <c r="N23" s="126" t="n">
        <f aca="false">$C$20</f>
        <v>1</v>
      </c>
      <c r="O23" s="126" t="n">
        <v>2</v>
      </c>
      <c r="P23" s="126" t="n">
        <v>16</v>
      </c>
      <c r="Q23" s="127" t="n">
        <f aca="false">3.135+2*50*16/1000</f>
        <v>4.735</v>
      </c>
      <c r="R23" s="105" t="str">
        <f aca="false">IF(P23=6,N23*O23*Q23*0.222*1,IF(P23&gt;6,"",IF(P23&lt;6,"")))</f>
        <v/>
      </c>
      <c r="S23" s="106" t="str">
        <f aca="false">IF(P23=8,N23*O23*Q23*0.395*1,IF(P23&gt;8,"",IF(P23&lt;8,"")))</f>
        <v/>
      </c>
      <c r="T23" s="106" t="str">
        <f aca="false">IF(P23=10,N23*O23*Q23*0.617*1,IF(P23&gt;10,"",IF(P23&lt;10,"")))</f>
        <v/>
      </c>
      <c r="U23" s="106" t="str">
        <f aca="false">IF(P23=12,N23*O23*Q23*0.888*1,IF(P23&gt;12,"",IF(P23&lt;12,"")))</f>
        <v/>
      </c>
      <c r="V23" s="107" t="n">
        <f aca="false">IF(P23=16,N23*O23*Q23*1.578*1,IF(P23&gt;16,"",IF(P23&lt;16,"")))</f>
        <v>14.94366</v>
      </c>
      <c r="W23" s="106" t="str">
        <f aca="false">IF(P23=20,N23*O23*Q23*2.466*1,IF(P23&gt;20,"",IF(P23&lt;20,"")))</f>
        <v/>
      </c>
      <c r="X23" s="106" t="str">
        <f aca="false">IF(P23=25,N23*O23*Q23*3.853*1,IF(P23&gt;25,"",IF(P23&lt;25,"")))</f>
        <v/>
      </c>
      <c r="Y23" s="108" t="str">
        <f aca="false">IF(P23=32,N23*O23*Q23*6.313*1,IF(P23&gt;32,"",IF(P23&lt;32,"")))</f>
        <v/>
      </c>
      <c r="Z23" s="109"/>
      <c r="AA23" s="110" t="str">
        <f aca="false">IF(AC23&gt;0,N23,"")</f>
        <v/>
      </c>
      <c r="AB23" s="111" t="str">
        <f aca="false">IF(AC23&gt;0,O23,"")</f>
        <v/>
      </c>
      <c r="AC23" s="112"/>
      <c r="AD23" s="112"/>
      <c r="AE23" s="113" t="str">
        <f aca="false">IF(AC23&gt;0,P23,"")</f>
        <v/>
      </c>
      <c r="AF23" s="114" t="str">
        <f aca="false">IF(AE23=6,AA23*AB23*AC23*AD23*(AE23/1000)*0.222*1,IF(AE23&gt;6,"",IF(AE23&lt;6,"")))</f>
        <v/>
      </c>
      <c r="AG23" s="107" t="str">
        <f aca="false">IF(AE23=8,AA23*AB23*AC23*AD23*(AE23/1000)*0.395*1,IF(AE23&gt;8,"",IF(AE23&lt;8,"")))</f>
        <v/>
      </c>
      <c r="AH23" s="107" t="str">
        <f aca="false">IF(AE23=10,AA23*AB23*AC23*AD23*(AE23/1000)*0.617*1,IF(AE23&gt;10,"",IF(AE23&lt;10,"")))</f>
        <v/>
      </c>
      <c r="AI23" s="107" t="str">
        <f aca="false">IF(AE23=12,AA23*AB23*AC23*AD23*(AE23/1000)*0.888*1,IF(AE23&gt;12,"",IF(AE23&lt;12,"")))</f>
        <v/>
      </c>
      <c r="AJ23" s="107" t="str">
        <f aca="false">IF(AE23=16,AA23*AB23*AC23*AD23*(AE23/1000)*1.578*1,IF(AE23&gt;16,"",IF(AE23&lt;16,"")))</f>
        <v/>
      </c>
      <c r="AK23" s="107" t="str">
        <f aca="false">IF(AE23=20,AA23*AB23*AC23*AD23*(AE23/1000)*2.466*1,IF(AE23&gt;20,"",IF(AE23&lt;20,"")))</f>
        <v/>
      </c>
      <c r="AL23" s="107" t="str">
        <f aca="false">IF(AE23=25,AA23*AB23*AC23*AD23*(AE23/1000)*3.853*1,IF(AE23&gt;25,"",IF(AE23&lt;25,"")))</f>
        <v/>
      </c>
      <c r="AM23" s="115" t="str">
        <f aca="false">IF(AE23=32,AA23*AB23*AC23*AD23*(AE23/1000)*6.313*1,IF(AE23&gt;32,"",IF(AE23&lt;32,"")))</f>
        <v/>
      </c>
      <c r="AN23" s="128"/>
      <c r="AO23" s="117" t="s">
        <v>160</v>
      </c>
      <c r="AP23" s="118" t="n">
        <f aca="false">SUM(R23:Y23)+SUM(AN23)</f>
        <v>14.94366</v>
      </c>
      <c r="AQ23" s="118" t="n">
        <f aca="false">SUM(AF23:AM23)</f>
        <v>0</v>
      </c>
      <c r="AR23" s="118"/>
      <c r="AS23" s="119" t="s">
        <v>482</v>
      </c>
      <c r="AT23" s="119" t="s">
        <v>162</v>
      </c>
    </row>
    <row r="24" customFormat="false" ht="13.5" hidden="false" customHeight="false" outlineLevel="0" collapsed="false">
      <c r="A24" s="129"/>
      <c r="B24" s="172"/>
      <c r="C24" s="110"/>
      <c r="D24" s="122"/>
      <c r="E24" s="122"/>
      <c r="F24" s="173"/>
      <c r="G24" s="123"/>
      <c r="H24" s="101"/>
      <c r="I24" s="123"/>
      <c r="J24" s="101"/>
      <c r="K24" s="124" t="s">
        <v>494</v>
      </c>
      <c r="L24" s="125"/>
      <c r="M24" s="125"/>
      <c r="N24" s="126" t="n">
        <f aca="false">$C$20</f>
        <v>1</v>
      </c>
      <c r="O24" s="126" t="n">
        <v>1</v>
      </c>
      <c r="P24" s="126" t="n">
        <v>12</v>
      </c>
      <c r="Q24" s="127" t="n">
        <f aca="false">3.135+2*50*12/1000</f>
        <v>4.335</v>
      </c>
      <c r="R24" s="105" t="str">
        <f aca="false">IF(P24=6,N24*O24*Q24*0.222*1,IF(P24&gt;6,"",IF(P24&lt;6,"")))</f>
        <v/>
      </c>
      <c r="S24" s="106" t="str">
        <f aca="false">IF(P24=8,N24*O24*Q24*0.395*1,IF(P24&gt;8,"",IF(P24&lt;8,"")))</f>
        <v/>
      </c>
      <c r="T24" s="106" t="str">
        <f aca="false">IF(P24=10,N24*O24*Q24*0.617*1,IF(P24&gt;10,"",IF(P24&lt;10,"")))</f>
        <v/>
      </c>
      <c r="U24" s="106" t="n">
        <f aca="false">IF(P24=12,N24*O24*Q24*0.888*1,IF(P24&gt;12,"",IF(P24&lt;12,"")))</f>
        <v>3.84948</v>
      </c>
      <c r="V24" s="107" t="str">
        <f aca="false">IF(P24=16,N24*O24*Q24*1.578*1,IF(P24&gt;16,"",IF(P24&lt;16,"")))</f>
        <v/>
      </c>
      <c r="W24" s="106" t="str">
        <f aca="false">IF(P24=20,N24*O24*Q24*2.466*1,IF(P24&gt;20,"",IF(P24&lt;20,"")))</f>
        <v/>
      </c>
      <c r="X24" s="106" t="str">
        <f aca="false">IF(P24=25,N24*O24*Q24*3.853*1,IF(P24&gt;25,"",IF(P24&lt;25,"")))</f>
        <v/>
      </c>
      <c r="Y24" s="108" t="str">
        <f aca="false">IF(P24=32,N24*O24*Q24*6.313*1,IF(P24&gt;32,"",IF(P24&lt;32,"")))</f>
        <v/>
      </c>
      <c r="Z24" s="109"/>
      <c r="AA24" s="110" t="str">
        <f aca="false">IF(AC24&gt;0,N24,"")</f>
        <v/>
      </c>
      <c r="AB24" s="111" t="str">
        <f aca="false">IF(AC24&gt;0,O24,"")</f>
        <v/>
      </c>
      <c r="AC24" s="112"/>
      <c r="AD24" s="112"/>
      <c r="AE24" s="113" t="str">
        <f aca="false">IF(AC24&gt;0,P24,"")</f>
        <v/>
      </c>
      <c r="AF24" s="114" t="str">
        <f aca="false">IF(AE24=6,AA24*AB24*AC24*AD24*(AE24/1000)*0.222*1,IF(AE24&gt;6,"",IF(AE24&lt;6,"")))</f>
        <v/>
      </c>
      <c r="AG24" s="107" t="str">
        <f aca="false">IF(AE24=8,AA24*AB24*AC24*AD24*(AE24/1000)*0.395*1,IF(AE24&gt;8,"",IF(AE24&lt;8,"")))</f>
        <v/>
      </c>
      <c r="AH24" s="107" t="str">
        <f aca="false">IF(AE24=10,AA24*AB24*AC24*AD24*(AE24/1000)*0.617*1,IF(AE24&gt;10,"",IF(AE24&lt;10,"")))</f>
        <v/>
      </c>
      <c r="AI24" s="107" t="str">
        <f aca="false">IF(AE24=12,AA24*AB24*AC24*AD24*(AE24/1000)*0.888*1,IF(AE24&gt;12,"",IF(AE24&lt;12,"")))</f>
        <v/>
      </c>
      <c r="AJ24" s="107" t="str">
        <f aca="false">IF(AE24=16,AA24*AB24*AC24*AD24*(AE24/1000)*1.578*1,IF(AE24&gt;16,"",IF(AE24&lt;16,"")))</f>
        <v/>
      </c>
      <c r="AK24" s="107" t="str">
        <f aca="false">IF(AE24=20,AA24*AB24*AC24*AD24*(AE24/1000)*2.466*1,IF(AE24&gt;20,"",IF(AE24&lt;20,"")))</f>
        <v/>
      </c>
      <c r="AL24" s="107" t="str">
        <f aca="false">IF(AE24=25,AA24*AB24*AC24*AD24*(AE24/1000)*3.853*1,IF(AE24&gt;25,"",IF(AE24&lt;25,"")))</f>
        <v/>
      </c>
      <c r="AM24" s="115" t="str">
        <f aca="false">IF(AE24=32,AA24*AB24*AC24*AD24*(AE24/1000)*6.313*1,IF(AE24&gt;32,"",IF(AE24&lt;32,"")))</f>
        <v/>
      </c>
      <c r="AN24" s="128"/>
      <c r="AO24" s="117" t="s">
        <v>160</v>
      </c>
      <c r="AP24" s="118" t="n">
        <f aca="false">SUM(R24:Y24)+SUM(AN24)</f>
        <v>3.84948</v>
      </c>
      <c r="AQ24" s="118" t="n">
        <f aca="false">SUM(AF24:AM24)</f>
        <v>0</v>
      </c>
      <c r="AR24" s="118"/>
      <c r="AS24" s="119" t="s">
        <v>482</v>
      </c>
      <c r="AT24" s="119" t="s">
        <v>162</v>
      </c>
    </row>
    <row r="25" customFormat="false" ht="13.5" hidden="false" customHeight="false" outlineLevel="0" collapsed="false">
      <c r="A25" s="129"/>
      <c r="B25" s="172"/>
      <c r="C25" s="110"/>
      <c r="D25" s="122"/>
      <c r="E25" s="122"/>
      <c r="F25" s="173"/>
      <c r="G25" s="123"/>
      <c r="H25" s="101"/>
      <c r="I25" s="123"/>
      <c r="J25" s="101"/>
      <c r="K25" s="124" t="s">
        <v>486</v>
      </c>
      <c r="L25" s="125" t="n">
        <f aca="false">$F$20</f>
        <v>2.8848</v>
      </c>
      <c r="M25" s="125" t="n">
        <v>0.125</v>
      </c>
      <c r="N25" s="126" t="n">
        <f aca="false">$C$20</f>
        <v>1</v>
      </c>
      <c r="O25" s="126" t="n">
        <f aca="false">CEILING(L25/M25,1)+1</f>
        <v>25</v>
      </c>
      <c r="P25" s="126" t="n">
        <v>8</v>
      </c>
      <c r="Q25" s="127" t="n">
        <f aca="false">2*($D$20-2*0.035)+2*($E$20-2*0.035)+20*8/1000</f>
        <v>1.38</v>
      </c>
      <c r="R25" s="105" t="str">
        <f aca="false">IF(P25=6,N25*O25*Q25*0.222*1,IF(P25&gt;6,"",IF(P25&lt;6,"")))</f>
        <v/>
      </c>
      <c r="S25" s="106" t="n">
        <f aca="false">IF(P25=8,N25*O25*Q25*0.395*1,IF(P25&gt;8,"",IF(P25&lt;8,"")))</f>
        <v>13.6275</v>
      </c>
      <c r="T25" s="106" t="str">
        <f aca="false">IF(P25=10,N25*O25*Q25*0.617*1,IF(P25&gt;10,"",IF(P25&lt;10,"")))</f>
        <v/>
      </c>
      <c r="U25" s="106" t="str">
        <f aca="false">IF(P25=12,N25*O25*Q25*0.888*1,IF(P25&gt;12,"",IF(P25&lt;12,"")))</f>
        <v/>
      </c>
      <c r="V25" s="107" t="str">
        <f aca="false">IF(P25=16,N25*O25*Q25*1.578*1,IF(P25&gt;16,"",IF(P25&lt;16,"")))</f>
        <v/>
      </c>
      <c r="W25" s="106" t="str">
        <f aca="false">IF(P25=20,N25*O25*Q25*2.466*1,IF(P25&gt;20,"",IF(P25&lt;20,"")))</f>
        <v/>
      </c>
      <c r="X25" s="106" t="str">
        <f aca="false">IF(P25=25,N25*O25*Q25*3.853*1,IF(P25&gt;25,"",IF(P25&lt;25,"")))</f>
        <v/>
      </c>
      <c r="Y25" s="108" t="str">
        <f aca="false">IF(P25=32,N25*O25*Q25*6.313*1,IF(P25&gt;32,"",IF(P25&lt;32,"")))</f>
        <v/>
      </c>
      <c r="Z25" s="109"/>
      <c r="AA25" s="110" t="str">
        <f aca="false">IF(AC25&gt;0,N25,"")</f>
        <v/>
      </c>
      <c r="AB25" s="111" t="str">
        <f aca="false">IF(AC25&gt;0,O25,"")</f>
        <v/>
      </c>
      <c r="AC25" s="112"/>
      <c r="AD25" s="112"/>
      <c r="AE25" s="113" t="str">
        <f aca="false">IF(AC25&gt;0,P25,"")</f>
        <v/>
      </c>
      <c r="AF25" s="114" t="str">
        <f aca="false">IF(AE25=6,AA25*AB25*AC25*AD25*(AE25/1000)*0.222*1,IF(AE25&gt;6,"",IF(AE25&lt;6,"")))</f>
        <v/>
      </c>
      <c r="AG25" s="107" t="str">
        <f aca="false">IF(AE25=8,AA25*AB25*AC25*AD25*(AE25/1000)*0.395*1,IF(AE25&gt;8,"",IF(AE25&lt;8,"")))</f>
        <v/>
      </c>
      <c r="AH25" s="107" t="str">
        <f aca="false">IF(AE25=10,AA25*AB25*AC25*AD25*(AE25/1000)*0.617*1,IF(AE25&gt;10,"",IF(AE25&lt;10,"")))</f>
        <v/>
      </c>
      <c r="AI25" s="107" t="str">
        <f aca="false">IF(AE25=12,AA25*AB25*AC25*AD25*(AE25/1000)*0.888*1,IF(AE25&gt;12,"",IF(AE25&lt;12,"")))</f>
        <v/>
      </c>
      <c r="AJ25" s="107" t="str">
        <f aca="false">IF(AE25=16,AA25*AB25*AC25*AD25*(AE25/1000)*1.578*1,IF(AE25&gt;16,"",IF(AE25&lt;16,"")))</f>
        <v/>
      </c>
      <c r="AK25" s="107" t="str">
        <f aca="false">IF(AE25=20,AA25*AB25*AC25*AD25*(AE25/1000)*2.466*1,IF(AE25&gt;20,"",IF(AE25&lt;20,"")))</f>
        <v/>
      </c>
      <c r="AL25" s="107" t="str">
        <f aca="false">IF(AE25=25,AA25*AB25*AC25*AD25*(AE25/1000)*3.853*1,IF(AE25&gt;25,"",IF(AE25&lt;25,"")))</f>
        <v/>
      </c>
      <c r="AM25" s="115" t="str">
        <f aca="false">IF(AE25=32,AA25*AB25*AC25*AD25*(AE25/1000)*6.313*1,IF(AE25&gt;32,"",IF(AE25&lt;32,"")))</f>
        <v/>
      </c>
      <c r="AN25" s="128"/>
      <c r="AO25" s="117" t="s">
        <v>160</v>
      </c>
      <c r="AP25" s="118" t="n">
        <f aca="false">SUM(R25:Y25)+SUM(AN25)</f>
        <v>13.6275</v>
      </c>
      <c r="AQ25" s="118" t="n">
        <f aca="false">SUM(AF25:AM25)</f>
        <v>0</v>
      </c>
      <c r="AR25" s="118"/>
      <c r="AS25" s="119"/>
      <c r="AT25" s="119" t="s">
        <v>162</v>
      </c>
    </row>
    <row r="26" customFormat="false" ht="13.5" hidden="false" customHeight="false" outlineLevel="0" collapsed="false">
      <c r="A26" s="129"/>
      <c r="B26" s="130"/>
      <c r="C26" s="110"/>
      <c r="D26" s="122"/>
      <c r="E26" s="122"/>
      <c r="F26" s="122"/>
      <c r="G26" s="123"/>
      <c r="H26" s="101"/>
      <c r="I26" s="123"/>
      <c r="J26" s="101"/>
      <c r="K26" s="124"/>
      <c r="L26" s="125"/>
      <c r="M26" s="125"/>
      <c r="N26" s="126"/>
      <c r="O26" s="126"/>
      <c r="P26" s="126"/>
      <c r="Q26" s="127"/>
      <c r="R26" s="105"/>
      <c r="S26" s="106"/>
      <c r="T26" s="106"/>
      <c r="U26" s="106"/>
      <c r="V26" s="107"/>
      <c r="W26" s="106"/>
      <c r="X26" s="106"/>
      <c r="Y26" s="108"/>
      <c r="Z26" s="109"/>
      <c r="AA26" s="110"/>
      <c r="AB26" s="111"/>
      <c r="AC26" s="112"/>
      <c r="AD26" s="112"/>
      <c r="AE26" s="113"/>
      <c r="AF26" s="114"/>
      <c r="AG26" s="107"/>
      <c r="AH26" s="107"/>
      <c r="AI26" s="107"/>
      <c r="AJ26" s="107"/>
      <c r="AK26" s="107"/>
      <c r="AL26" s="107"/>
      <c r="AM26" s="115"/>
      <c r="AO26" s="117"/>
      <c r="AP26" s="118"/>
      <c r="AQ26" s="118"/>
      <c r="AR26" s="118"/>
      <c r="AS26" s="119"/>
      <c r="AT26" s="119"/>
    </row>
    <row r="27" customFormat="false" ht="13.5" hidden="false" customHeight="false" outlineLevel="0" collapsed="false">
      <c r="A27" s="120"/>
      <c r="B27" s="121" t="s">
        <v>495</v>
      </c>
      <c r="C27" s="110" t="n">
        <v>1</v>
      </c>
      <c r="D27" s="122" t="n">
        <v>0.25</v>
      </c>
      <c r="E27" s="122" t="n">
        <v>0.5</v>
      </c>
      <c r="F27" s="122" t="n">
        <f aca="false">0.3856/(0.25*0.5)</f>
        <v>3.0848</v>
      </c>
      <c r="G27" s="123" t="n">
        <f aca="false">C27*D27*E27*F27</f>
        <v>0.3856</v>
      </c>
      <c r="H27" s="101"/>
      <c r="I27" s="123" t="n">
        <f aca="false">C27*F27*(D27+(E27-0.2)+(E27))</f>
        <v>3.23904</v>
      </c>
      <c r="J27" s="101"/>
      <c r="K27" s="124"/>
      <c r="L27" s="125"/>
      <c r="M27" s="125"/>
      <c r="N27" s="126"/>
      <c r="O27" s="126"/>
      <c r="P27" s="126"/>
      <c r="Q27" s="127"/>
      <c r="R27" s="105" t="str">
        <f aca="false">IF(P27=6,N27*O27*Q27*0.222*1,IF(P27&gt;6,"",IF(P27&lt;6,"")))</f>
        <v/>
      </c>
      <c r="S27" s="106" t="str">
        <f aca="false">IF(P27=8,N27*O27*Q27*0.395*1,IF(P27&gt;8,"",IF(P27&lt;8,"")))</f>
        <v/>
      </c>
      <c r="T27" s="106" t="str">
        <f aca="false">IF(P27=10,N27*O27*Q27*0.617*1,IF(P27&gt;10,"",IF(P27&lt;10,"")))</f>
        <v/>
      </c>
      <c r="U27" s="106" t="str">
        <f aca="false">IF(P27=12,N27*O27*Q27*0.888*1,IF(P27&gt;12,"",IF(P27&lt;12,"")))</f>
        <v/>
      </c>
      <c r="V27" s="107" t="str">
        <f aca="false">IF(P27=16,N27*O27*Q27*1.578*1,IF(P27&gt;16,"",IF(P27&lt;16,"")))</f>
        <v/>
      </c>
      <c r="W27" s="106" t="str">
        <f aca="false">IF(P27=20,N27*O27*Q27*2.466*1,IF(P27&gt;20,"",IF(P27&lt;20,"")))</f>
        <v/>
      </c>
      <c r="X27" s="106" t="str">
        <f aca="false">IF(P27=25,N27*O27*Q27*3.853*1,IF(P27&gt;25,"",IF(P27&lt;25,"")))</f>
        <v/>
      </c>
      <c r="Y27" s="108" t="str">
        <f aca="false">IF(P27=32,N27*O27*Q27*6.313*1,IF(P27&gt;32,"",IF(P27&lt;32,"")))</f>
        <v/>
      </c>
      <c r="Z27" s="109"/>
      <c r="AA27" s="110" t="str">
        <f aca="false">IF(AC27&gt;0,N27,"")</f>
        <v/>
      </c>
      <c r="AB27" s="111" t="str">
        <f aca="false">IF(AC27&gt;0,O27,"")</f>
        <v/>
      </c>
      <c r="AC27" s="112"/>
      <c r="AD27" s="112"/>
      <c r="AE27" s="113" t="str">
        <f aca="false">IF(AC27&gt;0,P27,"")</f>
        <v/>
      </c>
      <c r="AF27" s="114" t="str">
        <f aca="false">IF(AE27=6,AA27*AB27*AC27*AD27*(AE27/1000)*0.222*1,IF(AE27&gt;6,"",IF(AE27&lt;6,"")))</f>
        <v/>
      </c>
      <c r="AG27" s="107" t="str">
        <f aca="false">IF(AE27=8,AA27*AB27*AC27*AD27*(AE27/1000)*0.395*1,IF(AE27&gt;8,"",IF(AE27&lt;8,"")))</f>
        <v/>
      </c>
      <c r="AH27" s="107" t="str">
        <f aca="false">IF(AE27=10,AA27*AB27*AC27*AD27*(AE27/1000)*0.617*1,IF(AE27&gt;10,"",IF(AE27&lt;10,"")))</f>
        <v/>
      </c>
      <c r="AI27" s="107" t="str">
        <f aca="false">IF(AE27=12,AA27*AB27*AC27*AD27*(AE27/1000)*0.888*1,IF(AE27&gt;12,"",IF(AE27&lt;12,"")))</f>
        <v/>
      </c>
      <c r="AJ27" s="107" t="str">
        <f aca="false">IF(AE27=16,AA27*AB27*AC27*AD27*(AE27/1000)*1.578*1,IF(AE27&gt;16,"",IF(AE27&lt;16,"")))</f>
        <v/>
      </c>
      <c r="AK27" s="107" t="str">
        <f aca="false">IF(AE27=20,AA27*AB27*AC27*AD27*(AE27/1000)*2.466*1,IF(AE27&gt;20,"",IF(AE27&lt;20,"")))</f>
        <v/>
      </c>
      <c r="AL27" s="107" t="str">
        <f aca="false">IF(AE27=25,AA27*AB27*AC27*AD27*(AE27/1000)*3.853*1,IF(AE27&gt;25,"",IF(AE27&lt;25,"")))</f>
        <v/>
      </c>
      <c r="AM27" s="115" t="str">
        <f aca="false">IF(AE27=32,AA27*AB27*AC27*AD27*(AE27/1000)*6.313*1,IF(AE27&gt;32,"",IF(AE27&lt;32,"")))</f>
        <v/>
      </c>
      <c r="AN27" s="128"/>
      <c r="AO27" s="117" t="s">
        <v>160</v>
      </c>
      <c r="AP27" s="118" t="n">
        <f aca="false">SUM(R27:Y27)+SUM(AN27)</f>
        <v>0</v>
      </c>
      <c r="AQ27" s="118" t="n">
        <f aca="false">SUM(AF27:AM27)</f>
        <v>0</v>
      </c>
      <c r="AR27" s="118" t="n">
        <v>0.3856</v>
      </c>
      <c r="AS27" s="119" t="s">
        <v>496</v>
      </c>
      <c r="AT27" s="119" t="s">
        <v>209</v>
      </c>
    </row>
    <row r="28" customFormat="false" ht="13.5" hidden="false" customHeight="false" outlineLevel="0" collapsed="false">
      <c r="A28" s="129"/>
      <c r="B28" s="172"/>
      <c r="C28" s="110"/>
      <c r="D28" s="122"/>
      <c r="E28" s="122"/>
      <c r="F28" s="173"/>
      <c r="G28" s="123"/>
      <c r="H28" s="101"/>
      <c r="I28" s="123"/>
      <c r="J28" s="101"/>
      <c r="K28" s="124" t="s">
        <v>491</v>
      </c>
      <c r="L28" s="125"/>
      <c r="M28" s="125"/>
      <c r="N28" s="126" t="n">
        <f aca="false">$C$27</f>
        <v>1</v>
      </c>
      <c r="O28" s="126" t="n">
        <v>2</v>
      </c>
      <c r="P28" s="126" t="n">
        <v>16</v>
      </c>
      <c r="Q28" s="127" t="n">
        <f aca="false">3.085+2*50*16/1000</f>
        <v>4.685</v>
      </c>
      <c r="R28" s="105" t="str">
        <f aca="false">IF(P28=6,N28*O28*Q28*0.222*1,IF(P28&gt;6,"",IF(P28&lt;6,"")))</f>
        <v/>
      </c>
      <c r="S28" s="106" t="str">
        <f aca="false">IF(P28=8,N28*O28*Q28*0.395*1,IF(P28&gt;8,"",IF(P28&lt;8,"")))</f>
        <v/>
      </c>
      <c r="T28" s="106" t="str">
        <f aca="false">IF(P28=10,N28*O28*Q28*0.617*1,IF(P28&gt;10,"",IF(P28&lt;10,"")))</f>
        <v/>
      </c>
      <c r="U28" s="106" t="str">
        <f aca="false">IF(P28=12,N28*O28*Q28*0.888*1,IF(P28&gt;12,"",IF(P28&lt;12,"")))</f>
        <v/>
      </c>
      <c r="V28" s="107" t="n">
        <f aca="false">IF(P28=16,N28*O28*Q28*1.578*1,IF(P28&gt;16,"",IF(P28&lt;16,"")))</f>
        <v>14.78586</v>
      </c>
      <c r="W28" s="106" t="str">
        <f aca="false">IF(P28=20,N28*O28*Q28*2.466*1,IF(P28&gt;20,"",IF(P28&lt;20,"")))</f>
        <v/>
      </c>
      <c r="X28" s="106" t="str">
        <f aca="false">IF(P28=25,N28*O28*Q28*3.853*1,IF(P28&gt;25,"",IF(P28&lt;25,"")))</f>
        <v/>
      </c>
      <c r="Y28" s="108" t="str">
        <f aca="false">IF(P28=32,N28*O28*Q28*6.313*1,IF(P28&gt;32,"",IF(P28&lt;32,"")))</f>
        <v/>
      </c>
      <c r="Z28" s="109"/>
      <c r="AA28" s="110" t="str">
        <f aca="false">IF(AC28&gt;0,N28,"")</f>
        <v/>
      </c>
      <c r="AB28" s="111" t="str">
        <f aca="false">IF(AC28&gt;0,O28,"")</f>
        <v/>
      </c>
      <c r="AC28" s="112"/>
      <c r="AD28" s="112"/>
      <c r="AE28" s="113" t="str">
        <f aca="false">IF(AC28&gt;0,P28,"")</f>
        <v/>
      </c>
      <c r="AF28" s="114" t="str">
        <f aca="false">IF(AE28=6,AA28*AB28*AC28*AD28*(AE28/1000)*0.222*1,IF(AE28&gt;6,"",IF(AE28&lt;6,"")))</f>
        <v/>
      </c>
      <c r="AG28" s="107" t="str">
        <f aca="false">IF(AE28=8,AA28*AB28*AC28*AD28*(AE28/1000)*0.395*1,IF(AE28&gt;8,"",IF(AE28&lt;8,"")))</f>
        <v/>
      </c>
      <c r="AH28" s="107" t="str">
        <f aca="false">IF(AE28=10,AA28*AB28*AC28*AD28*(AE28/1000)*0.617*1,IF(AE28&gt;10,"",IF(AE28&lt;10,"")))</f>
        <v/>
      </c>
      <c r="AI28" s="107" t="str">
        <f aca="false">IF(AE28=12,AA28*AB28*AC28*AD28*(AE28/1000)*0.888*1,IF(AE28&gt;12,"",IF(AE28&lt;12,"")))</f>
        <v/>
      </c>
      <c r="AJ28" s="107" t="str">
        <f aca="false">IF(AE28=16,AA28*AB28*AC28*AD28*(AE28/1000)*1.578*1,IF(AE28&gt;16,"",IF(AE28&lt;16,"")))</f>
        <v/>
      </c>
      <c r="AK28" s="107" t="str">
        <f aca="false">IF(AE28=20,AA28*AB28*AC28*AD28*(AE28/1000)*2.466*1,IF(AE28&gt;20,"",IF(AE28&lt;20,"")))</f>
        <v/>
      </c>
      <c r="AL28" s="107" t="str">
        <f aca="false">IF(AE28=25,AA28*AB28*AC28*AD28*(AE28/1000)*3.853*1,IF(AE28&gt;25,"",IF(AE28&lt;25,"")))</f>
        <v/>
      </c>
      <c r="AM28" s="115" t="str">
        <f aca="false">IF(AE28=32,AA28*AB28*AC28*AD28*(AE28/1000)*6.313*1,IF(AE28&gt;32,"",IF(AE28&lt;32,"")))</f>
        <v/>
      </c>
      <c r="AN28" s="128"/>
      <c r="AO28" s="117" t="s">
        <v>160</v>
      </c>
      <c r="AP28" s="118" t="n">
        <f aca="false">SUM(R28:Y28)+SUM(AN28)</f>
        <v>14.78586</v>
      </c>
      <c r="AQ28" s="118" t="n">
        <f aca="false">SUM(AF28:AM28)</f>
        <v>0</v>
      </c>
      <c r="AR28" s="118"/>
      <c r="AS28" s="119" t="s">
        <v>482</v>
      </c>
      <c r="AT28" s="119" t="s">
        <v>162</v>
      </c>
    </row>
    <row r="29" customFormat="false" ht="13.5" hidden="false" customHeight="false" outlineLevel="0" collapsed="false">
      <c r="A29" s="129"/>
      <c r="B29" s="172"/>
      <c r="C29" s="110"/>
      <c r="D29" s="122"/>
      <c r="E29" s="122"/>
      <c r="F29" s="173"/>
      <c r="G29" s="123"/>
      <c r="H29" s="101"/>
      <c r="I29" s="123"/>
      <c r="J29" s="101"/>
      <c r="K29" s="124" t="s">
        <v>492</v>
      </c>
      <c r="L29" s="125"/>
      <c r="M29" s="125"/>
      <c r="N29" s="126" t="n">
        <f aca="false">$C$27</f>
        <v>1</v>
      </c>
      <c r="O29" s="126" t="n">
        <v>1</v>
      </c>
      <c r="P29" s="126" t="n">
        <v>12</v>
      </c>
      <c r="Q29" s="127" t="n">
        <f aca="false">3.085+2*50*12/1000</f>
        <v>4.285</v>
      </c>
      <c r="R29" s="105" t="str">
        <f aca="false">IF(P29=6,N29*O29*Q29*0.222*1,IF(P29&gt;6,"",IF(P29&lt;6,"")))</f>
        <v/>
      </c>
      <c r="S29" s="106" t="str">
        <f aca="false">IF(P29=8,N29*O29*Q29*0.395*1,IF(P29&gt;8,"",IF(P29&lt;8,"")))</f>
        <v/>
      </c>
      <c r="T29" s="106" t="str">
        <f aca="false">IF(P29=10,N29*O29*Q29*0.617*1,IF(P29&gt;10,"",IF(P29&lt;10,"")))</f>
        <v/>
      </c>
      <c r="U29" s="106" t="n">
        <f aca="false">IF(P29=12,N29*O29*Q29*0.888*1,IF(P29&gt;12,"",IF(P29&lt;12,"")))</f>
        <v>3.80508</v>
      </c>
      <c r="V29" s="107" t="str">
        <f aca="false">IF(P29=16,N29*O29*Q29*1.578*1,IF(P29&gt;16,"",IF(P29&lt;16,"")))</f>
        <v/>
      </c>
      <c r="W29" s="106" t="str">
        <f aca="false">IF(P29=20,N29*O29*Q29*2.466*1,IF(P29&gt;20,"",IF(P29&lt;20,"")))</f>
        <v/>
      </c>
      <c r="X29" s="106" t="str">
        <f aca="false">IF(P29=25,N29*O29*Q29*3.853*1,IF(P29&gt;25,"",IF(P29&lt;25,"")))</f>
        <v/>
      </c>
      <c r="Y29" s="108" t="str">
        <f aca="false">IF(P29=32,N29*O29*Q29*6.313*1,IF(P29&gt;32,"",IF(P29&lt;32,"")))</f>
        <v/>
      </c>
      <c r="Z29" s="109"/>
      <c r="AA29" s="110" t="str">
        <f aca="false">IF(AC29&gt;0,N29,"")</f>
        <v/>
      </c>
      <c r="AB29" s="111" t="str">
        <f aca="false">IF(AC29&gt;0,O29,"")</f>
        <v/>
      </c>
      <c r="AC29" s="112"/>
      <c r="AD29" s="112"/>
      <c r="AE29" s="113" t="str">
        <f aca="false">IF(AC29&gt;0,P29,"")</f>
        <v/>
      </c>
      <c r="AF29" s="114" t="str">
        <f aca="false">IF(AE29=6,AA29*AB29*AC29*AD29*(AE29/1000)*0.222*1,IF(AE29&gt;6,"",IF(AE29&lt;6,"")))</f>
        <v/>
      </c>
      <c r="AG29" s="107" t="str">
        <f aca="false">IF(AE29=8,AA29*AB29*AC29*AD29*(AE29/1000)*0.395*1,IF(AE29&gt;8,"",IF(AE29&lt;8,"")))</f>
        <v/>
      </c>
      <c r="AH29" s="107" t="str">
        <f aca="false">IF(AE29=10,AA29*AB29*AC29*AD29*(AE29/1000)*0.617*1,IF(AE29&gt;10,"",IF(AE29&lt;10,"")))</f>
        <v/>
      </c>
      <c r="AI29" s="107" t="str">
        <f aca="false">IF(AE29=12,AA29*AB29*AC29*AD29*(AE29/1000)*0.888*1,IF(AE29&gt;12,"",IF(AE29&lt;12,"")))</f>
        <v/>
      </c>
      <c r="AJ29" s="107" t="str">
        <f aca="false">IF(AE29=16,AA29*AB29*AC29*AD29*(AE29/1000)*1.578*1,IF(AE29&gt;16,"",IF(AE29&lt;16,"")))</f>
        <v/>
      </c>
      <c r="AK29" s="107" t="str">
        <f aca="false">IF(AE29=20,AA29*AB29*AC29*AD29*(AE29/1000)*2.466*1,IF(AE29&gt;20,"",IF(AE29&lt;20,"")))</f>
        <v/>
      </c>
      <c r="AL29" s="107" t="str">
        <f aca="false">IF(AE29=25,AA29*AB29*AC29*AD29*(AE29/1000)*3.853*1,IF(AE29&gt;25,"",IF(AE29&lt;25,"")))</f>
        <v/>
      </c>
      <c r="AM29" s="115" t="str">
        <f aca="false">IF(AE29=32,AA29*AB29*AC29*AD29*(AE29/1000)*6.313*1,IF(AE29&gt;32,"",IF(AE29&lt;32,"")))</f>
        <v/>
      </c>
      <c r="AN29" s="128"/>
      <c r="AO29" s="117" t="s">
        <v>160</v>
      </c>
      <c r="AP29" s="118" t="n">
        <f aca="false">SUM(R29:Y29)+SUM(AN29)</f>
        <v>3.80508</v>
      </c>
      <c r="AQ29" s="118" t="n">
        <f aca="false">SUM(AF29:AM29)</f>
        <v>0</v>
      </c>
      <c r="AR29" s="118"/>
      <c r="AS29" s="119" t="s">
        <v>482</v>
      </c>
      <c r="AT29" s="119" t="s">
        <v>162</v>
      </c>
    </row>
    <row r="30" customFormat="false" ht="13.5" hidden="false" customHeight="false" outlineLevel="0" collapsed="false">
      <c r="A30" s="129"/>
      <c r="B30" s="172"/>
      <c r="C30" s="110"/>
      <c r="D30" s="122"/>
      <c r="E30" s="122"/>
      <c r="F30" s="173"/>
      <c r="G30" s="123"/>
      <c r="H30" s="101"/>
      <c r="I30" s="123"/>
      <c r="J30" s="101"/>
      <c r="K30" s="124" t="s">
        <v>493</v>
      </c>
      <c r="L30" s="125"/>
      <c r="M30" s="125"/>
      <c r="N30" s="126" t="n">
        <f aca="false">$C$27</f>
        <v>1</v>
      </c>
      <c r="O30" s="126" t="n">
        <v>2</v>
      </c>
      <c r="P30" s="126" t="n">
        <v>16</v>
      </c>
      <c r="Q30" s="127" t="n">
        <f aca="false">3.085+2*50*16/1000</f>
        <v>4.685</v>
      </c>
      <c r="R30" s="105" t="str">
        <f aca="false">IF(P30=6,N30*O30*Q30*0.222*1,IF(P30&gt;6,"",IF(P30&lt;6,"")))</f>
        <v/>
      </c>
      <c r="S30" s="106" t="str">
        <f aca="false">IF(P30=8,N30*O30*Q30*0.395*1,IF(P30&gt;8,"",IF(P30&lt;8,"")))</f>
        <v/>
      </c>
      <c r="T30" s="106" t="str">
        <f aca="false">IF(P30=10,N30*O30*Q30*0.617*1,IF(P30&gt;10,"",IF(P30&lt;10,"")))</f>
        <v/>
      </c>
      <c r="U30" s="106" t="str">
        <f aca="false">IF(P30=12,N30*O30*Q30*0.888*1,IF(P30&gt;12,"",IF(P30&lt;12,"")))</f>
        <v/>
      </c>
      <c r="V30" s="107" t="n">
        <f aca="false">IF(P30=16,N30*O30*Q30*1.578*1,IF(P30&gt;16,"",IF(P30&lt;16,"")))</f>
        <v>14.78586</v>
      </c>
      <c r="W30" s="106" t="str">
        <f aca="false">IF(P30=20,N30*O30*Q30*2.466*1,IF(P30&gt;20,"",IF(P30&lt;20,"")))</f>
        <v/>
      </c>
      <c r="X30" s="106" t="str">
        <f aca="false">IF(P30=25,N30*O30*Q30*3.853*1,IF(P30&gt;25,"",IF(P30&lt;25,"")))</f>
        <v/>
      </c>
      <c r="Y30" s="108" t="str">
        <f aca="false">IF(P30=32,N30*O30*Q30*6.313*1,IF(P30&gt;32,"",IF(P30&lt;32,"")))</f>
        <v/>
      </c>
      <c r="Z30" s="109"/>
      <c r="AA30" s="110" t="str">
        <f aca="false">IF(AC30&gt;0,N30,"")</f>
        <v/>
      </c>
      <c r="AB30" s="111" t="str">
        <f aca="false">IF(AC30&gt;0,O30,"")</f>
        <v/>
      </c>
      <c r="AC30" s="112"/>
      <c r="AD30" s="112"/>
      <c r="AE30" s="113" t="str">
        <f aca="false">IF(AC30&gt;0,P30,"")</f>
        <v/>
      </c>
      <c r="AF30" s="114" t="str">
        <f aca="false">IF(AE30=6,AA30*AB30*AC30*AD30*(AE30/1000)*0.222*1,IF(AE30&gt;6,"",IF(AE30&lt;6,"")))</f>
        <v/>
      </c>
      <c r="AG30" s="107" t="str">
        <f aca="false">IF(AE30=8,AA30*AB30*AC30*AD30*(AE30/1000)*0.395*1,IF(AE30&gt;8,"",IF(AE30&lt;8,"")))</f>
        <v/>
      </c>
      <c r="AH30" s="107" t="str">
        <f aca="false">IF(AE30=10,AA30*AB30*AC30*AD30*(AE30/1000)*0.617*1,IF(AE30&gt;10,"",IF(AE30&lt;10,"")))</f>
        <v/>
      </c>
      <c r="AI30" s="107" t="str">
        <f aca="false">IF(AE30=12,AA30*AB30*AC30*AD30*(AE30/1000)*0.888*1,IF(AE30&gt;12,"",IF(AE30&lt;12,"")))</f>
        <v/>
      </c>
      <c r="AJ30" s="107" t="str">
        <f aca="false">IF(AE30=16,AA30*AB30*AC30*AD30*(AE30/1000)*1.578*1,IF(AE30&gt;16,"",IF(AE30&lt;16,"")))</f>
        <v/>
      </c>
      <c r="AK30" s="107" t="str">
        <f aca="false">IF(AE30=20,AA30*AB30*AC30*AD30*(AE30/1000)*2.466*1,IF(AE30&gt;20,"",IF(AE30&lt;20,"")))</f>
        <v/>
      </c>
      <c r="AL30" s="107" t="str">
        <f aca="false">IF(AE30=25,AA30*AB30*AC30*AD30*(AE30/1000)*3.853*1,IF(AE30&gt;25,"",IF(AE30&lt;25,"")))</f>
        <v/>
      </c>
      <c r="AM30" s="115" t="str">
        <f aca="false">IF(AE30=32,AA30*AB30*AC30*AD30*(AE30/1000)*6.313*1,IF(AE30&gt;32,"",IF(AE30&lt;32,"")))</f>
        <v/>
      </c>
      <c r="AN30" s="128"/>
      <c r="AO30" s="117" t="s">
        <v>160</v>
      </c>
      <c r="AP30" s="118" t="n">
        <f aca="false">SUM(R30:Y30)+SUM(AN30)</f>
        <v>14.78586</v>
      </c>
      <c r="AQ30" s="118" t="n">
        <f aca="false">SUM(AF30:AM30)</f>
        <v>0</v>
      </c>
      <c r="AR30" s="118"/>
      <c r="AS30" s="119" t="s">
        <v>482</v>
      </c>
      <c r="AT30" s="119" t="s">
        <v>162</v>
      </c>
    </row>
    <row r="31" customFormat="false" ht="13.5" hidden="false" customHeight="false" outlineLevel="0" collapsed="false">
      <c r="A31" s="129"/>
      <c r="B31" s="172"/>
      <c r="C31" s="110"/>
      <c r="D31" s="122"/>
      <c r="E31" s="122"/>
      <c r="F31" s="173"/>
      <c r="G31" s="123"/>
      <c r="H31" s="101"/>
      <c r="I31" s="123"/>
      <c r="J31" s="101"/>
      <c r="K31" s="124" t="s">
        <v>494</v>
      </c>
      <c r="L31" s="125"/>
      <c r="M31" s="125"/>
      <c r="N31" s="126" t="n">
        <f aca="false">$C$27</f>
        <v>1</v>
      </c>
      <c r="O31" s="126" t="n">
        <v>1</v>
      </c>
      <c r="P31" s="126" t="n">
        <v>12</v>
      </c>
      <c r="Q31" s="127" t="n">
        <f aca="false">3.085+2*50*12/1000</f>
        <v>4.285</v>
      </c>
      <c r="R31" s="105" t="str">
        <f aca="false">IF(P31=6,N31*O31*Q31*0.222*1,IF(P31&gt;6,"",IF(P31&lt;6,"")))</f>
        <v/>
      </c>
      <c r="S31" s="106" t="str">
        <f aca="false">IF(P31=8,N31*O31*Q31*0.395*1,IF(P31&gt;8,"",IF(P31&lt;8,"")))</f>
        <v/>
      </c>
      <c r="T31" s="106" t="str">
        <f aca="false">IF(P31=10,N31*O31*Q31*0.617*1,IF(P31&gt;10,"",IF(P31&lt;10,"")))</f>
        <v/>
      </c>
      <c r="U31" s="106" t="n">
        <f aca="false">IF(P31=12,N31*O31*Q31*0.888*1,IF(P31&gt;12,"",IF(P31&lt;12,"")))</f>
        <v>3.80508</v>
      </c>
      <c r="V31" s="107" t="str">
        <f aca="false">IF(P31=16,N31*O31*Q31*1.578*1,IF(P31&gt;16,"",IF(P31&lt;16,"")))</f>
        <v/>
      </c>
      <c r="W31" s="106" t="str">
        <f aca="false">IF(P31=20,N31*O31*Q31*2.466*1,IF(P31&gt;20,"",IF(P31&lt;20,"")))</f>
        <v/>
      </c>
      <c r="X31" s="106" t="str">
        <f aca="false">IF(P31=25,N31*O31*Q31*3.853*1,IF(P31&gt;25,"",IF(P31&lt;25,"")))</f>
        <v/>
      </c>
      <c r="Y31" s="108" t="str">
        <f aca="false">IF(P31=32,N31*O31*Q31*6.313*1,IF(P31&gt;32,"",IF(P31&lt;32,"")))</f>
        <v/>
      </c>
      <c r="Z31" s="109"/>
      <c r="AA31" s="110" t="str">
        <f aca="false">IF(AC31&gt;0,N31,"")</f>
        <v/>
      </c>
      <c r="AB31" s="111" t="str">
        <f aca="false">IF(AC31&gt;0,O31,"")</f>
        <v/>
      </c>
      <c r="AC31" s="112"/>
      <c r="AD31" s="112"/>
      <c r="AE31" s="113" t="str">
        <f aca="false">IF(AC31&gt;0,P31,"")</f>
        <v/>
      </c>
      <c r="AF31" s="114" t="str">
        <f aca="false">IF(AE31=6,AA31*AB31*AC31*AD31*(AE31/1000)*0.222*1,IF(AE31&gt;6,"",IF(AE31&lt;6,"")))</f>
        <v/>
      </c>
      <c r="AG31" s="107" t="str">
        <f aca="false">IF(AE31=8,AA31*AB31*AC31*AD31*(AE31/1000)*0.395*1,IF(AE31&gt;8,"",IF(AE31&lt;8,"")))</f>
        <v/>
      </c>
      <c r="AH31" s="107" t="str">
        <f aca="false">IF(AE31=10,AA31*AB31*AC31*AD31*(AE31/1000)*0.617*1,IF(AE31&gt;10,"",IF(AE31&lt;10,"")))</f>
        <v/>
      </c>
      <c r="AI31" s="107" t="str">
        <f aca="false">IF(AE31=12,AA31*AB31*AC31*AD31*(AE31/1000)*0.888*1,IF(AE31&gt;12,"",IF(AE31&lt;12,"")))</f>
        <v/>
      </c>
      <c r="AJ31" s="107" t="str">
        <f aca="false">IF(AE31=16,AA31*AB31*AC31*AD31*(AE31/1000)*1.578*1,IF(AE31&gt;16,"",IF(AE31&lt;16,"")))</f>
        <v/>
      </c>
      <c r="AK31" s="107" t="str">
        <f aca="false">IF(AE31=20,AA31*AB31*AC31*AD31*(AE31/1000)*2.466*1,IF(AE31&gt;20,"",IF(AE31&lt;20,"")))</f>
        <v/>
      </c>
      <c r="AL31" s="107" t="str">
        <f aca="false">IF(AE31=25,AA31*AB31*AC31*AD31*(AE31/1000)*3.853*1,IF(AE31&gt;25,"",IF(AE31&lt;25,"")))</f>
        <v/>
      </c>
      <c r="AM31" s="115" t="str">
        <f aca="false">IF(AE31=32,AA31*AB31*AC31*AD31*(AE31/1000)*6.313*1,IF(AE31&gt;32,"",IF(AE31&lt;32,"")))</f>
        <v/>
      </c>
      <c r="AN31" s="128"/>
      <c r="AO31" s="117" t="s">
        <v>160</v>
      </c>
      <c r="AP31" s="118" t="n">
        <f aca="false">SUM(R31:Y31)+SUM(AN31)</f>
        <v>3.80508</v>
      </c>
      <c r="AQ31" s="118" t="n">
        <f aca="false">SUM(AF31:AM31)</f>
        <v>0</v>
      </c>
      <c r="AR31" s="118"/>
      <c r="AS31" s="119" t="s">
        <v>482</v>
      </c>
      <c r="AT31" s="119" t="s">
        <v>162</v>
      </c>
    </row>
    <row r="32" customFormat="false" ht="13.5" hidden="false" customHeight="false" outlineLevel="0" collapsed="false">
      <c r="A32" s="129"/>
      <c r="B32" s="172"/>
      <c r="C32" s="110"/>
      <c r="D32" s="122"/>
      <c r="E32" s="122"/>
      <c r="F32" s="173"/>
      <c r="G32" s="123"/>
      <c r="H32" s="101"/>
      <c r="I32" s="123"/>
      <c r="J32" s="101"/>
      <c r="K32" s="124" t="s">
        <v>486</v>
      </c>
      <c r="L32" s="125" t="n">
        <f aca="false">$F$27</f>
        <v>3.0848</v>
      </c>
      <c r="M32" s="125" t="n">
        <v>0.125</v>
      </c>
      <c r="N32" s="126" t="n">
        <f aca="false">$C$27</f>
        <v>1</v>
      </c>
      <c r="O32" s="126" t="n">
        <f aca="false">CEILING(L32/M32,1)+1</f>
        <v>26</v>
      </c>
      <c r="P32" s="126" t="n">
        <v>8</v>
      </c>
      <c r="Q32" s="127" t="n">
        <f aca="false">2*($D$27-2*0.035)+2*($E$27-2*0.035)+20*8/1000</f>
        <v>1.38</v>
      </c>
      <c r="R32" s="105" t="str">
        <f aca="false">IF(P32=6,N32*O32*Q32*0.222*1,IF(P32&gt;6,"",IF(P32&lt;6,"")))</f>
        <v/>
      </c>
      <c r="S32" s="106" t="n">
        <f aca="false">IF(P32=8,N32*O32*Q32*0.395*1,IF(P32&gt;8,"",IF(P32&lt;8,"")))</f>
        <v>14.1726</v>
      </c>
      <c r="T32" s="106" t="str">
        <f aca="false">IF(P32=10,N32*O32*Q32*0.617*1,IF(P32&gt;10,"",IF(P32&lt;10,"")))</f>
        <v/>
      </c>
      <c r="U32" s="106" t="str">
        <f aca="false">IF(P32=12,N32*O32*Q32*0.888*1,IF(P32&gt;12,"",IF(P32&lt;12,"")))</f>
        <v/>
      </c>
      <c r="V32" s="107" t="str">
        <f aca="false">IF(P32=16,N32*O32*Q32*1.578*1,IF(P32&gt;16,"",IF(P32&lt;16,"")))</f>
        <v/>
      </c>
      <c r="W32" s="106" t="str">
        <f aca="false">IF(P32=20,N32*O32*Q32*2.466*1,IF(P32&gt;20,"",IF(P32&lt;20,"")))</f>
        <v/>
      </c>
      <c r="X32" s="106" t="str">
        <f aca="false">IF(P32=25,N32*O32*Q32*3.853*1,IF(P32&gt;25,"",IF(P32&lt;25,"")))</f>
        <v/>
      </c>
      <c r="Y32" s="108" t="str">
        <f aca="false">IF(P32=32,N32*O32*Q32*6.313*1,IF(P32&gt;32,"",IF(P32&lt;32,"")))</f>
        <v/>
      </c>
      <c r="Z32" s="109"/>
      <c r="AA32" s="110" t="str">
        <f aca="false">IF(AC32&gt;0,N32,"")</f>
        <v/>
      </c>
      <c r="AB32" s="111" t="str">
        <f aca="false">IF(AC32&gt;0,O32,"")</f>
        <v/>
      </c>
      <c r="AC32" s="112"/>
      <c r="AD32" s="112"/>
      <c r="AE32" s="113" t="str">
        <f aca="false">IF(AC32&gt;0,P32,"")</f>
        <v/>
      </c>
      <c r="AF32" s="114" t="str">
        <f aca="false">IF(AE32=6,AA32*AB32*AC32*AD32*(AE32/1000)*0.222*1,IF(AE32&gt;6,"",IF(AE32&lt;6,"")))</f>
        <v/>
      </c>
      <c r="AG32" s="107" t="str">
        <f aca="false">IF(AE32=8,AA32*AB32*AC32*AD32*(AE32/1000)*0.395*1,IF(AE32&gt;8,"",IF(AE32&lt;8,"")))</f>
        <v/>
      </c>
      <c r="AH32" s="107" t="str">
        <f aca="false">IF(AE32=10,AA32*AB32*AC32*AD32*(AE32/1000)*0.617*1,IF(AE32&gt;10,"",IF(AE32&lt;10,"")))</f>
        <v/>
      </c>
      <c r="AI32" s="107" t="str">
        <f aca="false">IF(AE32=12,AA32*AB32*AC32*AD32*(AE32/1000)*0.888*1,IF(AE32&gt;12,"",IF(AE32&lt;12,"")))</f>
        <v/>
      </c>
      <c r="AJ32" s="107" t="str">
        <f aca="false">IF(AE32=16,AA32*AB32*AC32*AD32*(AE32/1000)*1.578*1,IF(AE32&gt;16,"",IF(AE32&lt;16,"")))</f>
        <v/>
      </c>
      <c r="AK32" s="107" t="str">
        <f aca="false">IF(AE32=20,AA32*AB32*AC32*AD32*(AE32/1000)*2.466*1,IF(AE32&gt;20,"",IF(AE32&lt;20,"")))</f>
        <v/>
      </c>
      <c r="AL32" s="107" t="str">
        <f aca="false">IF(AE32=25,AA32*AB32*AC32*AD32*(AE32/1000)*3.853*1,IF(AE32&gt;25,"",IF(AE32&lt;25,"")))</f>
        <v/>
      </c>
      <c r="AM32" s="115" t="str">
        <f aca="false">IF(AE32=32,AA32*AB32*AC32*AD32*(AE32/1000)*6.313*1,IF(AE32&gt;32,"",IF(AE32&lt;32,"")))</f>
        <v/>
      </c>
      <c r="AN32" s="128"/>
      <c r="AO32" s="117" t="s">
        <v>160</v>
      </c>
      <c r="AP32" s="118" t="n">
        <f aca="false">SUM(R32:Y32)+SUM(AN32)</f>
        <v>14.1726</v>
      </c>
      <c r="AQ32" s="118" t="n">
        <f aca="false">SUM(AF32:AM32)</f>
        <v>0</v>
      </c>
      <c r="AR32" s="118"/>
      <c r="AS32" s="119"/>
      <c r="AT32" s="119" t="s">
        <v>162</v>
      </c>
    </row>
    <row r="33" customFormat="false" ht="13.5" hidden="false" customHeight="false" outlineLevel="0" collapsed="false">
      <c r="A33" s="129"/>
      <c r="B33" s="130"/>
      <c r="C33" s="110"/>
      <c r="D33" s="122"/>
      <c r="E33" s="122"/>
      <c r="F33" s="122"/>
      <c r="G33" s="123"/>
      <c r="H33" s="101"/>
      <c r="I33" s="123"/>
      <c r="J33" s="101"/>
      <c r="K33" s="124"/>
      <c r="L33" s="125"/>
      <c r="M33" s="125"/>
      <c r="N33" s="126"/>
      <c r="O33" s="126"/>
      <c r="P33" s="126"/>
      <c r="Q33" s="127"/>
      <c r="R33" s="105"/>
      <c r="S33" s="106"/>
      <c r="T33" s="106"/>
      <c r="U33" s="106"/>
      <c r="V33" s="107"/>
      <c r="W33" s="106"/>
      <c r="X33" s="106"/>
      <c r="Y33" s="108"/>
      <c r="Z33" s="109"/>
      <c r="AA33" s="110"/>
      <c r="AB33" s="111"/>
      <c r="AC33" s="112"/>
      <c r="AD33" s="112"/>
      <c r="AE33" s="113"/>
      <c r="AF33" s="114"/>
      <c r="AG33" s="107"/>
      <c r="AH33" s="107"/>
      <c r="AI33" s="107"/>
      <c r="AJ33" s="107"/>
      <c r="AK33" s="107"/>
      <c r="AL33" s="107"/>
      <c r="AM33" s="115"/>
      <c r="AO33" s="117"/>
      <c r="AP33" s="118"/>
      <c r="AQ33" s="118"/>
      <c r="AR33" s="118"/>
      <c r="AS33" s="119"/>
      <c r="AT33" s="119"/>
    </row>
    <row r="34" customFormat="false" ht="13.5" hidden="false" customHeight="false" outlineLevel="0" collapsed="false">
      <c r="A34" s="120"/>
      <c r="B34" s="121" t="s">
        <v>497</v>
      </c>
      <c r="C34" s="110" t="n">
        <v>1</v>
      </c>
      <c r="D34" s="122" t="n">
        <v>0.25</v>
      </c>
      <c r="E34" s="122" t="n">
        <v>0.5</v>
      </c>
      <c r="F34" s="122" t="n">
        <f aca="false">0.3767/(0.25*0.5)</f>
        <v>3.0136</v>
      </c>
      <c r="G34" s="123" t="n">
        <f aca="false">C34*D34*E34*F34</f>
        <v>0.3767</v>
      </c>
      <c r="H34" s="101"/>
      <c r="I34" s="123" t="n">
        <f aca="false">C34*F34*(D34+(E34-0.2)+(E34))</f>
        <v>3.16428</v>
      </c>
      <c r="J34" s="101"/>
      <c r="K34" s="124"/>
      <c r="L34" s="125"/>
      <c r="M34" s="125"/>
      <c r="N34" s="126"/>
      <c r="O34" s="126"/>
      <c r="P34" s="126"/>
      <c r="Q34" s="127"/>
      <c r="R34" s="105" t="str">
        <f aca="false">IF(P34=6,N34*O34*Q34*0.222*1,IF(P34&gt;6,"",IF(P34&lt;6,"")))</f>
        <v/>
      </c>
      <c r="S34" s="106" t="str">
        <f aca="false">IF(P34=8,N34*O34*Q34*0.395*1,IF(P34&gt;8,"",IF(P34&lt;8,"")))</f>
        <v/>
      </c>
      <c r="T34" s="106" t="str">
        <f aca="false">IF(P34=10,N34*O34*Q34*0.617*1,IF(P34&gt;10,"",IF(P34&lt;10,"")))</f>
        <v/>
      </c>
      <c r="U34" s="106" t="str">
        <f aca="false">IF(P34=12,N34*O34*Q34*0.888*1,IF(P34&gt;12,"",IF(P34&lt;12,"")))</f>
        <v/>
      </c>
      <c r="V34" s="107" t="str">
        <f aca="false">IF(P34=16,N34*O34*Q34*1.578*1,IF(P34&gt;16,"",IF(P34&lt;16,"")))</f>
        <v/>
      </c>
      <c r="W34" s="106" t="str">
        <f aca="false">IF(P34=20,N34*O34*Q34*2.466*1,IF(P34&gt;20,"",IF(P34&lt;20,"")))</f>
        <v/>
      </c>
      <c r="X34" s="106" t="str">
        <f aca="false">IF(P34=25,N34*O34*Q34*3.853*1,IF(P34&gt;25,"",IF(P34&lt;25,"")))</f>
        <v/>
      </c>
      <c r="Y34" s="108" t="str">
        <f aca="false">IF(P34=32,N34*O34*Q34*6.313*1,IF(P34&gt;32,"",IF(P34&lt;32,"")))</f>
        <v/>
      </c>
      <c r="Z34" s="109"/>
      <c r="AA34" s="110" t="str">
        <f aca="false">IF(AC34&gt;0,N34,"")</f>
        <v/>
      </c>
      <c r="AB34" s="111" t="str">
        <f aca="false">IF(AC34&gt;0,O34,"")</f>
        <v/>
      </c>
      <c r="AC34" s="112"/>
      <c r="AD34" s="112"/>
      <c r="AE34" s="113" t="str">
        <f aca="false">IF(AC34&gt;0,P34,"")</f>
        <v/>
      </c>
      <c r="AF34" s="114" t="str">
        <f aca="false">IF(AE34=6,AA34*AB34*AC34*AD34*(AE34/1000)*0.222*1,IF(AE34&gt;6,"",IF(AE34&lt;6,"")))</f>
        <v/>
      </c>
      <c r="AG34" s="107" t="str">
        <f aca="false">IF(AE34=8,AA34*AB34*AC34*AD34*(AE34/1000)*0.395*1,IF(AE34&gt;8,"",IF(AE34&lt;8,"")))</f>
        <v/>
      </c>
      <c r="AH34" s="107" t="str">
        <f aca="false">IF(AE34=10,AA34*AB34*AC34*AD34*(AE34/1000)*0.617*1,IF(AE34&gt;10,"",IF(AE34&lt;10,"")))</f>
        <v/>
      </c>
      <c r="AI34" s="107" t="str">
        <f aca="false">IF(AE34=12,AA34*AB34*AC34*AD34*(AE34/1000)*0.888*1,IF(AE34&gt;12,"",IF(AE34&lt;12,"")))</f>
        <v/>
      </c>
      <c r="AJ34" s="107" t="str">
        <f aca="false">IF(AE34=16,AA34*AB34*AC34*AD34*(AE34/1000)*1.578*1,IF(AE34&gt;16,"",IF(AE34&lt;16,"")))</f>
        <v/>
      </c>
      <c r="AK34" s="107" t="str">
        <f aca="false">IF(AE34=20,AA34*AB34*AC34*AD34*(AE34/1000)*2.466*1,IF(AE34&gt;20,"",IF(AE34&lt;20,"")))</f>
        <v/>
      </c>
      <c r="AL34" s="107" t="str">
        <f aca="false">IF(AE34=25,AA34*AB34*AC34*AD34*(AE34/1000)*3.853*1,IF(AE34&gt;25,"",IF(AE34&lt;25,"")))</f>
        <v/>
      </c>
      <c r="AM34" s="115" t="str">
        <f aca="false">IF(AE34=32,AA34*AB34*AC34*AD34*(AE34/1000)*6.313*1,IF(AE34&gt;32,"",IF(AE34&lt;32,"")))</f>
        <v/>
      </c>
      <c r="AN34" s="128"/>
      <c r="AO34" s="117" t="s">
        <v>160</v>
      </c>
      <c r="AP34" s="118" t="n">
        <f aca="false">SUM(R34:Y34)+SUM(AN34)</f>
        <v>0</v>
      </c>
      <c r="AQ34" s="118" t="n">
        <f aca="false">SUM(AF34:AM34)</f>
        <v>0</v>
      </c>
      <c r="AR34" s="118" t="n">
        <v>0.3767</v>
      </c>
      <c r="AS34" s="119" t="s">
        <v>498</v>
      </c>
      <c r="AT34" s="119" t="s">
        <v>209</v>
      </c>
    </row>
    <row r="35" customFormat="false" ht="13.5" hidden="false" customHeight="false" outlineLevel="0" collapsed="false">
      <c r="A35" s="129"/>
      <c r="B35" s="172"/>
      <c r="C35" s="110"/>
      <c r="D35" s="122"/>
      <c r="E35" s="122"/>
      <c r="F35" s="173"/>
      <c r="G35" s="123"/>
      <c r="H35" s="101"/>
      <c r="I35" s="123"/>
      <c r="J35" s="101"/>
      <c r="K35" s="124" t="s">
        <v>491</v>
      </c>
      <c r="L35" s="125"/>
      <c r="M35" s="125"/>
      <c r="N35" s="126" t="n">
        <f aca="false">$C$34</f>
        <v>1</v>
      </c>
      <c r="O35" s="126" t="n">
        <v>2</v>
      </c>
      <c r="P35" s="126" t="n">
        <v>16</v>
      </c>
      <c r="Q35" s="127" t="n">
        <f aca="false">3.0134+2*50*16/1000</f>
        <v>4.6134</v>
      </c>
      <c r="R35" s="105" t="str">
        <f aca="false">IF(P35=6,N35*O35*Q35*0.222*1,IF(P35&gt;6,"",IF(P35&lt;6,"")))</f>
        <v/>
      </c>
      <c r="S35" s="106" t="str">
        <f aca="false">IF(P35=8,N35*O35*Q35*0.395*1,IF(P35&gt;8,"",IF(P35&lt;8,"")))</f>
        <v/>
      </c>
      <c r="T35" s="106" t="str">
        <f aca="false">IF(P35=10,N35*O35*Q35*0.617*1,IF(P35&gt;10,"",IF(P35&lt;10,"")))</f>
        <v/>
      </c>
      <c r="U35" s="106" t="str">
        <f aca="false">IF(P35=12,N35*O35*Q35*0.888*1,IF(P35&gt;12,"",IF(P35&lt;12,"")))</f>
        <v/>
      </c>
      <c r="V35" s="107" t="n">
        <f aca="false">IF(P35=16,N35*O35*Q35*1.578*1,IF(P35&gt;16,"",IF(P35&lt;16,"")))</f>
        <v>14.5598904</v>
      </c>
      <c r="W35" s="106" t="str">
        <f aca="false">IF(P35=20,N35*O35*Q35*2.466*1,IF(P35&gt;20,"",IF(P35&lt;20,"")))</f>
        <v/>
      </c>
      <c r="X35" s="106" t="str">
        <f aca="false">IF(P35=25,N35*O35*Q35*3.853*1,IF(P35&gt;25,"",IF(P35&lt;25,"")))</f>
        <v/>
      </c>
      <c r="Y35" s="108" t="str">
        <f aca="false">IF(P35=32,N35*O35*Q35*6.313*1,IF(P35&gt;32,"",IF(P35&lt;32,"")))</f>
        <v/>
      </c>
      <c r="Z35" s="109"/>
      <c r="AA35" s="110" t="str">
        <f aca="false">IF(AC35&gt;0,N35,"")</f>
        <v/>
      </c>
      <c r="AB35" s="111" t="str">
        <f aca="false">IF(AC35&gt;0,O35,"")</f>
        <v/>
      </c>
      <c r="AC35" s="112"/>
      <c r="AD35" s="112"/>
      <c r="AE35" s="113" t="str">
        <f aca="false">IF(AC35&gt;0,P35,"")</f>
        <v/>
      </c>
      <c r="AF35" s="114" t="str">
        <f aca="false">IF(AE35=6,AA35*AB35*AC35*AD35*(AE35/1000)*0.222*1,IF(AE35&gt;6,"",IF(AE35&lt;6,"")))</f>
        <v/>
      </c>
      <c r="AG35" s="107" t="str">
        <f aca="false">IF(AE35=8,AA35*AB35*AC35*AD35*(AE35/1000)*0.395*1,IF(AE35&gt;8,"",IF(AE35&lt;8,"")))</f>
        <v/>
      </c>
      <c r="AH35" s="107" t="str">
        <f aca="false">IF(AE35=10,AA35*AB35*AC35*AD35*(AE35/1000)*0.617*1,IF(AE35&gt;10,"",IF(AE35&lt;10,"")))</f>
        <v/>
      </c>
      <c r="AI35" s="107" t="str">
        <f aca="false">IF(AE35=12,AA35*AB35*AC35*AD35*(AE35/1000)*0.888*1,IF(AE35&gt;12,"",IF(AE35&lt;12,"")))</f>
        <v/>
      </c>
      <c r="AJ35" s="107" t="str">
        <f aca="false">IF(AE35=16,AA35*AB35*AC35*AD35*(AE35/1000)*1.578*1,IF(AE35&gt;16,"",IF(AE35&lt;16,"")))</f>
        <v/>
      </c>
      <c r="AK35" s="107" t="str">
        <f aca="false">IF(AE35=20,AA35*AB35*AC35*AD35*(AE35/1000)*2.466*1,IF(AE35&gt;20,"",IF(AE35&lt;20,"")))</f>
        <v/>
      </c>
      <c r="AL35" s="107" t="str">
        <f aca="false">IF(AE35=25,AA35*AB35*AC35*AD35*(AE35/1000)*3.853*1,IF(AE35&gt;25,"",IF(AE35&lt;25,"")))</f>
        <v/>
      </c>
      <c r="AM35" s="115" t="str">
        <f aca="false">IF(AE35=32,AA35*AB35*AC35*AD35*(AE35/1000)*6.313*1,IF(AE35&gt;32,"",IF(AE35&lt;32,"")))</f>
        <v/>
      </c>
      <c r="AN35" s="128"/>
      <c r="AO35" s="117" t="s">
        <v>160</v>
      </c>
      <c r="AP35" s="118" t="n">
        <f aca="false">SUM(R35:Y35)+SUM(AN35)</f>
        <v>14.5598904</v>
      </c>
      <c r="AQ35" s="118" t="n">
        <f aca="false">SUM(AF35:AM35)</f>
        <v>0</v>
      </c>
      <c r="AR35" s="118"/>
      <c r="AS35" s="119" t="s">
        <v>482</v>
      </c>
      <c r="AT35" s="119" t="s">
        <v>162</v>
      </c>
    </row>
    <row r="36" customFormat="false" ht="13.5" hidden="false" customHeight="false" outlineLevel="0" collapsed="false">
      <c r="A36" s="129"/>
      <c r="B36" s="172"/>
      <c r="C36" s="110"/>
      <c r="D36" s="122"/>
      <c r="E36" s="122"/>
      <c r="F36" s="173"/>
      <c r="G36" s="123"/>
      <c r="H36" s="101"/>
      <c r="I36" s="123"/>
      <c r="J36" s="101"/>
      <c r="K36" s="124" t="s">
        <v>492</v>
      </c>
      <c r="L36" s="125"/>
      <c r="M36" s="125"/>
      <c r="N36" s="126" t="n">
        <f aca="false">$C$34</f>
        <v>1</v>
      </c>
      <c r="O36" s="126" t="n">
        <v>1</v>
      </c>
      <c r="P36" s="126" t="n">
        <v>12</v>
      </c>
      <c r="Q36" s="127" t="n">
        <f aca="false">3.0134+2*50*12/1000</f>
        <v>4.2134</v>
      </c>
      <c r="R36" s="105" t="str">
        <f aca="false">IF(P36=6,N36*O36*Q36*0.222*1,IF(P36&gt;6,"",IF(P36&lt;6,"")))</f>
        <v/>
      </c>
      <c r="S36" s="106" t="str">
        <f aca="false">IF(P36=8,N36*O36*Q36*0.395*1,IF(P36&gt;8,"",IF(P36&lt;8,"")))</f>
        <v/>
      </c>
      <c r="T36" s="106" t="str">
        <f aca="false">IF(P36=10,N36*O36*Q36*0.617*1,IF(P36&gt;10,"",IF(P36&lt;10,"")))</f>
        <v/>
      </c>
      <c r="U36" s="106" t="n">
        <f aca="false">IF(P36=12,N36*O36*Q36*0.888*1,IF(P36&gt;12,"",IF(P36&lt;12,"")))</f>
        <v>3.7414992</v>
      </c>
      <c r="V36" s="107" t="str">
        <f aca="false">IF(P36=16,N36*O36*Q36*1.578*1,IF(P36&gt;16,"",IF(P36&lt;16,"")))</f>
        <v/>
      </c>
      <c r="W36" s="106" t="str">
        <f aca="false">IF(P36=20,N36*O36*Q36*2.466*1,IF(P36&gt;20,"",IF(P36&lt;20,"")))</f>
        <v/>
      </c>
      <c r="X36" s="106" t="str">
        <f aca="false">IF(P36=25,N36*O36*Q36*3.853*1,IF(P36&gt;25,"",IF(P36&lt;25,"")))</f>
        <v/>
      </c>
      <c r="Y36" s="108" t="str">
        <f aca="false">IF(P36=32,N36*O36*Q36*6.313*1,IF(P36&gt;32,"",IF(P36&lt;32,"")))</f>
        <v/>
      </c>
      <c r="Z36" s="109"/>
      <c r="AA36" s="110" t="str">
        <f aca="false">IF(AC36&gt;0,N36,"")</f>
        <v/>
      </c>
      <c r="AB36" s="111" t="str">
        <f aca="false">IF(AC36&gt;0,O36,"")</f>
        <v/>
      </c>
      <c r="AC36" s="112"/>
      <c r="AD36" s="112"/>
      <c r="AE36" s="113" t="str">
        <f aca="false">IF(AC36&gt;0,P36,"")</f>
        <v/>
      </c>
      <c r="AF36" s="114" t="str">
        <f aca="false">IF(AE36=6,AA36*AB36*AC36*AD36*(AE36/1000)*0.222*1,IF(AE36&gt;6,"",IF(AE36&lt;6,"")))</f>
        <v/>
      </c>
      <c r="AG36" s="107" t="str">
        <f aca="false">IF(AE36=8,AA36*AB36*AC36*AD36*(AE36/1000)*0.395*1,IF(AE36&gt;8,"",IF(AE36&lt;8,"")))</f>
        <v/>
      </c>
      <c r="AH36" s="107" t="str">
        <f aca="false">IF(AE36=10,AA36*AB36*AC36*AD36*(AE36/1000)*0.617*1,IF(AE36&gt;10,"",IF(AE36&lt;10,"")))</f>
        <v/>
      </c>
      <c r="AI36" s="107" t="str">
        <f aca="false">IF(AE36=12,AA36*AB36*AC36*AD36*(AE36/1000)*0.888*1,IF(AE36&gt;12,"",IF(AE36&lt;12,"")))</f>
        <v/>
      </c>
      <c r="AJ36" s="107" t="str">
        <f aca="false">IF(AE36=16,AA36*AB36*AC36*AD36*(AE36/1000)*1.578*1,IF(AE36&gt;16,"",IF(AE36&lt;16,"")))</f>
        <v/>
      </c>
      <c r="AK36" s="107" t="str">
        <f aca="false">IF(AE36=20,AA36*AB36*AC36*AD36*(AE36/1000)*2.466*1,IF(AE36&gt;20,"",IF(AE36&lt;20,"")))</f>
        <v/>
      </c>
      <c r="AL36" s="107" t="str">
        <f aca="false">IF(AE36=25,AA36*AB36*AC36*AD36*(AE36/1000)*3.853*1,IF(AE36&gt;25,"",IF(AE36&lt;25,"")))</f>
        <v/>
      </c>
      <c r="AM36" s="115" t="str">
        <f aca="false">IF(AE36=32,AA36*AB36*AC36*AD36*(AE36/1000)*6.313*1,IF(AE36&gt;32,"",IF(AE36&lt;32,"")))</f>
        <v/>
      </c>
      <c r="AN36" s="128"/>
      <c r="AO36" s="117" t="s">
        <v>160</v>
      </c>
      <c r="AP36" s="118" t="n">
        <f aca="false">SUM(R36:Y36)+SUM(AN36)</f>
        <v>3.7414992</v>
      </c>
      <c r="AQ36" s="118" t="n">
        <f aca="false">SUM(AF36:AM36)</f>
        <v>0</v>
      </c>
      <c r="AR36" s="118"/>
      <c r="AS36" s="119" t="s">
        <v>482</v>
      </c>
      <c r="AT36" s="119" t="s">
        <v>162</v>
      </c>
    </row>
    <row r="37" customFormat="false" ht="13.5" hidden="false" customHeight="false" outlineLevel="0" collapsed="false">
      <c r="A37" s="129"/>
      <c r="B37" s="172"/>
      <c r="C37" s="110"/>
      <c r="D37" s="122"/>
      <c r="E37" s="122"/>
      <c r="F37" s="173"/>
      <c r="G37" s="123"/>
      <c r="H37" s="101"/>
      <c r="I37" s="123"/>
      <c r="J37" s="101"/>
      <c r="K37" s="124" t="s">
        <v>493</v>
      </c>
      <c r="L37" s="125"/>
      <c r="M37" s="125"/>
      <c r="N37" s="126" t="n">
        <f aca="false">$C$34</f>
        <v>1</v>
      </c>
      <c r="O37" s="126" t="n">
        <v>2</v>
      </c>
      <c r="P37" s="126" t="n">
        <v>16</v>
      </c>
      <c r="Q37" s="127" t="n">
        <f aca="false">3.0134+2*50*16/1000</f>
        <v>4.6134</v>
      </c>
      <c r="R37" s="105" t="str">
        <f aca="false">IF(P37=6,N37*O37*Q37*0.222*1,IF(P37&gt;6,"",IF(P37&lt;6,"")))</f>
        <v/>
      </c>
      <c r="S37" s="106" t="str">
        <f aca="false">IF(P37=8,N37*O37*Q37*0.395*1,IF(P37&gt;8,"",IF(P37&lt;8,"")))</f>
        <v/>
      </c>
      <c r="T37" s="106" t="str">
        <f aca="false">IF(P37=10,N37*O37*Q37*0.617*1,IF(P37&gt;10,"",IF(P37&lt;10,"")))</f>
        <v/>
      </c>
      <c r="U37" s="106" t="str">
        <f aca="false">IF(P37=12,N37*O37*Q37*0.888*1,IF(P37&gt;12,"",IF(P37&lt;12,"")))</f>
        <v/>
      </c>
      <c r="V37" s="107" t="n">
        <f aca="false">IF(P37=16,N37*O37*Q37*1.578*1,IF(P37&gt;16,"",IF(P37&lt;16,"")))</f>
        <v>14.5598904</v>
      </c>
      <c r="W37" s="106" t="str">
        <f aca="false">IF(P37=20,N37*O37*Q37*2.466*1,IF(P37&gt;20,"",IF(P37&lt;20,"")))</f>
        <v/>
      </c>
      <c r="X37" s="106" t="str">
        <f aca="false">IF(P37=25,N37*O37*Q37*3.853*1,IF(P37&gt;25,"",IF(P37&lt;25,"")))</f>
        <v/>
      </c>
      <c r="Y37" s="108" t="str">
        <f aca="false">IF(P37=32,N37*O37*Q37*6.313*1,IF(P37&gt;32,"",IF(P37&lt;32,"")))</f>
        <v/>
      </c>
      <c r="Z37" s="109"/>
      <c r="AA37" s="110" t="str">
        <f aca="false">IF(AC37&gt;0,N37,"")</f>
        <v/>
      </c>
      <c r="AB37" s="111" t="str">
        <f aca="false">IF(AC37&gt;0,O37,"")</f>
        <v/>
      </c>
      <c r="AC37" s="112"/>
      <c r="AD37" s="112"/>
      <c r="AE37" s="113" t="str">
        <f aca="false">IF(AC37&gt;0,P37,"")</f>
        <v/>
      </c>
      <c r="AF37" s="114" t="str">
        <f aca="false">IF(AE37=6,AA37*AB37*AC37*AD37*(AE37/1000)*0.222*1,IF(AE37&gt;6,"",IF(AE37&lt;6,"")))</f>
        <v/>
      </c>
      <c r="AG37" s="107" t="str">
        <f aca="false">IF(AE37=8,AA37*AB37*AC37*AD37*(AE37/1000)*0.395*1,IF(AE37&gt;8,"",IF(AE37&lt;8,"")))</f>
        <v/>
      </c>
      <c r="AH37" s="107" t="str">
        <f aca="false">IF(AE37=10,AA37*AB37*AC37*AD37*(AE37/1000)*0.617*1,IF(AE37&gt;10,"",IF(AE37&lt;10,"")))</f>
        <v/>
      </c>
      <c r="AI37" s="107" t="str">
        <f aca="false">IF(AE37=12,AA37*AB37*AC37*AD37*(AE37/1000)*0.888*1,IF(AE37&gt;12,"",IF(AE37&lt;12,"")))</f>
        <v/>
      </c>
      <c r="AJ37" s="107" t="str">
        <f aca="false">IF(AE37=16,AA37*AB37*AC37*AD37*(AE37/1000)*1.578*1,IF(AE37&gt;16,"",IF(AE37&lt;16,"")))</f>
        <v/>
      </c>
      <c r="AK37" s="107" t="str">
        <f aca="false">IF(AE37=20,AA37*AB37*AC37*AD37*(AE37/1000)*2.466*1,IF(AE37&gt;20,"",IF(AE37&lt;20,"")))</f>
        <v/>
      </c>
      <c r="AL37" s="107" t="str">
        <f aca="false">IF(AE37=25,AA37*AB37*AC37*AD37*(AE37/1000)*3.853*1,IF(AE37&gt;25,"",IF(AE37&lt;25,"")))</f>
        <v/>
      </c>
      <c r="AM37" s="115" t="str">
        <f aca="false">IF(AE37=32,AA37*AB37*AC37*AD37*(AE37/1000)*6.313*1,IF(AE37&gt;32,"",IF(AE37&lt;32,"")))</f>
        <v/>
      </c>
      <c r="AN37" s="128"/>
      <c r="AO37" s="117" t="s">
        <v>160</v>
      </c>
      <c r="AP37" s="118" t="n">
        <f aca="false">SUM(R37:Y37)+SUM(AN37)</f>
        <v>14.5598904</v>
      </c>
      <c r="AQ37" s="118" t="n">
        <f aca="false">SUM(AF37:AM37)</f>
        <v>0</v>
      </c>
      <c r="AR37" s="118"/>
      <c r="AS37" s="119" t="s">
        <v>482</v>
      </c>
      <c r="AT37" s="119" t="s">
        <v>162</v>
      </c>
    </row>
    <row r="38" customFormat="false" ht="13.5" hidden="false" customHeight="false" outlineLevel="0" collapsed="false">
      <c r="A38" s="129"/>
      <c r="B38" s="172"/>
      <c r="C38" s="110"/>
      <c r="D38" s="122"/>
      <c r="E38" s="122"/>
      <c r="F38" s="173"/>
      <c r="G38" s="123"/>
      <c r="H38" s="101"/>
      <c r="I38" s="123"/>
      <c r="J38" s="101"/>
      <c r="K38" s="124" t="s">
        <v>494</v>
      </c>
      <c r="L38" s="125"/>
      <c r="M38" s="125"/>
      <c r="N38" s="126" t="n">
        <f aca="false">$C$34</f>
        <v>1</v>
      </c>
      <c r="O38" s="126" t="n">
        <v>1</v>
      </c>
      <c r="P38" s="126" t="n">
        <v>12</v>
      </c>
      <c r="Q38" s="127" t="n">
        <f aca="false">3.0134+2*50*12/1000</f>
        <v>4.2134</v>
      </c>
      <c r="R38" s="105" t="str">
        <f aca="false">IF(P38=6,N38*O38*Q38*0.222*1,IF(P38&gt;6,"",IF(P38&lt;6,"")))</f>
        <v/>
      </c>
      <c r="S38" s="106" t="str">
        <f aca="false">IF(P38=8,N38*O38*Q38*0.395*1,IF(P38&gt;8,"",IF(P38&lt;8,"")))</f>
        <v/>
      </c>
      <c r="T38" s="106" t="str">
        <f aca="false">IF(P38=10,N38*O38*Q38*0.617*1,IF(P38&gt;10,"",IF(P38&lt;10,"")))</f>
        <v/>
      </c>
      <c r="U38" s="106" t="n">
        <f aca="false">IF(P38=12,N38*O38*Q38*0.888*1,IF(P38&gt;12,"",IF(P38&lt;12,"")))</f>
        <v>3.7414992</v>
      </c>
      <c r="V38" s="107" t="str">
        <f aca="false">IF(P38=16,N38*O38*Q38*1.578*1,IF(P38&gt;16,"",IF(P38&lt;16,"")))</f>
        <v/>
      </c>
      <c r="W38" s="106" t="str">
        <f aca="false">IF(P38=20,N38*O38*Q38*2.466*1,IF(P38&gt;20,"",IF(P38&lt;20,"")))</f>
        <v/>
      </c>
      <c r="X38" s="106" t="str">
        <f aca="false">IF(P38=25,N38*O38*Q38*3.853*1,IF(P38&gt;25,"",IF(P38&lt;25,"")))</f>
        <v/>
      </c>
      <c r="Y38" s="108" t="str">
        <f aca="false">IF(P38=32,N38*O38*Q38*6.313*1,IF(P38&gt;32,"",IF(P38&lt;32,"")))</f>
        <v/>
      </c>
      <c r="Z38" s="109"/>
      <c r="AA38" s="110" t="str">
        <f aca="false">IF(AC38&gt;0,N38,"")</f>
        <v/>
      </c>
      <c r="AB38" s="111" t="str">
        <f aca="false">IF(AC38&gt;0,O38,"")</f>
        <v/>
      </c>
      <c r="AC38" s="112"/>
      <c r="AD38" s="112"/>
      <c r="AE38" s="113" t="str">
        <f aca="false">IF(AC38&gt;0,P38,"")</f>
        <v/>
      </c>
      <c r="AF38" s="114" t="str">
        <f aca="false">IF(AE38=6,AA38*AB38*AC38*AD38*(AE38/1000)*0.222*1,IF(AE38&gt;6,"",IF(AE38&lt;6,"")))</f>
        <v/>
      </c>
      <c r="AG38" s="107" t="str">
        <f aca="false">IF(AE38=8,AA38*AB38*AC38*AD38*(AE38/1000)*0.395*1,IF(AE38&gt;8,"",IF(AE38&lt;8,"")))</f>
        <v/>
      </c>
      <c r="AH38" s="107" t="str">
        <f aca="false">IF(AE38=10,AA38*AB38*AC38*AD38*(AE38/1000)*0.617*1,IF(AE38&gt;10,"",IF(AE38&lt;10,"")))</f>
        <v/>
      </c>
      <c r="AI38" s="107" t="str">
        <f aca="false">IF(AE38=12,AA38*AB38*AC38*AD38*(AE38/1000)*0.888*1,IF(AE38&gt;12,"",IF(AE38&lt;12,"")))</f>
        <v/>
      </c>
      <c r="AJ38" s="107" t="str">
        <f aca="false">IF(AE38=16,AA38*AB38*AC38*AD38*(AE38/1000)*1.578*1,IF(AE38&gt;16,"",IF(AE38&lt;16,"")))</f>
        <v/>
      </c>
      <c r="AK38" s="107" t="str">
        <f aca="false">IF(AE38=20,AA38*AB38*AC38*AD38*(AE38/1000)*2.466*1,IF(AE38&gt;20,"",IF(AE38&lt;20,"")))</f>
        <v/>
      </c>
      <c r="AL38" s="107" t="str">
        <f aca="false">IF(AE38=25,AA38*AB38*AC38*AD38*(AE38/1000)*3.853*1,IF(AE38&gt;25,"",IF(AE38&lt;25,"")))</f>
        <v/>
      </c>
      <c r="AM38" s="115" t="str">
        <f aca="false">IF(AE38=32,AA38*AB38*AC38*AD38*(AE38/1000)*6.313*1,IF(AE38&gt;32,"",IF(AE38&lt;32,"")))</f>
        <v/>
      </c>
      <c r="AN38" s="128"/>
      <c r="AO38" s="117" t="s">
        <v>160</v>
      </c>
      <c r="AP38" s="118" t="n">
        <f aca="false">SUM(R38:Y38)+SUM(AN38)</f>
        <v>3.7414992</v>
      </c>
      <c r="AQ38" s="118" t="n">
        <f aca="false">SUM(AF38:AM38)</f>
        <v>0</v>
      </c>
      <c r="AR38" s="118"/>
      <c r="AS38" s="119" t="s">
        <v>482</v>
      </c>
      <c r="AT38" s="119" t="s">
        <v>162</v>
      </c>
    </row>
    <row r="39" customFormat="false" ht="13.5" hidden="false" customHeight="false" outlineLevel="0" collapsed="false">
      <c r="A39" s="129"/>
      <c r="B39" s="172"/>
      <c r="C39" s="110"/>
      <c r="D39" s="122"/>
      <c r="E39" s="122"/>
      <c r="F39" s="173"/>
      <c r="G39" s="123"/>
      <c r="H39" s="101"/>
      <c r="I39" s="123"/>
      <c r="J39" s="101"/>
      <c r="K39" s="124" t="s">
        <v>486</v>
      </c>
      <c r="L39" s="125" t="n">
        <f aca="false">$F$34</f>
        <v>3.0136</v>
      </c>
      <c r="M39" s="125" t="n">
        <v>0.125</v>
      </c>
      <c r="N39" s="126" t="n">
        <f aca="false">$C$34</f>
        <v>1</v>
      </c>
      <c r="O39" s="126" t="n">
        <f aca="false">CEILING(L39/M39,1)+1</f>
        <v>26</v>
      </c>
      <c r="P39" s="126" t="n">
        <v>8</v>
      </c>
      <c r="Q39" s="127" t="n">
        <f aca="false">2*($D$34-2*0.035)+2*($E$34-2*0.035)+20*8/1000</f>
        <v>1.38</v>
      </c>
      <c r="R39" s="105" t="str">
        <f aca="false">IF(P39=6,N39*O39*Q39*0.222*1,IF(P39&gt;6,"",IF(P39&lt;6,"")))</f>
        <v/>
      </c>
      <c r="S39" s="106" t="n">
        <f aca="false">IF(P39=8,N39*O39*Q39*0.395*1,IF(P39&gt;8,"",IF(P39&lt;8,"")))</f>
        <v>14.1726</v>
      </c>
      <c r="T39" s="106" t="str">
        <f aca="false">IF(P39=10,N39*O39*Q39*0.617*1,IF(P39&gt;10,"",IF(P39&lt;10,"")))</f>
        <v/>
      </c>
      <c r="U39" s="106" t="str">
        <f aca="false">IF(P39=12,N39*O39*Q39*0.888*1,IF(P39&gt;12,"",IF(P39&lt;12,"")))</f>
        <v/>
      </c>
      <c r="V39" s="107" t="str">
        <f aca="false">IF(P39=16,N39*O39*Q39*1.578*1,IF(P39&gt;16,"",IF(P39&lt;16,"")))</f>
        <v/>
      </c>
      <c r="W39" s="106" t="str">
        <f aca="false">IF(P39=20,N39*O39*Q39*2.466*1,IF(P39&gt;20,"",IF(P39&lt;20,"")))</f>
        <v/>
      </c>
      <c r="X39" s="106" t="str">
        <f aca="false">IF(P39=25,N39*O39*Q39*3.853*1,IF(P39&gt;25,"",IF(P39&lt;25,"")))</f>
        <v/>
      </c>
      <c r="Y39" s="108" t="str">
        <f aca="false">IF(P39=32,N39*O39*Q39*6.313*1,IF(P39&gt;32,"",IF(P39&lt;32,"")))</f>
        <v/>
      </c>
      <c r="Z39" s="109"/>
      <c r="AA39" s="110" t="str">
        <f aca="false">IF(AC39&gt;0,N39,"")</f>
        <v/>
      </c>
      <c r="AB39" s="111" t="str">
        <f aca="false">IF(AC39&gt;0,O39,"")</f>
        <v/>
      </c>
      <c r="AC39" s="112"/>
      <c r="AD39" s="112"/>
      <c r="AE39" s="113" t="str">
        <f aca="false">IF(AC39&gt;0,P39,"")</f>
        <v/>
      </c>
      <c r="AF39" s="114" t="str">
        <f aca="false">IF(AE39=6,AA39*AB39*AC39*AD39*(AE39/1000)*0.222*1,IF(AE39&gt;6,"",IF(AE39&lt;6,"")))</f>
        <v/>
      </c>
      <c r="AG39" s="107" t="str">
        <f aca="false">IF(AE39=8,AA39*AB39*AC39*AD39*(AE39/1000)*0.395*1,IF(AE39&gt;8,"",IF(AE39&lt;8,"")))</f>
        <v/>
      </c>
      <c r="AH39" s="107" t="str">
        <f aca="false">IF(AE39=10,AA39*AB39*AC39*AD39*(AE39/1000)*0.617*1,IF(AE39&gt;10,"",IF(AE39&lt;10,"")))</f>
        <v/>
      </c>
      <c r="AI39" s="107" t="str">
        <f aca="false">IF(AE39=12,AA39*AB39*AC39*AD39*(AE39/1000)*0.888*1,IF(AE39&gt;12,"",IF(AE39&lt;12,"")))</f>
        <v/>
      </c>
      <c r="AJ39" s="107" t="str">
        <f aca="false">IF(AE39=16,AA39*AB39*AC39*AD39*(AE39/1000)*1.578*1,IF(AE39&gt;16,"",IF(AE39&lt;16,"")))</f>
        <v/>
      </c>
      <c r="AK39" s="107" t="str">
        <f aca="false">IF(AE39=20,AA39*AB39*AC39*AD39*(AE39/1000)*2.466*1,IF(AE39&gt;20,"",IF(AE39&lt;20,"")))</f>
        <v/>
      </c>
      <c r="AL39" s="107" t="str">
        <f aca="false">IF(AE39=25,AA39*AB39*AC39*AD39*(AE39/1000)*3.853*1,IF(AE39&gt;25,"",IF(AE39&lt;25,"")))</f>
        <v/>
      </c>
      <c r="AM39" s="115" t="str">
        <f aca="false">IF(AE39=32,AA39*AB39*AC39*AD39*(AE39/1000)*6.313*1,IF(AE39&gt;32,"",IF(AE39&lt;32,"")))</f>
        <v/>
      </c>
      <c r="AN39" s="128"/>
      <c r="AO39" s="117" t="s">
        <v>160</v>
      </c>
      <c r="AP39" s="118" t="n">
        <f aca="false">SUM(R39:Y39)+SUM(AN39)</f>
        <v>14.1726</v>
      </c>
      <c r="AQ39" s="118" t="n">
        <f aca="false">SUM(AF39:AM39)</f>
        <v>0</v>
      </c>
      <c r="AR39" s="118"/>
      <c r="AS39" s="119"/>
      <c r="AT39" s="119" t="s">
        <v>162</v>
      </c>
    </row>
    <row r="40" customFormat="false" ht="13.5" hidden="false" customHeight="false" outlineLevel="0" collapsed="false">
      <c r="A40" s="129"/>
      <c r="B40" s="130"/>
      <c r="C40" s="110"/>
      <c r="D40" s="122"/>
      <c r="E40" s="122"/>
      <c r="F40" s="122"/>
      <c r="G40" s="123"/>
      <c r="H40" s="101"/>
      <c r="I40" s="123"/>
      <c r="J40" s="101"/>
      <c r="K40" s="124"/>
      <c r="L40" s="125"/>
      <c r="M40" s="125"/>
      <c r="N40" s="126"/>
      <c r="O40" s="126"/>
      <c r="P40" s="126"/>
      <c r="Q40" s="127"/>
      <c r="R40" s="105"/>
      <c r="S40" s="106"/>
      <c r="T40" s="106"/>
      <c r="U40" s="106"/>
      <c r="V40" s="107"/>
      <c r="W40" s="106"/>
      <c r="X40" s="106"/>
      <c r="Y40" s="108"/>
      <c r="Z40" s="109"/>
      <c r="AA40" s="110"/>
      <c r="AB40" s="111"/>
      <c r="AC40" s="112"/>
      <c r="AD40" s="112"/>
      <c r="AE40" s="113"/>
      <c r="AF40" s="114"/>
      <c r="AG40" s="107"/>
      <c r="AH40" s="107"/>
      <c r="AI40" s="107"/>
      <c r="AJ40" s="107"/>
      <c r="AK40" s="107"/>
      <c r="AL40" s="107"/>
      <c r="AM40" s="115"/>
      <c r="AO40" s="117"/>
      <c r="AP40" s="118"/>
      <c r="AQ40" s="118"/>
      <c r="AR40" s="118"/>
      <c r="AS40" s="119"/>
      <c r="AT40" s="119"/>
    </row>
    <row r="41" customFormat="false" ht="13.5" hidden="false" customHeight="false" outlineLevel="0" collapsed="false">
      <c r="A41" s="120"/>
      <c r="B41" s="121" t="s">
        <v>499</v>
      </c>
      <c r="C41" s="110" t="n">
        <v>1</v>
      </c>
      <c r="D41" s="122" t="n">
        <v>0.2</v>
      </c>
      <c r="E41" s="122" t="n">
        <v>0.5</v>
      </c>
      <c r="F41" s="122" t="n">
        <f aca="false">0.603/(0.2*0.5)</f>
        <v>6.03</v>
      </c>
      <c r="G41" s="123" t="n">
        <f aca="false">C41*D41*E41*F41</f>
        <v>0.603</v>
      </c>
      <c r="H41" s="101"/>
      <c r="I41" s="123" t="n">
        <f aca="false">C41*F41*(D41+(E41-0.2)+(0))</f>
        <v>3.015</v>
      </c>
      <c r="J41" s="101"/>
      <c r="K41" s="124"/>
      <c r="L41" s="125"/>
      <c r="M41" s="125"/>
      <c r="N41" s="126"/>
      <c r="O41" s="126"/>
      <c r="P41" s="126"/>
      <c r="Q41" s="127"/>
      <c r="R41" s="105" t="str">
        <f aca="false">IF(P41=6,N41*O41*Q41*0.222*1,IF(P41&gt;6,"",IF(P41&lt;6,"")))</f>
        <v/>
      </c>
      <c r="S41" s="106" t="str">
        <f aca="false">IF(P41=8,N41*O41*Q41*0.395*1,IF(P41&gt;8,"",IF(P41&lt;8,"")))</f>
        <v/>
      </c>
      <c r="T41" s="106" t="str">
        <f aca="false">IF(P41=10,N41*O41*Q41*0.617*1,IF(P41&gt;10,"",IF(P41&lt;10,"")))</f>
        <v/>
      </c>
      <c r="U41" s="106" t="str">
        <f aca="false">IF(P41=12,N41*O41*Q41*0.888*1,IF(P41&gt;12,"",IF(P41&lt;12,"")))</f>
        <v/>
      </c>
      <c r="V41" s="107" t="str">
        <f aca="false">IF(P41=16,N41*O41*Q41*1.578*1,IF(P41&gt;16,"",IF(P41&lt;16,"")))</f>
        <v/>
      </c>
      <c r="W41" s="106" t="str">
        <f aca="false">IF(P41=20,N41*O41*Q41*2.466*1,IF(P41&gt;20,"",IF(P41&lt;20,"")))</f>
        <v/>
      </c>
      <c r="X41" s="106" t="str">
        <f aca="false">IF(P41=25,N41*O41*Q41*3.853*1,IF(P41&gt;25,"",IF(P41&lt;25,"")))</f>
        <v/>
      </c>
      <c r="Y41" s="108" t="str">
        <f aca="false">IF(P41=32,N41*O41*Q41*6.313*1,IF(P41&gt;32,"",IF(P41&lt;32,"")))</f>
        <v/>
      </c>
      <c r="Z41" s="109"/>
      <c r="AA41" s="110" t="str">
        <f aca="false">IF(AC41&gt;0,N41,"")</f>
        <v/>
      </c>
      <c r="AB41" s="111" t="str">
        <f aca="false">IF(AC41&gt;0,O41,"")</f>
        <v/>
      </c>
      <c r="AC41" s="112"/>
      <c r="AD41" s="112"/>
      <c r="AE41" s="113" t="str">
        <f aca="false">IF(AC41&gt;0,P41,"")</f>
        <v/>
      </c>
      <c r="AF41" s="114" t="str">
        <f aca="false">IF(AE41=6,AA41*AB41*AC41*AD41*(AE41/1000)*0.222*1,IF(AE41&gt;6,"",IF(AE41&lt;6,"")))</f>
        <v/>
      </c>
      <c r="AG41" s="107" t="str">
        <f aca="false">IF(AE41=8,AA41*AB41*AC41*AD41*(AE41/1000)*0.395*1,IF(AE41&gt;8,"",IF(AE41&lt;8,"")))</f>
        <v/>
      </c>
      <c r="AH41" s="107" t="str">
        <f aca="false">IF(AE41=10,AA41*AB41*AC41*AD41*(AE41/1000)*0.617*1,IF(AE41&gt;10,"",IF(AE41&lt;10,"")))</f>
        <v/>
      </c>
      <c r="AI41" s="107" t="str">
        <f aca="false">IF(AE41=12,AA41*AB41*AC41*AD41*(AE41/1000)*0.888*1,IF(AE41&gt;12,"",IF(AE41&lt;12,"")))</f>
        <v/>
      </c>
      <c r="AJ41" s="107" t="str">
        <f aca="false">IF(AE41=16,AA41*AB41*AC41*AD41*(AE41/1000)*1.578*1,IF(AE41&gt;16,"",IF(AE41&lt;16,"")))</f>
        <v/>
      </c>
      <c r="AK41" s="107" t="str">
        <f aca="false">IF(AE41=20,AA41*AB41*AC41*AD41*(AE41/1000)*2.466*1,IF(AE41&gt;20,"",IF(AE41&lt;20,"")))</f>
        <v/>
      </c>
      <c r="AL41" s="107" t="str">
        <f aca="false">IF(AE41=25,AA41*AB41*AC41*AD41*(AE41/1000)*3.853*1,IF(AE41&gt;25,"",IF(AE41&lt;25,"")))</f>
        <v/>
      </c>
      <c r="AM41" s="115" t="str">
        <f aca="false">IF(AE41=32,AA41*AB41*AC41*AD41*(AE41/1000)*6.313*1,IF(AE41&gt;32,"",IF(AE41&lt;32,"")))</f>
        <v/>
      </c>
      <c r="AN41" s="128"/>
      <c r="AO41" s="117" t="s">
        <v>160</v>
      </c>
      <c r="AP41" s="118" t="n">
        <f aca="false">SUM(R41:Y41)+SUM(AN41)</f>
        <v>0</v>
      </c>
      <c r="AQ41" s="118" t="n">
        <f aca="false">SUM(AF41:AM41)</f>
        <v>0</v>
      </c>
      <c r="AR41" s="118" t="n">
        <v>0.603</v>
      </c>
      <c r="AS41" s="119" t="s">
        <v>500</v>
      </c>
      <c r="AT41" s="119" t="s">
        <v>209</v>
      </c>
    </row>
    <row r="42" customFormat="false" ht="13.5" hidden="false" customHeight="false" outlineLevel="0" collapsed="false">
      <c r="A42" s="129"/>
      <c r="B42" s="172"/>
      <c r="C42" s="110"/>
      <c r="D42" s="122"/>
      <c r="E42" s="122"/>
      <c r="F42" s="173"/>
      <c r="G42" s="123"/>
      <c r="H42" s="101"/>
      <c r="I42" s="123"/>
      <c r="J42" s="101"/>
      <c r="K42" s="124" t="s">
        <v>491</v>
      </c>
      <c r="L42" s="125"/>
      <c r="M42" s="125"/>
      <c r="N42" s="126" t="n">
        <f aca="false">$C$41</f>
        <v>1</v>
      </c>
      <c r="O42" s="126" t="n">
        <v>2</v>
      </c>
      <c r="P42" s="126" t="n">
        <v>16</v>
      </c>
      <c r="Q42" s="127" t="n">
        <f aca="false">6.33+2*50*16/1000</f>
        <v>7.93</v>
      </c>
      <c r="R42" s="105" t="str">
        <f aca="false">IF(P42=6,N42*O42*Q42*0.222*1,IF(P42&gt;6,"",IF(P42&lt;6,"")))</f>
        <v/>
      </c>
      <c r="S42" s="106" t="str">
        <f aca="false">IF(P42=8,N42*O42*Q42*0.395*1,IF(P42&gt;8,"",IF(P42&lt;8,"")))</f>
        <v/>
      </c>
      <c r="T42" s="106" t="str">
        <f aca="false">IF(P42=10,N42*O42*Q42*0.617*1,IF(P42&gt;10,"",IF(P42&lt;10,"")))</f>
        <v/>
      </c>
      <c r="U42" s="106" t="str">
        <f aca="false">IF(P42=12,N42*O42*Q42*0.888*1,IF(P42&gt;12,"",IF(P42&lt;12,"")))</f>
        <v/>
      </c>
      <c r="V42" s="107" t="n">
        <f aca="false">IF(P42=16,N42*O42*Q42*1.578*1,IF(P42&gt;16,"",IF(P42&lt;16,"")))</f>
        <v>25.02708</v>
      </c>
      <c r="W42" s="106" t="str">
        <f aca="false">IF(P42=20,N42*O42*Q42*2.466*1,IF(P42&gt;20,"",IF(P42&lt;20,"")))</f>
        <v/>
      </c>
      <c r="X42" s="106" t="str">
        <f aca="false">IF(P42=25,N42*O42*Q42*3.853*1,IF(P42&gt;25,"",IF(P42&lt;25,"")))</f>
        <v/>
      </c>
      <c r="Y42" s="108" t="str">
        <f aca="false">IF(P42=32,N42*O42*Q42*6.313*1,IF(P42&gt;32,"",IF(P42&lt;32,"")))</f>
        <v/>
      </c>
      <c r="Z42" s="109"/>
      <c r="AA42" s="110" t="str">
        <f aca="false">IF(AC42&gt;0,N42,"")</f>
        <v/>
      </c>
      <c r="AB42" s="111" t="str">
        <f aca="false">IF(AC42&gt;0,O42,"")</f>
        <v/>
      </c>
      <c r="AC42" s="112"/>
      <c r="AD42" s="112"/>
      <c r="AE42" s="113" t="str">
        <f aca="false">IF(AC42&gt;0,P42,"")</f>
        <v/>
      </c>
      <c r="AF42" s="114" t="str">
        <f aca="false">IF(AE42=6,AA42*AB42*AC42*AD42*(AE42/1000)*0.222*1,IF(AE42&gt;6,"",IF(AE42&lt;6,"")))</f>
        <v/>
      </c>
      <c r="AG42" s="107" t="str">
        <f aca="false">IF(AE42=8,AA42*AB42*AC42*AD42*(AE42/1000)*0.395*1,IF(AE42&gt;8,"",IF(AE42&lt;8,"")))</f>
        <v/>
      </c>
      <c r="AH42" s="107" t="str">
        <f aca="false">IF(AE42=10,AA42*AB42*AC42*AD42*(AE42/1000)*0.617*1,IF(AE42&gt;10,"",IF(AE42&lt;10,"")))</f>
        <v/>
      </c>
      <c r="AI42" s="107" t="str">
        <f aca="false">IF(AE42=12,AA42*AB42*AC42*AD42*(AE42/1000)*0.888*1,IF(AE42&gt;12,"",IF(AE42&lt;12,"")))</f>
        <v/>
      </c>
      <c r="AJ42" s="107" t="str">
        <f aca="false">IF(AE42=16,AA42*AB42*AC42*AD42*(AE42/1000)*1.578*1,IF(AE42&gt;16,"",IF(AE42&lt;16,"")))</f>
        <v/>
      </c>
      <c r="AK42" s="107" t="str">
        <f aca="false">IF(AE42=20,AA42*AB42*AC42*AD42*(AE42/1000)*2.466*1,IF(AE42&gt;20,"",IF(AE42&lt;20,"")))</f>
        <v/>
      </c>
      <c r="AL42" s="107" t="str">
        <f aca="false">IF(AE42=25,AA42*AB42*AC42*AD42*(AE42/1000)*3.853*1,IF(AE42&gt;25,"",IF(AE42&lt;25,"")))</f>
        <v/>
      </c>
      <c r="AM42" s="115" t="str">
        <f aca="false">IF(AE42=32,AA42*AB42*AC42*AD42*(AE42/1000)*6.313*1,IF(AE42&gt;32,"",IF(AE42&lt;32,"")))</f>
        <v/>
      </c>
      <c r="AN42" s="128"/>
      <c r="AO42" s="117" t="s">
        <v>160</v>
      </c>
      <c r="AP42" s="118" t="n">
        <f aca="false">SUM(R42:Y42)+SUM(AN42)</f>
        <v>25.02708</v>
      </c>
      <c r="AQ42" s="118" t="n">
        <f aca="false">SUM(AF42:AM42)</f>
        <v>0</v>
      </c>
      <c r="AR42" s="118"/>
      <c r="AS42" s="119" t="s">
        <v>482</v>
      </c>
      <c r="AT42" s="119" t="s">
        <v>162</v>
      </c>
    </row>
    <row r="43" customFormat="false" ht="13.5" hidden="false" customHeight="false" outlineLevel="0" collapsed="false">
      <c r="A43" s="129"/>
      <c r="B43" s="172"/>
      <c r="C43" s="110"/>
      <c r="D43" s="122"/>
      <c r="E43" s="122"/>
      <c r="F43" s="173"/>
      <c r="G43" s="123"/>
      <c r="H43" s="101"/>
      <c r="I43" s="123"/>
      <c r="J43" s="101"/>
      <c r="K43" s="124" t="s">
        <v>493</v>
      </c>
      <c r="L43" s="125"/>
      <c r="M43" s="125"/>
      <c r="N43" s="126" t="n">
        <f aca="false">$C$41</f>
        <v>1</v>
      </c>
      <c r="O43" s="126" t="n">
        <v>2</v>
      </c>
      <c r="P43" s="126" t="n">
        <v>16</v>
      </c>
      <c r="Q43" s="127" t="n">
        <f aca="false">6.33+2*50*16/1000</f>
        <v>7.93</v>
      </c>
      <c r="R43" s="105" t="str">
        <f aca="false">IF(P43=6,N43*O43*Q43*0.222*1,IF(P43&gt;6,"",IF(P43&lt;6,"")))</f>
        <v/>
      </c>
      <c r="S43" s="106" t="str">
        <f aca="false">IF(P43=8,N43*O43*Q43*0.395*1,IF(P43&gt;8,"",IF(P43&lt;8,"")))</f>
        <v/>
      </c>
      <c r="T43" s="106" t="str">
        <f aca="false">IF(P43=10,N43*O43*Q43*0.617*1,IF(P43&gt;10,"",IF(P43&lt;10,"")))</f>
        <v/>
      </c>
      <c r="U43" s="106" t="str">
        <f aca="false">IF(P43=12,N43*O43*Q43*0.888*1,IF(P43&gt;12,"",IF(P43&lt;12,"")))</f>
        <v/>
      </c>
      <c r="V43" s="107" t="n">
        <f aca="false">IF(P43=16,N43*O43*Q43*1.578*1,IF(P43&gt;16,"",IF(P43&lt;16,"")))</f>
        <v>25.02708</v>
      </c>
      <c r="W43" s="106" t="str">
        <f aca="false">IF(P43=20,N43*O43*Q43*2.466*1,IF(P43&gt;20,"",IF(P43&lt;20,"")))</f>
        <v/>
      </c>
      <c r="X43" s="106" t="str">
        <f aca="false">IF(P43=25,N43*O43*Q43*3.853*1,IF(P43&gt;25,"",IF(P43&lt;25,"")))</f>
        <v/>
      </c>
      <c r="Y43" s="108" t="str">
        <f aca="false">IF(P43=32,N43*O43*Q43*6.313*1,IF(P43&gt;32,"",IF(P43&lt;32,"")))</f>
        <v/>
      </c>
      <c r="Z43" s="109"/>
      <c r="AA43" s="110" t="str">
        <f aca="false">IF(AC43&gt;0,N43,"")</f>
        <v/>
      </c>
      <c r="AB43" s="111" t="str">
        <f aca="false">IF(AC43&gt;0,O43,"")</f>
        <v/>
      </c>
      <c r="AC43" s="112"/>
      <c r="AD43" s="112"/>
      <c r="AE43" s="113" t="str">
        <f aca="false">IF(AC43&gt;0,P43,"")</f>
        <v/>
      </c>
      <c r="AF43" s="114" t="str">
        <f aca="false">IF(AE43=6,AA43*AB43*AC43*AD43*(AE43/1000)*0.222*1,IF(AE43&gt;6,"",IF(AE43&lt;6,"")))</f>
        <v/>
      </c>
      <c r="AG43" s="107" t="str">
        <f aca="false">IF(AE43=8,AA43*AB43*AC43*AD43*(AE43/1000)*0.395*1,IF(AE43&gt;8,"",IF(AE43&lt;8,"")))</f>
        <v/>
      </c>
      <c r="AH43" s="107" t="str">
        <f aca="false">IF(AE43=10,AA43*AB43*AC43*AD43*(AE43/1000)*0.617*1,IF(AE43&gt;10,"",IF(AE43&lt;10,"")))</f>
        <v/>
      </c>
      <c r="AI43" s="107" t="str">
        <f aca="false">IF(AE43=12,AA43*AB43*AC43*AD43*(AE43/1000)*0.888*1,IF(AE43&gt;12,"",IF(AE43&lt;12,"")))</f>
        <v/>
      </c>
      <c r="AJ43" s="107" t="str">
        <f aca="false">IF(AE43=16,AA43*AB43*AC43*AD43*(AE43/1000)*1.578*1,IF(AE43&gt;16,"",IF(AE43&lt;16,"")))</f>
        <v/>
      </c>
      <c r="AK43" s="107" t="str">
        <f aca="false">IF(AE43=20,AA43*AB43*AC43*AD43*(AE43/1000)*2.466*1,IF(AE43&gt;20,"",IF(AE43&lt;20,"")))</f>
        <v/>
      </c>
      <c r="AL43" s="107" t="str">
        <f aca="false">IF(AE43=25,AA43*AB43*AC43*AD43*(AE43/1000)*3.853*1,IF(AE43&gt;25,"",IF(AE43&lt;25,"")))</f>
        <v/>
      </c>
      <c r="AM43" s="115" t="str">
        <f aca="false">IF(AE43=32,AA43*AB43*AC43*AD43*(AE43/1000)*6.313*1,IF(AE43&gt;32,"",IF(AE43&lt;32,"")))</f>
        <v/>
      </c>
      <c r="AN43" s="128"/>
      <c r="AO43" s="117" t="s">
        <v>160</v>
      </c>
      <c r="AP43" s="118" t="n">
        <f aca="false">SUM(R43:Y43)+SUM(AN43)</f>
        <v>25.02708</v>
      </c>
      <c r="AQ43" s="118" t="n">
        <f aca="false">SUM(AF43:AM43)</f>
        <v>0</v>
      </c>
      <c r="AR43" s="118"/>
      <c r="AS43" s="119" t="s">
        <v>482</v>
      </c>
      <c r="AT43" s="119" t="s">
        <v>162</v>
      </c>
    </row>
    <row r="44" customFormat="false" ht="13.5" hidden="false" customHeight="false" outlineLevel="0" collapsed="false">
      <c r="A44" s="129"/>
      <c r="B44" s="172"/>
      <c r="C44" s="110"/>
      <c r="D44" s="122"/>
      <c r="E44" s="122"/>
      <c r="F44" s="173"/>
      <c r="G44" s="123"/>
      <c r="H44" s="101"/>
      <c r="I44" s="123"/>
      <c r="J44" s="101"/>
      <c r="K44" s="124" t="s">
        <v>486</v>
      </c>
      <c r="L44" s="125" t="n">
        <f aca="false">$F$41</f>
        <v>6.03</v>
      </c>
      <c r="M44" s="125" t="n">
        <v>0.125</v>
      </c>
      <c r="N44" s="126" t="n">
        <f aca="false">$C$41</f>
        <v>1</v>
      </c>
      <c r="O44" s="126" t="n">
        <f aca="false">CEILING(L44/M44,1)+1</f>
        <v>50</v>
      </c>
      <c r="P44" s="126" t="n">
        <v>8</v>
      </c>
      <c r="Q44" s="127" t="n">
        <f aca="false">2*($D$41-2*0.035)+2*($E$41-2*0.035)+20*8/1000</f>
        <v>1.28</v>
      </c>
      <c r="R44" s="105" t="str">
        <f aca="false">IF(P44=6,N44*O44*Q44*0.222*1,IF(P44&gt;6,"",IF(P44&lt;6,"")))</f>
        <v/>
      </c>
      <c r="S44" s="106" t="n">
        <f aca="false">IF(P44=8,N44*O44*Q44*0.395*1,IF(P44&gt;8,"",IF(P44&lt;8,"")))</f>
        <v>25.28</v>
      </c>
      <c r="T44" s="106" t="str">
        <f aca="false">IF(P44=10,N44*O44*Q44*0.617*1,IF(P44&gt;10,"",IF(P44&lt;10,"")))</f>
        <v/>
      </c>
      <c r="U44" s="106" t="str">
        <f aca="false">IF(P44=12,N44*O44*Q44*0.888*1,IF(P44&gt;12,"",IF(P44&lt;12,"")))</f>
        <v/>
      </c>
      <c r="V44" s="107" t="str">
        <f aca="false">IF(P44=16,N44*O44*Q44*1.578*1,IF(P44&gt;16,"",IF(P44&lt;16,"")))</f>
        <v/>
      </c>
      <c r="W44" s="106" t="str">
        <f aca="false">IF(P44=20,N44*O44*Q44*2.466*1,IF(P44&gt;20,"",IF(P44&lt;20,"")))</f>
        <v/>
      </c>
      <c r="X44" s="106" t="str">
        <f aca="false">IF(P44=25,N44*O44*Q44*3.853*1,IF(P44&gt;25,"",IF(P44&lt;25,"")))</f>
        <v/>
      </c>
      <c r="Y44" s="108" t="str">
        <f aca="false">IF(P44=32,N44*O44*Q44*6.313*1,IF(P44&gt;32,"",IF(P44&lt;32,"")))</f>
        <v/>
      </c>
      <c r="Z44" s="109"/>
      <c r="AA44" s="110" t="str">
        <f aca="false">IF(AC44&gt;0,N44,"")</f>
        <v/>
      </c>
      <c r="AB44" s="111" t="str">
        <f aca="false">IF(AC44&gt;0,O44,"")</f>
        <v/>
      </c>
      <c r="AC44" s="112"/>
      <c r="AD44" s="112"/>
      <c r="AE44" s="113" t="str">
        <f aca="false">IF(AC44&gt;0,P44,"")</f>
        <v/>
      </c>
      <c r="AF44" s="114" t="str">
        <f aca="false">IF(AE44=6,AA44*AB44*AC44*AD44*(AE44/1000)*0.222*1,IF(AE44&gt;6,"",IF(AE44&lt;6,"")))</f>
        <v/>
      </c>
      <c r="AG44" s="107" t="str">
        <f aca="false">IF(AE44=8,AA44*AB44*AC44*AD44*(AE44/1000)*0.395*1,IF(AE44&gt;8,"",IF(AE44&lt;8,"")))</f>
        <v/>
      </c>
      <c r="AH44" s="107" t="str">
        <f aca="false">IF(AE44=10,AA44*AB44*AC44*AD44*(AE44/1000)*0.617*1,IF(AE44&gt;10,"",IF(AE44&lt;10,"")))</f>
        <v/>
      </c>
      <c r="AI44" s="107" t="str">
        <f aca="false">IF(AE44=12,AA44*AB44*AC44*AD44*(AE44/1000)*0.888*1,IF(AE44&gt;12,"",IF(AE44&lt;12,"")))</f>
        <v/>
      </c>
      <c r="AJ44" s="107" t="str">
        <f aca="false">IF(AE44=16,AA44*AB44*AC44*AD44*(AE44/1000)*1.578*1,IF(AE44&gt;16,"",IF(AE44&lt;16,"")))</f>
        <v/>
      </c>
      <c r="AK44" s="107" t="str">
        <f aca="false">IF(AE44=20,AA44*AB44*AC44*AD44*(AE44/1000)*2.466*1,IF(AE44&gt;20,"",IF(AE44&lt;20,"")))</f>
        <v/>
      </c>
      <c r="AL44" s="107" t="str">
        <f aca="false">IF(AE44=25,AA44*AB44*AC44*AD44*(AE44/1000)*3.853*1,IF(AE44&gt;25,"",IF(AE44&lt;25,"")))</f>
        <v/>
      </c>
      <c r="AM44" s="115" t="str">
        <f aca="false">IF(AE44=32,AA44*AB44*AC44*AD44*(AE44/1000)*6.313*1,IF(AE44&gt;32,"",IF(AE44&lt;32,"")))</f>
        <v/>
      </c>
      <c r="AN44" s="128"/>
      <c r="AO44" s="117" t="s">
        <v>160</v>
      </c>
      <c r="AP44" s="118" t="n">
        <f aca="false">SUM(R44:Y44)+SUM(AN44)</f>
        <v>25.28</v>
      </c>
      <c r="AQ44" s="118" t="n">
        <f aca="false">SUM(AF44:AM44)</f>
        <v>0</v>
      </c>
      <c r="AR44" s="118"/>
      <c r="AS44" s="119"/>
      <c r="AT44" s="119" t="s">
        <v>162</v>
      </c>
    </row>
    <row r="45" customFormat="false" ht="13.5" hidden="false" customHeight="false" outlineLevel="0" collapsed="false">
      <c r="A45" s="129"/>
      <c r="B45" s="172"/>
      <c r="C45" s="110"/>
      <c r="D45" s="122"/>
      <c r="E45" s="122"/>
      <c r="F45" s="173"/>
      <c r="G45" s="123"/>
      <c r="H45" s="101"/>
      <c r="I45" s="123"/>
      <c r="J45" s="101"/>
      <c r="K45" s="124" t="s">
        <v>501</v>
      </c>
      <c r="L45" s="125" t="n">
        <f aca="false">$F$41</f>
        <v>6.03</v>
      </c>
      <c r="M45" s="125" t="n">
        <v>0.25</v>
      </c>
      <c r="N45" s="126" t="n">
        <f aca="false">$C$41</f>
        <v>1</v>
      </c>
      <c r="O45" s="126" t="n">
        <f aca="false">CEILING(L45/M45,1)+1</f>
        <v>26</v>
      </c>
      <c r="P45" s="126" t="n">
        <v>8</v>
      </c>
      <c r="Q45" s="127" t="n">
        <v>1.026</v>
      </c>
      <c r="R45" s="105" t="str">
        <f aca="false">IF(P45=6,N45*O45*Q45*0.222*1,IF(P45&gt;6,"",IF(P45&lt;6,"")))</f>
        <v/>
      </c>
      <c r="S45" s="106" t="n">
        <f aca="false">IF(P45=8,N45*O45*Q45*0.395*1,IF(P45&gt;8,"",IF(P45&lt;8,"")))</f>
        <v>10.53702</v>
      </c>
      <c r="T45" s="106" t="str">
        <f aca="false">IF(P45=10,N45*O45*Q45*0.617*1,IF(P45&gt;10,"",IF(P45&lt;10,"")))</f>
        <v/>
      </c>
      <c r="U45" s="106" t="str">
        <f aca="false">IF(P45=12,N45*O45*Q45*0.888*1,IF(P45&gt;12,"",IF(P45&lt;12,"")))</f>
        <v/>
      </c>
      <c r="V45" s="107" t="str">
        <f aca="false">IF(P45=16,N45*O45*Q45*1.578*1,IF(P45&gt;16,"",IF(P45&lt;16,"")))</f>
        <v/>
      </c>
      <c r="W45" s="106" t="str">
        <f aca="false">IF(P45=20,N45*O45*Q45*2.466*1,IF(P45&gt;20,"",IF(P45&lt;20,"")))</f>
        <v/>
      </c>
      <c r="X45" s="106" t="str">
        <f aca="false">IF(P45=25,N45*O45*Q45*3.853*1,IF(P45&gt;25,"",IF(P45&lt;25,"")))</f>
        <v/>
      </c>
      <c r="Y45" s="108" t="str">
        <f aca="false">IF(P45=32,N45*O45*Q45*6.313*1,IF(P45&gt;32,"",IF(P45&lt;32,"")))</f>
        <v/>
      </c>
      <c r="Z45" s="109"/>
      <c r="AA45" s="110" t="str">
        <f aca="false">IF(AC45&gt;0,N45,"")</f>
        <v/>
      </c>
      <c r="AB45" s="111" t="str">
        <f aca="false">IF(AC45&gt;0,O45,"")</f>
        <v/>
      </c>
      <c r="AC45" s="112"/>
      <c r="AD45" s="112"/>
      <c r="AE45" s="113" t="str">
        <f aca="false">IF(AC45&gt;0,P45,"")</f>
        <v/>
      </c>
      <c r="AF45" s="114" t="str">
        <f aca="false">IF(AE45=6,AA45*AB45*AC45*AD45*(AE45/1000)*0.222*1,IF(AE45&gt;6,"",IF(AE45&lt;6,"")))</f>
        <v/>
      </c>
      <c r="AG45" s="107" t="str">
        <f aca="false">IF(AE45=8,AA45*AB45*AC45*AD45*(AE45/1000)*0.395*1,IF(AE45&gt;8,"",IF(AE45&lt;8,"")))</f>
        <v/>
      </c>
      <c r="AH45" s="107" t="str">
        <f aca="false">IF(AE45=10,AA45*AB45*AC45*AD45*(AE45/1000)*0.617*1,IF(AE45&gt;10,"",IF(AE45&lt;10,"")))</f>
        <v/>
      </c>
      <c r="AI45" s="107" t="str">
        <f aca="false">IF(AE45=12,AA45*AB45*AC45*AD45*(AE45/1000)*0.888*1,IF(AE45&gt;12,"",IF(AE45&lt;12,"")))</f>
        <v/>
      </c>
      <c r="AJ45" s="107" t="str">
        <f aca="false">IF(AE45=16,AA45*AB45*AC45*AD45*(AE45/1000)*1.578*1,IF(AE45&gt;16,"",IF(AE45&lt;16,"")))</f>
        <v/>
      </c>
      <c r="AK45" s="107" t="str">
        <f aca="false">IF(AE45=20,AA45*AB45*AC45*AD45*(AE45/1000)*2.466*1,IF(AE45&gt;20,"",IF(AE45&lt;20,"")))</f>
        <v/>
      </c>
      <c r="AL45" s="107" t="str">
        <f aca="false">IF(AE45=25,AA45*AB45*AC45*AD45*(AE45/1000)*3.853*1,IF(AE45&gt;25,"",IF(AE45&lt;25,"")))</f>
        <v/>
      </c>
      <c r="AM45" s="115" t="str">
        <f aca="false">IF(AE45=32,AA45*AB45*AC45*AD45*(AE45/1000)*6.313*1,IF(AE45&gt;32,"",IF(AE45&lt;32,"")))</f>
        <v/>
      </c>
      <c r="AN45" s="128"/>
      <c r="AO45" s="117" t="s">
        <v>160</v>
      </c>
      <c r="AP45" s="118" t="n">
        <f aca="false">SUM(R45:Y45)+SUM(AN45)</f>
        <v>10.53702</v>
      </c>
      <c r="AQ45" s="118" t="n">
        <f aca="false">SUM(AF45:AM45)</f>
        <v>0</v>
      </c>
      <c r="AR45" s="118"/>
      <c r="AS45" s="119" t="s">
        <v>502</v>
      </c>
      <c r="AT45" s="119" t="s">
        <v>477</v>
      </c>
    </row>
    <row r="46" customFormat="false" ht="13.5" hidden="false" customHeight="false" outlineLevel="0" collapsed="false">
      <c r="A46" s="129"/>
      <c r="B46" s="130"/>
      <c r="C46" s="110"/>
      <c r="D46" s="122"/>
      <c r="E46" s="122"/>
      <c r="F46" s="122"/>
      <c r="G46" s="123"/>
      <c r="H46" s="101"/>
      <c r="I46" s="123"/>
      <c r="J46" s="101"/>
      <c r="K46" s="124"/>
      <c r="L46" s="125"/>
      <c r="M46" s="125"/>
      <c r="N46" s="126"/>
      <c r="O46" s="126"/>
      <c r="P46" s="126"/>
      <c r="Q46" s="127"/>
      <c r="R46" s="105"/>
      <c r="S46" s="106"/>
      <c r="T46" s="106"/>
      <c r="U46" s="106"/>
      <c r="V46" s="107"/>
      <c r="W46" s="106"/>
      <c r="X46" s="106"/>
      <c r="Y46" s="108"/>
      <c r="Z46" s="109"/>
      <c r="AA46" s="110"/>
      <c r="AB46" s="111"/>
      <c r="AC46" s="112"/>
      <c r="AD46" s="112"/>
      <c r="AE46" s="113"/>
      <c r="AF46" s="114"/>
      <c r="AG46" s="107"/>
      <c r="AH46" s="107"/>
      <c r="AI46" s="107"/>
      <c r="AJ46" s="107"/>
      <c r="AK46" s="107"/>
      <c r="AL46" s="107"/>
      <c r="AM46" s="115"/>
      <c r="AO46" s="117"/>
      <c r="AP46" s="118"/>
      <c r="AQ46" s="118"/>
      <c r="AR46" s="118"/>
      <c r="AS46" s="119"/>
      <c r="AT46" s="119"/>
    </row>
    <row r="47" customFormat="false" ht="13.5" hidden="false" customHeight="false" outlineLevel="0" collapsed="false">
      <c r="A47" s="120"/>
      <c r="B47" s="121" t="s">
        <v>503</v>
      </c>
      <c r="C47" s="110" t="n">
        <v>1</v>
      </c>
      <c r="D47" s="122" t="n">
        <v>0.25</v>
      </c>
      <c r="E47" s="122" t="n">
        <v>0.98</v>
      </c>
      <c r="F47" s="122" t="n">
        <f aca="false">1.1442/(0.25*0.98)</f>
        <v>4.67020408163265</v>
      </c>
      <c r="G47" s="123" t="n">
        <f aca="false">C47*D47*E47*F47</f>
        <v>1.1442</v>
      </c>
      <c r="H47" s="101"/>
      <c r="I47" s="123" t="n">
        <f aca="false">C47*F47*(D47+(E47-0.2)+(E47-0.2))</f>
        <v>8.4530693877551</v>
      </c>
      <c r="J47" s="101"/>
      <c r="K47" s="124"/>
      <c r="L47" s="125"/>
      <c r="M47" s="125"/>
      <c r="N47" s="126"/>
      <c r="O47" s="126"/>
      <c r="P47" s="126"/>
      <c r="Q47" s="127"/>
      <c r="R47" s="105" t="str">
        <f aca="false">IF(P47=6,N47*O47*Q47*0.222*1,IF(P47&gt;6,"",IF(P47&lt;6,"")))</f>
        <v/>
      </c>
      <c r="S47" s="106" t="str">
        <f aca="false">IF(P47=8,N47*O47*Q47*0.395*1,IF(P47&gt;8,"",IF(P47&lt;8,"")))</f>
        <v/>
      </c>
      <c r="T47" s="106" t="str">
        <f aca="false">IF(P47=10,N47*O47*Q47*0.617*1,IF(P47&gt;10,"",IF(P47&lt;10,"")))</f>
        <v/>
      </c>
      <c r="U47" s="106" t="str">
        <f aca="false">IF(P47=12,N47*O47*Q47*0.888*1,IF(P47&gt;12,"",IF(P47&lt;12,"")))</f>
        <v/>
      </c>
      <c r="V47" s="107" t="str">
        <f aca="false">IF(P47=16,N47*O47*Q47*1.578*1,IF(P47&gt;16,"",IF(P47&lt;16,"")))</f>
        <v/>
      </c>
      <c r="W47" s="106" t="str">
        <f aca="false">IF(P47=20,N47*O47*Q47*2.466*1,IF(P47&gt;20,"",IF(P47&lt;20,"")))</f>
        <v/>
      </c>
      <c r="X47" s="106" t="str">
        <f aca="false">IF(P47=25,N47*O47*Q47*3.853*1,IF(P47&gt;25,"",IF(P47&lt;25,"")))</f>
        <v/>
      </c>
      <c r="Y47" s="108" t="str">
        <f aca="false">IF(P47=32,N47*O47*Q47*6.313*1,IF(P47&gt;32,"",IF(P47&lt;32,"")))</f>
        <v/>
      </c>
      <c r="Z47" s="109"/>
      <c r="AA47" s="110" t="str">
        <f aca="false">IF(AC47&gt;0,N47,"")</f>
        <v/>
      </c>
      <c r="AB47" s="111" t="str">
        <f aca="false">IF(AC47&gt;0,O47,"")</f>
        <v/>
      </c>
      <c r="AC47" s="112"/>
      <c r="AD47" s="112"/>
      <c r="AE47" s="113" t="str">
        <f aca="false">IF(AC47&gt;0,P47,"")</f>
        <v/>
      </c>
      <c r="AF47" s="114" t="str">
        <f aca="false">IF(AE47=6,AA47*AB47*AC47*AD47*(AE47/1000)*0.222*1,IF(AE47&gt;6,"",IF(AE47&lt;6,"")))</f>
        <v/>
      </c>
      <c r="AG47" s="107" t="str">
        <f aca="false">IF(AE47=8,AA47*AB47*AC47*AD47*(AE47/1000)*0.395*1,IF(AE47&gt;8,"",IF(AE47&lt;8,"")))</f>
        <v/>
      </c>
      <c r="AH47" s="107" t="str">
        <f aca="false">IF(AE47=10,AA47*AB47*AC47*AD47*(AE47/1000)*0.617*1,IF(AE47&gt;10,"",IF(AE47&lt;10,"")))</f>
        <v/>
      </c>
      <c r="AI47" s="107" t="str">
        <f aca="false">IF(AE47=12,AA47*AB47*AC47*AD47*(AE47/1000)*0.888*1,IF(AE47&gt;12,"",IF(AE47&lt;12,"")))</f>
        <v/>
      </c>
      <c r="AJ47" s="107" t="str">
        <f aca="false">IF(AE47=16,AA47*AB47*AC47*AD47*(AE47/1000)*1.578*1,IF(AE47&gt;16,"",IF(AE47&lt;16,"")))</f>
        <v/>
      </c>
      <c r="AK47" s="107" t="str">
        <f aca="false">IF(AE47=20,AA47*AB47*AC47*AD47*(AE47/1000)*2.466*1,IF(AE47&gt;20,"",IF(AE47&lt;20,"")))</f>
        <v/>
      </c>
      <c r="AL47" s="107" t="str">
        <f aca="false">IF(AE47=25,AA47*AB47*AC47*AD47*(AE47/1000)*3.853*1,IF(AE47&gt;25,"",IF(AE47&lt;25,"")))</f>
        <v/>
      </c>
      <c r="AM47" s="115" t="str">
        <f aca="false">IF(AE47=32,AA47*AB47*AC47*AD47*(AE47/1000)*6.313*1,IF(AE47&gt;32,"",IF(AE47&lt;32,"")))</f>
        <v/>
      </c>
      <c r="AN47" s="128"/>
      <c r="AO47" s="117" t="s">
        <v>160</v>
      </c>
      <c r="AP47" s="118" t="n">
        <f aca="false">SUM(R47:Y47)+SUM(AN47)</f>
        <v>0</v>
      </c>
      <c r="AQ47" s="118" t="n">
        <f aca="false">SUM(AF47:AM47)</f>
        <v>0</v>
      </c>
      <c r="AR47" s="118" t="n">
        <v>1.1442</v>
      </c>
      <c r="AS47" s="119" t="s">
        <v>504</v>
      </c>
      <c r="AT47" s="119" t="s">
        <v>209</v>
      </c>
    </row>
    <row r="48" customFormat="false" ht="13.5" hidden="false" customHeight="false" outlineLevel="0" collapsed="false">
      <c r="A48" s="129"/>
      <c r="B48" s="172"/>
      <c r="C48" s="110"/>
      <c r="D48" s="122"/>
      <c r="E48" s="122"/>
      <c r="F48" s="173"/>
      <c r="G48" s="123"/>
      <c r="H48" s="101"/>
      <c r="I48" s="123"/>
      <c r="J48" s="101"/>
      <c r="K48" s="124" t="s">
        <v>481</v>
      </c>
      <c r="L48" s="125"/>
      <c r="M48" s="125"/>
      <c r="N48" s="126" t="n">
        <f aca="false">$C$47</f>
        <v>1</v>
      </c>
      <c r="O48" s="126" t="n">
        <v>3</v>
      </c>
      <c r="P48" s="126" t="n">
        <v>20</v>
      </c>
      <c r="Q48" s="127" t="n">
        <f aca="false">4.67+2*50*20/1000</f>
        <v>6.67</v>
      </c>
      <c r="R48" s="105" t="str">
        <f aca="false">IF(P48=6,N48*O48*Q48*0.222*1,IF(P48&gt;6,"",IF(P48&lt;6,"")))</f>
        <v/>
      </c>
      <c r="S48" s="106" t="str">
        <f aca="false">IF(P48=8,N48*O48*Q48*0.395*1,IF(P48&gt;8,"",IF(P48&lt;8,"")))</f>
        <v/>
      </c>
      <c r="T48" s="106" t="str">
        <f aca="false">IF(P48=10,N48*O48*Q48*0.617*1,IF(P48&gt;10,"",IF(P48&lt;10,"")))</f>
        <v/>
      </c>
      <c r="U48" s="106" t="str">
        <f aca="false">IF(P48=12,N48*O48*Q48*0.888*1,IF(P48&gt;12,"",IF(P48&lt;12,"")))</f>
        <v/>
      </c>
      <c r="V48" s="107" t="str">
        <f aca="false">IF(P48=16,N48*O48*Q48*1.578*1,IF(P48&gt;16,"",IF(P48&lt;16,"")))</f>
        <v/>
      </c>
      <c r="W48" s="106" t="n">
        <f aca="false">IF(P48=20,N48*O48*Q48*2.466*1,IF(P48&gt;20,"",IF(P48&lt;20,"")))</f>
        <v>49.34466</v>
      </c>
      <c r="X48" s="106" t="str">
        <f aca="false">IF(P48=25,N48*O48*Q48*3.853*1,IF(P48&gt;25,"",IF(P48&lt;25,"")))</f>
        <v/>
      </c>
      <c r="Y48" s="108" t="str">
        <f aca="false">IF(P48=32,N48*O48*Q48*6.313*1,IF(P48&gt;32,"",IF(P48&lt;32,"")))</f>
        <v/>
      </c>
      <c r="Z48" s="109"/>
      <c r="AA48" s="110" t="str">
        <f aca="false">IF(AC48&gt;0,N48,"")</f>
        <v/>
      </c>
      <c r="AB48" s="111" t="str">
        <f aca="false">IF(AC48&gt;0,O48,"")</f>
        <v/>
      </c>
      <c r="AC48" s="112"/>
      <c r="AD48" s="112"/>
      <c r="AE48" s="113" t="str">
        <f aca="false">IF(AC48&gt;0,P48,"")</f>
        <v/>
      </c>
      <c r="AF48" s="114" t="str">
        <f aca="false">IF(AE48=6,AA48*AB48*AC48*AD48*(AE48/1000)*0.222*1,IF(AE48&gt;6,"",IF(AE48&lt;6,"")))</f>
        <v/>
      </c>
      <c r="AG48" s="107" t="str">
        <f aca="false">IF(AE48=8,AA48*AB48*AC48*AD48*(AE48/1000)*0.395*1,IF(AE48&gt;8,"",IF(AE48&lt;8,"")))</f>
        <v/>
      </c>
      <c r="AH48" s="107" t="str">
        <f aca="false">IF(AE48=10,AA48*AB48*AC48*AD48*(AE48/1000)*0.617*1,IF(AE48&gt;10,"",IF(AE48&lt;10,"")))</f>
        <v/>
      </c>
      <c r="AI48" s="107" t="str">
        <f aca="false">IF(AE48=12,AA48*AB48*AC48*AD48*(AE48/1000)*0.888*1,IF(AE48&gt;12,"",IF(AE48&lt;12,"")))</f>
        <v/>
      </c>
      <c r="AJ48" s="107" t="str">
        <f aca="false">IF(AE48=16,AA48*AB48*AC48*AD48*(AE48/1000)*1.578*1,IF(AE48&gt;16,"",IF(AE48&lt;16,"")))</f>
        <v/>
      </c>
      <c r="AK48" s="107" t="str">
        <f aca="false">IF(AE48=20,AA48*AB48*AC48*AD48*(AE48/1000)*2.466*1,IF(AE48&gt;20,"",IF(AE48&lt;20,"")))</f>
        <v/>
      </c>
      <c r="AL48" s="107" t="str">
        <f aca="false">IF(AE48=25,AA48*AB48*AC48*AD48*(AE48/1000)*3.853*1,IF(AE48&gt;25,"",IF(AE48&lt;25,"")))</f>
        <v/>
      </c>
      <c r="AM48" s="115" t="str">
        <f aca="false">IF(AE48=32,AA48*AB48*AC48*AD48*(AE48/1000)*6.313*1,IF(AE48&gt;32,"",IF(AE48&lt;32,"")))</f>
        <v/>
      </c>
      <c r="AN48" s="128"/>
      <c r="AO48" s="117" t="s">
        <v>160</v>
      </c>
      <c r="AP48" s="118" t="n">
        <f aca="false">SUM(R48:Y48)+SUM(AN48)</f>
        <v>49.34466</v>
      </c>
      <c r="AQ48" s="118" t="n">
        <f aca="false">SUM(AF48:AM48)</f>
        <v>0</v>
      </c>
      <c r="AR48" s="118"/>
      <c r="AS48" s="119" t="s">
        <v>482</v>
      </c>
      <c r="AT48" s="119" t="s">
        <v>162</v>
      </c>
    </row>
    <row r="49" customFormat="false" ht="13.5" hidden="false" customHeight="false" outlineLevel="0" collapsed="false">
      <c r="A49" s="129"/>
      <c r="B49" s="172"/>
      <c r="C49" s="110"/>
      <c r="D49" s="122"/>
      <c r="E49" s="122"/>
      <c r="F49" s="173"/>
      <c r="G49" s="123"/>
      <c r="H49" s="101"/>
      <c r="I49" s="123"/>
      <c r="J49" s="101"/>
      <c r="K49" s="124" t="s">
        <v>484</v>
      </c>
      <c r="L49" s="125"/>
      <c r="M49" s="125"/>
      <c r="N49" s="126" t="n">
        <f aca="false">$C$47</f>
        <v>1</v>
      </c>
      <c r="O49" s="126" t="n">
        <v>3</v>
      </c>
      <c r="P49" s="126" t="n">
        <v>20</v>
      </c>
      <c r="Q49" s="127" t="n">
        <f aca="false">4.67+2*50*20/1000</f>
        <v>6.67</v>
      </c>
      <c r="R49" s="105" t="str">
        <f aca="false">IF(P49=6,N49*O49*Q49*0.222*1,IF(P49&gt;6,"",IF(P49&lt;6,"")))</f>
        <v/>
      </c>
      <c r="S49" s="106" t="str">
        <f aca="false">IF(P49=8,N49*O49*Q49*0.395*1,IF(P49&gt;8,"",IF(P49&lt;8,"")))</f>
        <v/>
      </c>
      <c r="T49" s="106" t="str">
        <f aca="false">IF(P49=10,N49*O49*Q49*0.617*1,IF(P49&gt;10,"",IF(P49&lt;10,"")))</f>
        <v/>
      </c>
      <c r="U49" s="106" t="str">
        <f aca="false">IF(P49=12,N49*O49*Q49*0.888*1,IF(P49&gt;12,"",IF(P49&lt;12,"")))</f>
        <v/>
      </c>
      <c r="V49" s="107" t="str">
        <f aca="false">IF(P49=16,N49*O49*Q49*1.578*1,IF(P49&gt;16,"",IF(P49&lt;16,"")))</f>
        <v/>
      </c>
      <c r="W49" s="106" t="n">
        <f aca="false">IF(P49=20,N49*O49*Q49*2.466*1,IF(P49&gt;20,"",IF(P49&lt;20,"")))</f>
        <v>49.34466</v>
      </c>
      <c r="X49" s="106" t="str">
        <f aca="false">IF(P49=25,N49*O49*Q49*3.853*1,IF(P49&gt;25,"",IF(P49&lt;25,"")))</f>
        <v/>
      </c>
      <c r="Y49" s="108" t="str">
        <f aca="false">IF(P49=32,N49*O49*Q49*6.313*1,IF(P49&gt;32,"",IF(P49&lt;32,"")))</f>
        <v/>
      </c>
      <c r="Z49" s="109"/>
      <c r="AA49" s="110" t="str">
        <f aca="false">IF(AC49&gt;0,N49,"")</f>
        <v/>
      </c>
      <c r="AB49" s="111" t="str">
        <f aca="false">IF(AC49&gt;0,O49,"")</f>
        <v/>
      </c>
      <c r="AC49" s="112"/>
      <c r="AD49" s="112"/>
      <c r="AE49" s="113" t="str">
        <f aca="false">IF(AC49&gt;0,P49,"")</f>
        <v/>
      </c>
      <c r="AF49" s="114" t="str">
        <f aca="false">IF(AE49=6,AA49*AB49*AC49*AD49*(AE49/1000)*0.222*1,IF(AE49&gt;6,"",IF(AE49&lt;6,"")))</f>
        <v/>
      </c>
      <c r="AG49" s="107" t="str">
        <f aca="false">IF(AE49=8,AA49*AB49*AC49*AD49*(AE49/1000)*0.395*1,IF(AE49&gt;8,"",IF(AE49&lt;8,"")))</f>
        <v/>
      </c>
      <c r="AH49" s="107" t="str">
        <f aca="false">IF(AE49=10,AA49*AB49*AC49*AD49*(AE49/1000)*0.617*1,IF(AE49&gt;10,"",IF(AE49&lt;10,"")))</f>
        <v/>
      </c>
      <c r="AI49" s="107" t="str">
        <f aca="false">IF(AE49=12,AA49*AB49*AC49*AD49*(AE49/1000)*0.888*1,IF(AE49&gt;12,"",IF(AE49&lt;12,"")))</f>
        <v/>
      </c>
      <c r="AJ49" s="107" t="str">
        <f aca="false">IF(AE49=16,AA49*AB49*AC49*AD49*(AE49/1000)*1.578*1,IF(AE49&gt;16,"",IF(AE49&lt;16,"")))</f>
        <v/>
      </c>
      <c r="AK49" s="107" t="str">
        <f aca="false">IF(AE49=20,AA49*AB49*AC49*AD49*(AE49/1000)*2.466*1,IF(AE49&gt;20,"",IF(AE49&lt;20,"")))</f>
        <v/>
      </c>
      <c r="AL49" s="107" t="str">
        <f aca="false">IF(AE49=25,AA49*AB49*AC49*AD49*(AE49/1000)*3.853*1,IF(AE49&gt;25,"",IF(AE49&lt;25,"")))</f>
        <v/>
      </c>
      <c r="AM49" s="115" t="str">
        <f aca="false">IF(AE49=32,AA49*AB49*AC49*AD49*(AE49/1000)*6.313*1,IF(AE49&gt;32,"",IF(AE49&lt;32,"")))</f>
        <v/>
      </c>
      <c r="AN49" s="128"/>
      <c r="AO49" s="117" t="s">
        <v>160</v>
      </c>
      <c r="AP49" s="118" t="n">
        <f aca="false">SUM(R49:Y49)+SUM(AN49)</f>
        <v>49.34466</v>
      </c>
      <c r="AQ49" s="118" t="n">
        <f aca="false">SUM(AF49:AM49)</f>
        <v>0</v>
      </c>
      <c r="AR49" s="118"/>
      <c r="AS49" s="119" t="s">
        <v>482</v>
      </c>
      <c r="AT49" s="119" t="s">
        <v>162</v>
      </c>
    </row>
    <row r="50" customFormat="false" ht="13.5" hidden="false" customHeight="false" outlineLevel="0" collapsed="false">
      <c r="A50" s="129"/>
      <c r="B50" s="172"/>
      <c r="C50" s="110"/>
      <c r="D50" s="122"/>
      <c r="E50" s="122"/>
      <c r="F50" s="173"/>
      <c r="G50" s="123"/>
      <c r="H50" s="101"/>
      <c r="I50" s="123"/>
      <c r="J50" s="101"/>
      <c r="K50" s="124" t="s">
        <v>486</v>
      </c>
      <c r="L50" s="125" t="n">
        <f aca="false">$F$47</f>
        <v>4.67020408163265</v>
      </c>
      <c r="M50" s="125" t="n">
        <v>0.125</v>
      </c>
      <c r="N50" s="126" t="n">
        <f aca="false">$C$47</f>
        <v>1</v>
      </c>
      <c r="O50" s="126" t="n">
        <f aca="false">CEILING(L50/M50,1)+1</f>
        <v>39</v>
      </c>
      <c r="P50" s="126" t="n">
        <v>8</v>
      </c>
      <c r="Q50" s="127" t="n">
        <f aca="false">2*($D$47-2*0.035)+2*($E$47-2*0.035)+20*8/1000</f>
        <v>2.34</v>
      </c>
      <c r="R50" s="105" t="str">
        <f aca="false">IF(P50=6,N50*O50*Q50*0.222*1,IF(P50&gt;6,"",IF(P50&lt;6,"")))</f>
        <v/>
      </c>
      <c r="S50" s="106" t="n">
        <f aca="false">IF(P50=8,N50*O50*Q50*0.395*1,IF(P50&gt;8,"",IF(P50&lt;8,"")))</f>
        <v>36.0477</v>
      </c>
      <c r="T50" s="106" t="str">
        <f aca="false">IF(P50=10,N50*O50*Q50*0.617*1,IF(P50&gt;10,"",IF(P50&lt;10,"")))</f>
        <v/>
      </c>
      <c r="U50" s="106" t="str">
        <f aca="false">IF(P50=12,N50*O50*Q50*0.888*1,IF(P50&gt;12,"",IF(P50&lt;12,"")))</f>
        <v/>
      </c>
      <c r="V50" s="107" t="str">
        <f aca="false">IF(P50=16,N50*O50*Q50*1.578*1,IF(P50&gt;16,"",IF(P50&lt;16,"")))</f>
        <v/>
      </c>
      <c r="W50" s="106" t="str">
        <f aca="false">IF(P50=20,N50*O50*Q50*2.466*1,IF(P50&gt;20,"",IF(P50&lt;20,"")))</f>
        <v/>
      </c>
      <c r="X50" s="106" t="str">
        <f aca="false">IF(P50=25,N50*O50*Q50*3.853*1,IF(P50&gt;25,"",IF(P50&lt;25,"")))</f>
        <v/>
      </c>
      <c r="Y50" s="108" t="str">
        <f aca="false">IF(P50=32,N50*O50*Q50*6.313*1,IF(P50&gt;32,"",IF(P50&lt;32,"")))</f>
        <v/>
      </c>
      <c r="Z50" s="109"/>
      <c r="AA50" s="110" t="str">
        <f aca="false">IF(AC50&gt;0,N50,"")</f>
        <v/>
      </c>
      <c r="AB50" s="111" t="str">
        <f aca="false">IF(AC50&gt;0,O50,"")</f>
        <v/>
      </c>
      <c r="AC50" s="112"/>
      <c r="AD50" s="112"/>
      <c r="AE50" s="113" t="str">
        <f aca="false">IF(AC50&gt;0,P50,"")</f>
        <v/>
      </c>
      <c r="AF50" s="114" t="str">
        <f aca="false">IF(AE50=6,AA50*AB50*AC50*AD50*(AE50/1000)*0.222*1,IF(AE50&gt;6,"",IF(AE50&lt;6,"")))</f>
        <v/>
      </c>
      <c r="AG50" s="107" t="str">
        <f aca="false">IF(AE50=8,AA50*AB50*AC50*AD50*(AE50/1000)*0.395*1,IF(AE50&gt;8,"",IF(AE50&lt;8,"")))</f>
        <v/>
      </c>
      <c r="AH50" s="107" t="str">
        <f aca="false">IF(AE50=10,AA50*AB50*AC50*AD50*(AE50/1000)*0.617*1,IF(AE50&gt;10,"",IF(AE50&lt;10,"")))</f>
        <v/>
      </c>
      <c r="AI50" s="107" t="str">
        <f aca="false">IF(AE50=12,AA50*AB50*AC50*AD50*(AE50/1000)*0.888*1,IF(AE50&gt;12,"",IF(AE50&lt;12,"")))</f>
        <v/>
      </c>
      <c r="AJ50" s="107" t="str">
        <f aca="false">IF(AE50=16,AA50*AB50*AC50*AD50*(AE50/1000)*1.578*1,IF(AE50&gt;16,"",IF(AE50&lt;16,"")))</f>
        <v/>
      </c>
      <c r="AK50" s="107" t="str">
        <f aca="false">IF(AE50=20,AA50*AB50*AC50*AD50*(AE50/1000)*2.466*1,IF(AE50&gt;20,"",IF(AE50&lt;20,"")))</f>
        <v/>
      </c>
      <c r="AL50" s="107" t="str">
        <f aca="false">IF(AE50=25,AA50*AB50*AC50*AD50*(AE50/1000)*3.853*1,IF(AE50&gt;25,"",IF(AE50&lt;25,"")))</f>
        <v/>
      </c>
      <c r="AM50" s="115" t="str">
        <f aca="false">IF(AE50=32,AA50*AB50*AC50*AD50*(AE50/1000)*6.313*1,IF(AE50&gt;32,"",IF(AE50&lt;32,"")))</f>
        <v/>
      </c>
      <c r="AN50" s="128"/>
      <c r="AO50" s="117" t="s">
        <v>160</v>
      </c>
      <c r="AP50" s="118" t="n">
        <f aca="false">SUM(R50:Y50)+SUM(AN50)</f>
        <v>36.0477</v>
      </c>
      <c r="AQ50" s="118" t="n">
        <f aca="false">SUM(AF50:AM50)</f>
        <v>0</v>
      </c>
      <c r="AR50" s="118"/>
      <c r="AS50" s="119"/>
      <c r="AT50" s="119" t="s">
        <v>162</v>
      </c>
    </row>
    <row r="51" customFormat="false" ht="13.5" hidden="false" customHeight="false" outlineLevel="0" collapsed="false">
      <c r="A51" s="129"/>
      <c r="B51" s="172"/>
      <c r="C51" s="110"/>
      <c r="D51" s="122"/>
      <c r="E51" s="122"/>
      <c r="F51" s="173"/>
      <c r="G51" s="123"/>
      <c r="H51" s="101"/>
      <c r="I51" s="123"/>
      <c r="J51" s="101"/>
      <c r="K51" s="124" t="s">
        <v>505</v>
      </c>
      <c r="L51" s="125"/>
      <c r="M51" s="125"/>
      <c r="N51" s="126" t="n">
        <f aca="false">2*$C$47</f>
        <v>2</v>
      </c>
      <c r="O51" s="126" t="n">
        <f aca="false">CEILING(($E$47-2*0.035)/0.15,1)-1</f>
        <v>6</v>
      </c>
      <c r="P51" s="126" t="n">
        <v>10</v>
      </c>
      <c r="Q51" s="127" t="n">
        <f aca="false">4.67+2*10*10/1000</f>
        <v>4.87</v>
      </c>
      <c r="R51" s="105" t="str">
        <f aca="false">IF(P51=6,N51*O51*Q51*0.222*1,IF(P51&gt;6,"",IF(P51&lt;6,"")))</f>
        <v/>
      </c>
      <c r="S51" s="106" t="str">
        <f aca="false">IF(P51=8,N51*O51*Q51*0.395*1,IF(P51&gt;8,"",IF(P51&lt;8,"")))</f>
        <v/>
      </c>
      <c r="T51" s="106" t="n">
        <f aca="false">IF(P51=10,N51*O51*Q51*0.617*1,IF(P51&gt;10,"",IF(P51&lt;10,"")))</f>
        <v>36.05748</v>
      </c>
      <c r="U51" s="106" t="str">
        <f aca="false">IF(P51=12,N51*O51*Q51*0.888*1,IF(P51&gt;12,"",IF(P51&lt;12,"")))</f>
        <v/>
      </c>
      <c r="V51" s="107" t="str">
        <f aca="false">IF(P51=16,N51*O51*Q51*1.578*1,IF(P51&gt;16,"",IF(P51&lt;16,"")))</f>
        <v/>
      </c>
      <c r="W51" s="106" t="str">
        <f aca="false">IF(P51=20,N51*O51*Q51*2.466*1,IF(P51&gt;20,"",IF(P51&lt;20,"")))</f>
        <v/>
      </c>
      <c r="X51" s="106" t="str">
        <f aca="false">IF(P51=25,N51*O51*Q51*3.853*1,IF(P51&gt;25,"",IF(P51&lt;25,"")))</f>
        <v/>
      </c>
      <c r="Y51" s="108" t="str">
        <f aca="false">IF(P51=32,N51*O51*Q51*6.313*1,IF(P51&gt;32,"",IF(P51&lt;32,"")))</f>
        <v/>
      </c>
      <c r="Z51" s="109"/>
      <c r="AA51" s="110" t="str">
        <f aca="false">IF(AC51&gt;0,N51,"")</f>
        <v/>
      </c>
      <c r="AB51" s="111" t="str">
        <f aca="false">IF(AC51&gt;0,O51,"")</f>
        <v/>
      </c>
      <c r="AC51" s="112"/>
      <c r="AD51" s="112"/>
      <c r="AE51" s="113" t="str">
        <f aca="false">IF(AC51&gt;0,P51,"")</f>
        <v/>
      </c>
      <c r="AF51" s="114" t="str">
        <f aca="false">IF(AE51=6,AA51*AB51*AC51*AD51*(AE51/1000)*0.222*1,IF(AE51&gt;6,"",IF(AE51&lt;6,"")))</f>
        <v/>
      </c>
      <c r="AG51" s="107" t="str">
        <f aca="false">IF(AE51=8,AA51*AB51*AC51*AD51*(AE51/1000)*0.395*1,IF(AE51&gt;8,"",IF(AE51&lt;8,"")))</f>
        <v/>
      </c>
      <c r="AH51" s="107" t="str">
        <f aca="false">IF(AE51=10,AA51*AB51*AC51*AD51*(AE51/1000)*0.617*1,IF(AE51&gt;10,"",IF(AE51&lt;10,"")))</f>
        <v/>
      </c>
      <c r="AI51" s="107" t="str">
        <f aca="false">IF(AE51=12,AA51*AB51*AC51*AD51*(AE51/1000)*0.888*1,IF(AE51&gt;12,"",IF(AE51&lt;12,"")))</f>
        <v/>
      </c>
      <c r="AJ51" s="107" t="str">
        <f aca="false">IF(AE51=16,AA51*AB51*AC51*AD51*(AE51/1000)*1.578*1,IF(AE51&gt;16,"",IF(AE51&lt;16,"")))</f>
        <v/>
      </c>
      <c r="AK51" s="107" t="str">
        <f aca="false">IF(AE51=20,AA51*AB51*AC51*AD51*(AE51/1000)*2.466*1,IF(AE51&gt;20,"",IF(AE51&lt;20,"")))</f>
        <v/>
      </c>
      <c r="AL51" s="107" t="str">
        <f aca="false">IF(AE51=25,AA51*AB51*AC51*AD51*(AE51/1000)*3.853*1,IF(AE51&gt;25,"",IF(AE51&lt;25,"")))</f>
        <v/>
      </c>
      <c r="AM51" s="115" t="str">
        <f aca="false">IF(AE51=32,AA51*AB51*AC51*AD51*(AE51/1000)*6.313*1,IF(AE51&gt;32,"",IF(AE51&lt;32,"")))</f>
        <v/>
      </c>
      <c r="AN51" s="128"/>
      <c r="AO51" s="117" t="s">
        <v>160</v>
      </c>
      <c r="AP51" s="118" t="n">
        <f aca="false">SUM(R51:Y51)+SUM(AN51)</f>
        <v>36.05748</v>
      </c>
      <c r="AQ51" s="118" t="n">
        <f aca="false">SUM(AF51:AM51)</f>
        <v>0</v>
      </c>
      <c r="AR51" s="118"/>
      <c r="AS51" s="119" t="s">
        <v>506</v>
      </c>
      <c r="AT51" s="119" t="s">
        <v>162</v>
      </c>
    </row>
    <row r="52" customFormat="false" ht="13.5" hidden="false" customHeight="false" outlineLevel="0" collapsed="false">
      <c r="A52" s="129"/>
      <c r="B52" s="130"/>
      <c r="C52" s="110"/>
      <c r="D52" s="122"/>
      <c r="E52" s="122"/>
      <c r="F52" s="122"/>
      <c r="G52" s="123"/>
      <c r="H52" s="101"/>
      <c r="I52" s="123"/>
      <c r="J52" s="101"/>
      <c r="K52" s="124"/>
      <c r="L52" s="125"/>
      <c r="M52" s="125"/>
      <c r="N52" s="126"/>
      <c r="O52" s="126"/>
      <c r="P52" s="126"/>
      <c r="Q52" s="127"/>
      <c r="R52" s="105"/>
      <c r="S52" s="106"/>
      <c r="T52" s="106"/>
      <c r="U52" s="106"/>
      <c r="V52" s="107"/>
      <c r="W52" s="106"/>
      <c r="X52" s="106"/>
      <c r="Y52" s="108"/>
      <c r="Z52" s="109"/>
      <c r="AA52" s="110"/>
      <c r="AB52" s="111"/>
      <c r="AC52" s="112"/>
      <c r="AD52" s="112"/>
      <c r="AE52" s="113"/>
      <c r="AF52" s="114"/>
      <c r="AG52" s="107"/>
      <c r="AH52" s="107"/>
      <c r="AI52" s="107"/>
      <c r="AJ52" s="107"/>
      <c r="AK52" s="107"/>
      <c r="AL52" s="107"/>
      <c r="AM52" s="115"/>
      <c r="AO52" s="117"/>
      <c r="AP52" s="118"/>
      <c r="AQ52" s="118"/>
      <c r="AR52" s="118"/>
      <c r="AS52" s="119"/>
      <c r="AT52" s="119"/>
    </row>
    <row r="53" customFormat="false" ht="13.5" hidden="false" customHeight="false" outlineLevel="0" collapsed="false">
      <c r="A53" s="120"/>
      <c r="B53" s="121" t="s">
        <v>507</v>
      </c>
      <c r="C53" s="110" t="n">
        <v>1</v>
      </c>
      <c r="D53" s="122" t="n">
        <v>0.25</v>
      </c>
      <c r="E53" s="122" t="n">
        <v>0.5</v>
      </c>
      <c r="F53" s="122" t="n">
        <f aca="false">1.1756/(0.25*0.5)</f>
        <v>9.4048</v>
      </c>
      <c r="G53" s="123" t="n">
        <f aca="false">C53*D53*E53*F53</f>
        <v>1.1756</v>
      </c>
      <c r="H53" s="101"/>
      <c r="I53" s="123" t="n">
        <f aca="false">C53*F53*(D53+(E53-0.2)+(E53))</f>
        <v>9.87504</v>
      </c>
      <c r="J53" s="101"/>
      <c r="K53" s="124"/>
      <c r="L53" s="125"/>
      <c r="M53" s="125"/>
      <c r="N53" s="126"/>
      <c r="O53" s="126"/>
      <c r="P53" s="126"/>
      <c r="Q53" s="127"/>
      <c r="R53" s="105" t="str">
        <f aca="false">IF(P53=6,N53*O53*Q53*0.222*1,IF(P53&gt;6,"",IF(P53&lt;6,"")))</f>
        <v/>
      </c>
      <c r="S53" s="106" t="str">
        <f aca="false">IF(P53=8,N53*O53*Q53*0.395*1,IF(P53&gt;8,"",IF(P53&lt;8,"")))</f>
        <v/>
      </c>
      <c r="T53" s="106" t="str">
        <f aca="false">IF(P53=10,N53*O53*Q53*0.617*1,IF(P53&gt;10,"",IF(P53&lt;10,"")))</f>
        <v/>
      </c>
      <c r="U53" s="106" t="str">
        <f aca="false">IF(P53=12,N53*O53*Q53*0.888*1,IF(P53&gt;12,"",IF(P53&lt;12,"")))</f>
        <v/>
      </c>
      <c r="V53" s="107" t="str">
        <f aca="false">IF(P53=16,N53*O53*Q53*1.578*1,IF(P53&gt;16,"",IF(P53&lt;16,"")))</f>
        <v/>
      </c>
      <c r="W53" s="106" t="str">
        <f aca="false">IF(P53=20,N53*O53*Q53*2.466*1,IF(P53&gt;20,"",IF(P53&lt;20,"")))</f>
        <v/>
      </c>
      <c r="X53" s="106" t="str">
        <f aca="false">IF(P53=25,N53*O53*Q53*3.853*1,IF(P53&gt;25,"",IF(P53&lt;25,"")))</f>
        <v/>
      </c>
      <c r="Y53" s="108" t="str">
        <f aca="false">IF(P53=32,N53*O53*Q53*6.313*1,IF(P53&gt;32,"",IF(P53&lt;32,"")))</f>
        <v/>
      </c>
      <c r="Z53" s="109"/>
      <c r="AA53" s="110" t="str">
        <f aca="false">IF(AC53&gt;0,N53,"")</f>
        <v/>
      </c>
      <c r="AB53" s="111" t="str">
        <f aca="false">IF(AC53&gt;0,O53,"")</f>
        <v/>
      </c>
      <c r="AC53" s="112"/>
      <c r="AD53" s="112"/>
      <c r="AE53" s="113" t="str">
        <f aca="false">IF(AC53&gt;0,P53,"")</f>
        <v/>
      </c>
      <c r="AF53" s="114" t="str">
        <f aca="false">IF(AE53=6,AA53*AB53*AC53*AD53*(AE53/1000)*0.222*1,IF(AE53&gt;6,"",IF(AE53&lt;6,"")))</f>
        <v/>
      </c>
      <c r="AG53" s="107" t="str">
        <f aca="false">IF(AE53=8,AA53*AB53*AC53*AD53*(AE53/1000)*0.395*1,IF(AE53&gt;8,"",IF(AE53&lt;8,"")))</f>
        <v/>
      </c>
      <c r="AH53" s="107" t="str">
        <f aca="false">IF(AE53=10,AA53*AB53*AC53*AD53*(AE53/1000)*0.617*1,IF(AE53&gt;10,"",IF(AE53&lt;10,"")))</f>
        <v/>
      </c>
      <c r="AI53" s="107" t="str">
        <f aca="false">IF(AE53=12,AA53*AB53*AC53*AD53*(AE53/1000)*0.888*1,IF(AE53&gt;12,"",IF(AE53&lt;12,"")))</f>
        <v/>
      </c>
      <c r="AJ53" s="107" t="str">
        <f aca="false">IF(AE53=16,AA53*AB53*AC53*AD53*(AE53/1000)*1.578*1,IF(AE53&gt;16,"",IF(AE53&lt;16,"")))</f>
        <v/>
      </c>
      <c r="AK53" s="107" t="str">
        <f aca="false">IF(AE53=20,AA53*AB53*AC53*AD53*(AE53/1000)*2.466*1,IF(AE53&gt;20,"",IF(AE53&lt;20,"")))</f>
        <v/>
      </c>
      <c r="AL53" s="107" t="str">
        <f aca="false">IF(AE53=25,AA53*AB53*AC53*AD53*(AE53/1000)*3.853*1,IF(AE53&gt;25,"",IF(AE53&lt;25,"")))</f>
        <v/>
      </c>
      <c r="AM53" s="115" t="str">
        <f aca="false">IF(AE53=32,AA53*AB53*AC53*AD53*(AE53/1000)*6.313*1,IF(AE53&gt;32,"",IF(AE53&lt;32,"")))</f>
        <v/>
      </c>
      <c r="AN53" s="128"/>
      <c r="AO53" s="117" t="s">
        <v>160</v>
      </c>
      <c r="AP53" s="118" t="n">
        <f aca="false">SUM(R53:Y53)+SUM(AN53)</f>
        <v>0</v>
      </c>
      <c r="AQ53" s="118" t="n">
        <f aca="false">SUM(AF53:AM53)</f>
        <v>0</v>
      </c>
      <c r="AR53" s="118" t="n">
        <v>1.1756</v>
      </c>
      <c r="AS53" s="119" t="s">
        <v>508</v>
      </c>
      <c r="AT53" s="119" t="s">
        <v>209</v>
      </c>
    </row>
    <row r="54" customFormat="false" ht="13.5" hidden="false" customHeight="false" outlineLevel="0" collapsed="false">
      <c r="A54" s="129"/>
      <c r="B54" s="172"/>
      <c r="C54" s="110"/>
      <c r="D54" s="122"/>
      <c r="E54" s="122"/>
      <c r="F54" s="173"/>
      <c r="G54" s="123"/>
      <c r="H54" s="101"/>
      <c r="I54" s="123"/>
      <c r="J54" s="101"/>
      <c r="K54" s="124" t="s">
        <v>305</v>
      </c>
      <c r="L54" s="125"/>
      <c r="M54" s="125"/>
      <c r="N54" s="126" t="n">
        <f aca="false">$C$53</f>
        <v>1</v>
      </c>
      <c r="O54" s="126" t="n">
        <v>3</v>
      </c>
      <c r="P54" s="126" t="n">
        <v>16</v>
      </c>
      <c r="Q54" s="127" t="n">
        <f aca="false">9.905+2*50*16/1000</f>
        <v>11.505</v>
      </c>
      <c r="R54" s="105" t="str">
        <f aca="false">IF(P54=6,N54*O54*Q54*0.222*1,IF(P54&gt;6,"",IF(P54&lt;6,"")))</f>
        <v/>
      </c>
      <c r="S54" s="106" t="str">
        <f aca="false">IF(P54=8,N54*O54*Q54*0.395*1,IF(P54&gt;8,"",IF(P54&lt;8,"")))</f>
        <v/>
      </c>
      <c r="T54" s="106" t="str">
        <f aca="false">IF(P54=10,N54*O54*Q54*0.617*1,IF(P54&gt;10,"",IF(P54&lt;10,"")))</f>
        <v/>
      </c>
      <c r="U54" s="106" t="str">
        <f aca="false">IF(P54=12,N54*O54*Q54*0.888*1,IF(P54&gt;12,"",IF(P54&lt;12,"")))</f>
        <v/>
      </c>
      <c r="V54" s="107" t="n">
        <f aca="false">IF(P54=16,N54*O54*Q54*1.578*1,IF(P54&gt;16,"",IF(P54&lt;16,"")))</f>
        <v>54.46467</v>
      </c>
      <c r="W54" s="106" t="str">
        <f aca="false">IF(P54=20,N54*O54*Q54*2.466*1,IF(P54&gt;20,"",IF(P54&lt;20,"")))</f>
        <v/>
      </c>
      <c r="X54" s="106" t="str">
        <f aca="false">IF(P54=25,N54*O54*Q54*3.853*1,IF(P54&gt;25,"",IF(P54&lt;25,"")))</f>
        <v/>
      </c>
      <c r="Y54" s="108" t="str">
        <f aca="false">IF(P54=32,N54*O54*Q54*6.313*1,IF(P54&gt;32,"",IF(P54&lt;32,"")))</f>
        <v/>
      </c>
      <c r="Z54" s="109"/>
      <c r="AA54" s="110" t="str">
        <f aca="false">IF(AC54&gt;0,N54,"")</f>
        <v/>
      </c>
      <c r="AB54" s="111" t="str">
        <f aca="false">IF(AC54&gt;0,O54,"")</f>
        <v/>
      </c>
      <c r="AC54" s="112"/>
      <c r="AD54" s="112"/>
      <c r="AE54" s="113" t="str">
        <f aca="false">IF(AC54&gt;0,P54,"")</f>
        <v/>
      </c>
      <c r="AF54" s="114" t="str">
        <f aca="false">IF(AE54=6,AA54*AB54*AC54*AD54*(AE54/1000)*0.222*1,IF(AE54&gt;6,"",IF(AE54&lt;6,"")))</f>
        <v/>
      </c>
      <c r="AG54" s="107" t="str">
        <f aca="false">IF(AE54=8,AA54*AB54*AC54*AD54*(AE54/1000)*0.395*1,IF(AE54&gt;8,"",IF(AE54&lt;8,"")))</f>
        <v/>
      </c>
      <c r="AH54" s="107" t="str">
        <f aca="false">IF(AE54=10,AA54*AB54*AC54*AD54*(AE54/1000)*0.617*1,IF(AE54&gt;10,"",IF(AE54&lt;10,"")))</f>
        <v/>
      </c>
      <c r="AI54" s="107" t="str">
        <f aca="false">IF(AE54=12,AA54*AB54*AC54*AD54*(AE54/1000)*0.888*1,IF(AE54&gt;12,"",IF(AE54&lt;12,"")))</f>
        <v/>
      </c>
      <c r="AJ54" s="107" t="str">
        <f aca="false">IF(AE54=16,AA54*AB54*AC54*AD54*(AE54/1000)*1.578*1,IF(AE54&gt;16,"",IF(AE54&lt;16,"")))</f>
        <v/>
      </c>
      <c r="AK54" s="107" t="str">
        <f aca="false">IF(AE54=20,AA54*AB54*AC54*AD54*(AE54/1000)*2.466*1,IF(AE54&gt;20,"",IF(AE54&lt;20,"")))</f>
        <v/>
      </c>
      <c r="AL54" s="107" t="str">
        <f aca="false">IF(AE54=25,AA54*AB54*AC54*AD54*(AE54/1000)*3.853*1,IF(AE54&gt;25,"",IF(AE54&lt;25,"")))</f>
        <v/>
      </c>
      <c r="AM54" s="115" t="str">
        <f aca="false">IF(AE54=32,AA54*AB54*AC54*AD54*(AE54/1000)*6.313*1,IF(AE54&gt;32,"",IF(AE54&lt;32,"")))</f>
        <v/>
      </c>
      <c r="AN54" s="128"/>
      <c r="AO54" s="117" t="s">
        <v>160</v>
      </c>
      <c r="AP54" s="118" t="n">
        <f aca="false">SUM(R54:Y54)+SUM(AN54)</f>
        <v>54.46467</v>
      </c>
      <c r="AQ54" s="118" t="n">
        <f aca="false">SUM(AF54:AM54)</f>
        <v>0</v>
      </c>
      <c r="AR54" s="118"/>
      <c r="AS54" s="119" t="s">
        <v>482</v>
      </c>
      <c r="AT54" s="119" t="s">
        <v>162</v>
      </c>
    </row>
    <row r="55" customFormat="false" ht="13.5" hidden="false" customHeight="false" outlineLevel="0" collapsed="false">
      <c r="A55" s="129"/>
      <c r="B55" s="172"/>
      <c r="C55" s="110"/>
      <c r="D55" s="122"/>
      <c r="E55" s="122"/>
      <c r="F55" s="173"/>
      <c r="G55" s="123"/>
      <c r="H55" s="101"/>
      <c r="I55" s="123"/>
      <c r="J55" s="101"/>
      <c r="K55" s="124" t="s">
        <v>306</v>
      </c>
      <c r="L55" s="125"/>
      <c r="M55" s="125"/>
      <c r="N55" s="126" t="n">
        <f aca="false">$C$53</f>
        <v>1</v>
      </c>
      <c r="O55" s="126" t="n">
        <v>3</v>
      </c>
      <c r="P55" s="126" t="n">
        <v>16</v>
      </c>
      <c r="Q55" s="127" t="n">
        <f aca="false">9.905+2*50*16/1000</f>
        <v>11.505</v>
      </c>
      <c r="R55" s="105" t="str">
        <f aca="false">IF(P55=6,N55*O55*Q55*0.222*1,IF(P55&gt;6,"",IF(P55&lt;6,"")))</f>
        <v/>
      </c>
      <c r="S55" s="106" t="str">
        <f aca="false">IF(P55=8,N55*O55*Q55*0.395*1,IF(P55&gt;8,"",IF(P55&lt;8,"")))</f>
        <v/>
      </c>
      <c r="T55" s="106" t="str">
        <f aca="false">IF(P55=10,N55*O55*Q55*0.617*1,IF(P55&gt;10,"",IF(P55&lt;10,"")))</f>
        <v/>
      </c>
      <c r="U55" s="106" t="str">
        <f aca="false">IF(P55=12,N55*O55*Q55*0.888*1,IF(P55&gt;12,"",IF(P55&lt;12,"")))</f>
        <v/>
      </c>
      <c r="V55" s="107" t="n">
        <f aca="false">IF(P55=16,N55*O55*Q55*1.578*1,IF(P55&gt;16,"",IF(P55&lt;16,"")))</f>
        <v>54.46467</v>
      </c>
      <c r="W55" s="106" t="str">
        <f aca="false">IF(P55=20,N55*O55*Q55*2.466*1,IF(P55&gt;20,"",IF(P55&lt;20,"")))</f>
        <v/>
      </c>
      <c r="X55" s="106" t="str">
        <f aca="false">IF(P55=25,N55*O55*Q55*3.853*1,IF(P55&gt;25,"",IF(P55&lt;25,"")))</f>
        <v/>
      </c>
      <c r="Y55" s="108" t="str">
        <f aca="false">IF(P55=32,N55*O55*Q55*6.313*1,IF(P55&gt;32,"",IF(P55&lt;32,"")))</f>
        <v/>
      </c>
      <c r="Z55" s="109"/>
      <c r="AA55" s="110" t="str">
        <f aca="false">IF(AC55&gt;0,N55,"")</f>
        <v/>
      </c>
      <c r="AB55" s="111" t="str">
        <f aca="false">IF(AC55&gt;0,O55,"")</f>
        <v/>
      </c>
      <c r="AC55" s="112"/>
      <c r="AD55" s="112"/>
      <c r="AE55" s="113" t="str">
        <f aca="false">IF(AC55&gt;0,P55,"")</f>
        <v/>
      </c>
      <c r="AF55" s="114" t="str">
        <f aca="false">IF(AE55=6,AA55*AB55*AC55*AD55*(AE55/1000)*0.222*1,IF(AE55&gt;6,"",IF(AE55&lt;6,"")))</f>
        <v/>
      </c>
      <c r="AG55" s="107" t="str">
        <f aca="false">IF(AE55=8,AA55*AB55*AC55*AD55*(AE55/1000)*0.395*1,IF(AE55&gt;8,"",IF(AE55&lt;8,"")))</f>
        <v/>
      </c>
      <c r="AH55" s="107" t="str">
        <f aca="false">IF(AE55=10,AA55*AB55*AC55*AD55*(AE55/1000)*0.617*1,IF(AE55&gt;10,"",IF(AE55&lt;10,"")))</f>
        <v/>
      </c>
      <c r="AI55" s="107" t="str">
        <f aca="false">IF(AE55=12,AA55*AB55*AC55*AD55*(AE55/1000)*0.888*1,IF(AE55&gt;12,"",IF(AE55&lt;12,"")))</f>
        <v/>
      </c>
      <c r="AJ55" s="107" t="str">
        <f aca="false">IF(AE55=16,AA55*AB55*AC55*AD55*(AE55/1000)*1.578*1,IF(AE55&gt;16,"",IF(AE55&lt;16,"")))</f>
        <v/>
      </c>
      <c r="AK55" s="107" t="str">
        <f aca="false">IF(AE55=20,AA55*AB55*AC55*AD55*(AE55/1000)*2.466*1,IF(AE55&gt;20,"",IF(AE55&lt;20,"")))</f>
        <v/>
      </c>
      <c r="AL55" s="107" t="str">
        <f aca="false">IF(AE55=25,AA55*AB55*AC55*AD55*(AE55/1000)*3.853*1,IF(AE55&gt;25,"",IF(AE55&lt;25,"")))</f>
        <v/>
      </c>
      <c r="AM55" s="115" t="str">
        <f aca="false">IF(AE55=32,AA55*AB55*AC55*AD55*(AE55/1000)*6.313*1,IF(AE55&gt;32,"",IF(AE55&lt;32,"")))</f>
        <v/>
      </c>
      <c r="AN55" s="128"/>
      <c r="AO55" s="117" t="s">
        <v>160</v>
      </c>
      <c r="AP55" s="118" t="n">
        <f aca="false">SUM(R55:Y55)+SUM(AN55)</f>
        <v>54.46467</v>
      </c>
      <c r="AQ55" s="118" t="n">
        <f aca="false">SUM(AF55:AM55)</f>
        <v>0</v>
      </c>
      <c r="AR55" s="118"/>
      <c r="AS55" s="119" t="s">
        <v>482</v>
      </c>
      <c r="AT55" s="119" t="s">
        <v>162</v>
      </c>
    </row>
    <row r="56" customFormat="false" ht="13.5" hidden="false" customHeight="false" outlineLevel="0" collapsed="false">
      <c r="A56" s="129"/>
      <c r="B56" s="172"/>
      <c r="C56" s="110"/>
      <c r="D56" s="122"/>
      <c r="E56" s="122"/>
      <c r="F56" s="173"/>
      <c r="G56" s="123"/>
      <c r="H56" s="101"/>
      <c r="I56" s="123"/>
      <c r="J56" s="101"/>
      <c r="K56" s="124" t="s">
        <v>486</v>
      </c>
      <c r="L56" s="125" t="n">
        <f aca="false">$F$53</f>
        <v>9.4048</v>
      </c>
      <c r="M56" s="125" t="n">
        <v>0.125</v>
      </c>
      <c r="N56" s="126" t="n">
        <f aca="false">$C$53</f>
        <v>1</v>
      </c>
      <c r="O56" s="126" t="n">
        <f aca="false">CEILING(L56/M56,1)+1</f>
        <v>77</v>
      </c>
      <c r="P56" s="126" t="n">
        <v>8</v>
      </c>
      <c r="Q56" s="127" t="n">
        <f aca="false">2*($D$53-2*0.035)+2*($E$53-2*0.035)+20*8/1000</f>
        <v>1.38</v>
      </c>
      <c r="R56" s="105" t="str">
        <f aca="false">IF(P56=6,N56*O56*Q56*0.222*1,IF(P56&gt;6,"",IF(P56&lt;6,"")))</f>
        <v/>
      </c>
      <c r="S56" s="106" t="n">
        <f aca="false">IF(P56=8,N56*O56*Q56*0.395*1,IF(P56&gt;8,"",IF(P56&lt;8,"")))</f>
        <v>41.9727</v>
      </c>
      <c r="T56" s="106" t="str">
        <f aca="false">IF(P56=10,N56*O56*Q56*0.617*1,IF(P56&gt;10,"",IF(P56&lt;10,"")))</f>
        <v/>
      </c>
      <c r="U56" s="106" t="str">
        <f aca="false">IF(P56=12,N56*O56*Q56*0.888*1,IF(P56&gt;12,"",IF(P56&lt;12,"")))</f>
        <v/>
      </c>
      <c r="V56" s="107" t="str">
        <f aca="false">IF(P56=16,N56*O56*Q56*1.578*1,IF(P56&gt;16,"",IF(P56&lt;16,"")))</f>
        <v/>
      </c>
      <c r="W56" s="106" t="str">
        <f aca="false">IF(P56=20,N56*O56*Q56*2.466*1,IF(P56&gt;20,"",IF(P56&lt;20,"")))</f>
        <v/>
      </c>
      <c r="X56" s="106" t="str">
        <f aca="false">IF(P56=25,N56*O56*Q56*3.853*1,IF(P56&gt;25,"",IF(P56&lt;25,"")))</f>
        <v/>
      </c>
      <c r="Y56" s="108" t="str">
        <f aca="false">IF(P56=32,N56*O56*Q56*6.313*1,IF(P56&gt;32,"",IF(P56&lt;32,"")))</f>
        <v/>
      </c>
      <c r="Z56" s="109"/>
      <c r="AA56" s="110" t="str">
        <f aca="false">IF(AC56&gt;0,N56,"")</f>
        <v/>
      </c>
      <c r="AB56" s="111" t="str">
        <f aca="false">IF(AC56&gt;0,O56,"")</f>
        <v/>
      </c>
      <c r="AC56" s="112"/>
      <c r="AD56" s="112"/>
      <c r="AE56" s="113" t="str">
        <f aca="false">IF(AC56&gt;0,P56,"")</f>
        <v/>
      </c>
      <c r="AF56" s="114" t="str">
        <f aca="false">IF(AE56=6,AA56*AB56*AC56*AD56*(AE56/1000)*0.222*1,IF(AE56&gt;6,"",IF(AE56&lt;6,"")))</f>
        <v/>
      </c>
      <c r="AG56" s="107" t="str">
        <f aca="false">IF(AE56=8,AA56*AB56*AC56*AD56*(AE56/1000)*0.395*1,IF(AE56&gt;8,"",IF(AE56&lt;8,"")))</f>
        <v/>
      </c>
      <c r="AH56" s="107" t="str">
        <f aca="false">IF(AE56=10,AA56*AB56*AC56*AD56*(AE56/1000)*0.617*1,IF(AE56&gt;10,"",IF(AE56&lt;10,"")))</f>
        <v/>
      </c>
      <c r="AI56" s="107" t="str">
        <f aca="false">IF(AE56=12,AA56*AB56*AC56*AD56*(AE56/1000)*0.888*1,IF(AE56&gt;12,"",IF(AE56&lt;12,"")))</f>
        <v/>
      </c>
      <c r="AJ56" s="107" t="str">
        <f aca="false">IF(AE56=16,AA56*AB56*AC56*AD56*(AE56/1000)*1.578*1,IF(AE56&gt;16,"",IF(AE56&lt;16,"")))</f>
        <v/>
      </c>
      <c r="AK56" s="107" t="str">
        <f aca="false">IF(AE56=20,AA56*AB56*AC56*AD56*(AE56/1000)*2.466*1,IF(AE56&gt;20,"",IF(AE56&lt;20,"")))</f>
        <v/>
      </c>
      <c r="AL56" s="107" t="str">
        <f aca="false">IF(AE56=25,AA56*AB56*AC56*AD56*(AE56/1000)*3.853*1,IF(AE56&gt;25,"",IF(AE56&lt;25,"")))</f>
        <v/>
      </c>
      <c r="AM56" s="115" t="str">
        <f aca="false">IF(AE56=32,AA56*AB56*AC56*AD56*(AE56/1000)*6.313*1,IF(AE56&gt;32,"",IF(AE56&lt;32,"")))</f>
        <v/>
      </c>
      <c r="AN56" s="128"/>
      <c r="AO56" s="117" t="s">
        <v>160</v>
      </c>
      <c r="AP56" s="118" t="n">
        <f aca="false">SUM(R56:Y56)+SUM(AN56)</f>
        <v>41.9727</v>
      </c>
      <c r="AQ56" s="118" t="n">
        <f aca="false">SUM(AF56:AM56)</f>
        <v>0</v>
      </c>
      <c r="AR56" s="118"/>
      <c r="AS56" s="119"/>
      <c r="AT56" s="119" t="s">
        <v>162</v>
      </c>
    </row>
    <row r="57" customFormat="false" ht="13.5" hidden="false" customHeight="false" outlineLevel="0" collapsed="false">
      <c r="A57" s="129"/>
      <c r="B57" s="130"/>
      <c r="C57" s="110"/>
      <c r="D57" s="122"/>
      <c r="E57" s="122"/>
      <c r="F57" s="122"/>
      <c r="G57" s="123"/>
      <c r="H57" s="101"/>
      <c r="I57" s="123"/>
      <c r="J57" s="101"/>
      <c r="K57" s="124"/>
      <c r="L57" s="125"/>
      <c r="M57" s="125"/>
      <c r="N57" s="126"/>
      <c r="O57" s="126"/>
      <c r="P57" s="126"/>
      <c r="Q57" s="127"/>
      <c r="R57" s="105"/>
      <c r="S57" s="106"/>
      <c r="T57" s="106"/>
      <c r="U57" s="106"/>
      <c r="V57" s="107"/>
      <c r="W57" s="106"/>
      <c r="X57" s="106"/>
      <c r="Y57" s="108"/>
      <c r="Z57" s="109"/>
      <c r="AA57" s="110"/>
      <c r="AB57" s="111"/>
      <c r="AC57" s="112"/>
      <c r="AD57" s="112"/>
      <c r="AE57" s="113"/>
      <c r="AF57" s="114"/>
      <c r="AG57" s="107"/>
      <c r="AH57" s="107"/>
      <c r="AI57" s="107"/>
      <c r="AJ57" s="107"/>
      <c r="AK57" s="107"/>
      <c r="AL57" s="107"/>
      <c r="AM57" s="115"/>
      <c r="AO57" s="117"/>
      <c r="AP57" s="118"/>
      <c r="AQ57" s="118"/>
      <c r="AR57" s="118"/>
      <c r="AS57" s="119"/>
      <c r="AT57" s="119"/>
    </row>
    <row r="58" customFormat="false" ht="13.5" hidden="false" customHeight="false" outlineLevel="0" collapsed="false">
      <c r="A58" s="120"/>
      <c r="B58" s="121" t="s">
        <v>509</v>
      </c>
      <c r="C58" s="110" t="n">
        <v>1</v>
      </c>
      <c r="D58" s="122" t="n">
        <v>0.25</v>
      </c>
      <c r="E58" s="122" t="n">
        <v>0.4</v>
      </c>
      <c r="F58" s="122" t="n">
        <f aca="false">0.3205/(0.25*0.4)</f>
        <v>3.205</v>
      </c>
      <c r="G58" s="123" t="n">
        <f aca="false">C58*D58*E58*F58</f>
        <v>0.3205</v>
      </c>
      <c r="H58" s="101"/>
      <c r="I58" s="123" t="n">
        <f aca="false">C58*F58*(D58+(E58-0.2)+(E58))</f>
        <v>2.72425</v>
      </c>
      <c r="J58" s="101"/>
      <c r="K58" s="124"/>
      <c r="L58" s="125"/>
      <c r="M58" s="125"/>
      <c r="N58" s="126"/>
      <c r="O58" s="126"/>
      <c r="P58" s="126"/>
      <c r="Q58" s="127"/>
      <c r="R58" s="105" t="str">
        <f aca="false">IF(P58=6,N58*O58*Q58*0.222*1,IF(P58&gt;6,"",IF(P58&lt;6,"")))</f>
        <v/>
      </c>
      <c r="S58" s="106" t="str">
        <f aca="false">IF(P58=8,N58*O58*Q58*0.395*1,IF(P58&gt;8,"",IF(P58&lt;8,"")))</f>
        <v/>
      </c>
      <c r="T58" s="106" t="str">
        <f aca="false">IF(P58=10,N58*O58*Q58*0.617*1,IF(P58&gt;10,"",IF(P58&lt;10,"")))</f>
        <v/>
      </c>
      <c r="U58" s="106" t="str">
        <f aca="false">IF(P58=12,N58*O58*Q58*0.888*1,IF(P58&gt;12,"",IF(P58&lt;12,"")))</f>
        <v/>
      </c>
      <c r="V58" s="107" t="str">
        <f aca="false">IF(P58=16,N58*O58*Q58*1.578*1,IF(P58&gt;16,"",IF(P58&lt;16,"")))</f>
        <v/>
      </c>
      <c r="W58" s="106" t="str">
        <f aca="false">IF(P58=20,N58*O58*Q58*2.466*1,IF(P58&gt;20,"",IF(P58&lt;20,"")))</f>
        <v/>
      </c>
      <c r="X58" s="106" t="str">
        <f aca="false">IF(P58=25,N58*O58*Q58*3.853*1,IF(P58&gt;25,"",IF(P58&lt;25,"")))</f>
        <v/>
      </c>
      <c r="Y58" s="108" t="str">
        <f aca="false">IF(P58=32,N58*O58*Q58*6.313*1,IF(P58&gt;32,"",IF(P58&lt;32,"")))</f>
        <v/>
      </c>
      <c r="Z58" s="109"/>
      <c r="AA58" s="110" t="str">
        <f aca="false">IF(AC58&gt;0,N58,"")</f>
        <v/>
      </c>
      <c r="AB58" s="111" t="str">
        <f aca="false">IF(AC58&gt;0,O58,"")</f>
        <v/>
      </c>
      <c r="AC58" s="112"/>
      <c r="AD58" s="112"/>
      <c r="AE58" s="113" t="str">
        <f aca="false">IF(AC58&gt;0,P58,"")</f>
        <v/>
      </c>
      <c r="AF58" s="114" t="str">
        <f aca="false">IF(AE58=6,AA58*AB58*AC58*AD58*(AE58/1000)*0.222*1,IF(AE58&gt;6,"",IF(AE58&lt;6,"")))</f>
        <v/>
      </c>
      <c r="AG58" s="107" t="str">
        <f aca="false">IF(AE58=8,AA58*AB58*AC58*AD58*(AE58/1000)*0.395*1,IF(AE58&gt;8,"",IF(AE58&lt;8,"")))</f>
        <v/>
      </c>
      <c r="AH58" s="107" t="str">
        <f aca="false">IF(AE58=10,AA58*AB58*AC58*AD58*(AE58/1000)*0.617*1,IF(AE58&gt;10,"",IF(AE58&lt;10,"")))</f>
        <v/>
      </c>
      <c r="AI58" s="107" t="str">
        <f aca="false">IF(AE58=12,AA58*AB58*AC58*AD58*(AE58/1000)*0.888*1,IF(AE58&gt;12,"",IF(AE58&lt;12,"")))</f>
        <v/>
      </c>
      <c r="AJ58" s="107" t="str">
        <f aca="false">IF(AE58=16,AA58*AB58*AC58*AD58*(AE58/1000)*1.578*1,IF(AE58&gt;16,"",IF(AE58&lt;16,"")))</f>
        <v/>
      </c>
      <c r="AK58" s="107" t="str">
        <f aca="false">IF(AE58=20,AA58*AB58*AC58*AD58*(AE58/1000)*2.466*1,IF(AE58&gt;20,"",IF(AE58&lt;20,"")))</f>
        <v/>
      </c>
      <c r="AL58" s="107" t="str">
        <f aca="false">IF(AE58=25,AA58*AB58*AC58*AD58*(AE58/1000)*3.853*1,IF(AE58&gt;25,"",IF(AE58&lt;25,"")))</f>
        <v/>
      </c>
      <c r="AM58" s="115" t="str">
        <f aca="false">IF(AE58=32,AA58*AB58*AC58*AD58*(AE58/1000)*6.313*1,IF(AE58&gt;32,"",IF(AE58&lt;32,"")))</f>
        <v/>
      </c>
      <c r="AN58" s="128"/>
      <c r="AO58" s="117" t="s">
        <v>160</v>
      </c>
      <c r="AP58" s="118" t="n">
        <f aca="false">SUM(R58:Y58)+SUM(AN58)</f>
        <v>0</v>
      </c>
      <c r="AQ58" s="118" t="n">
        <f aca="false">SUM(AF58:AM58)</f>
        <v>0</v>
      </c>
      <c r="AR58" s="118" t="n">
        <v>0.3205</v>
      </c>
      <c r="AS58" s="119" t="s">
        <v>510</v>
      </c>
      <c r="AT58" s="119" t="s">
        <v>209</v>
      </c>
    </row>
    <row r="59" customFormat="false" ht="13.5" hidden="false" customHeight="false" outlineLevel="0" collapsed="false">
      <c r="A59" s="129"/>
      <c r="B59" s="172"/>
      <c r="C59" s="110"/>
      <c r="D59" s="122"/>
      <c r="E59" s="122"/>
      <c r="F59" s="173"/>
      <c r="G59" s="123"/>
      <c r="H59" s="101"/>
      <c r="I59" s="123"/>
      <c r="J59" s="101"/>
      <c r="K59" s="124" t="s">
        <v>491</v>
      </c>
      <c r="L59" s="125"/>
      <c r="M59" s="125"/>
      <c r="N59" s="126" t="n">
        <f aca="false">$C$58</f>
        <v>1</v>
      </c>
      <c r="O59" s="126" t="n">
        <v>2</v>
      </c>
      <c r="P59" s="126" t="n">
        <v>16</v>
      </c>
      <c r="Q59" s="127" t="n">
        <f aca="false">3.205+2*50*16/1000</f>
        <v>4.805</v>
      </c>
      <c r="R59" s="105" t="str">
        <f aca="false">IF(P59=6,N59*O59*Q59*0.222*1,IF(P59&gt;6,"",IF(P59&lt;6,"")))</f>
        <v/>
      </c>
      <c r="S59" s="106" t="str">
        <f aca="false">IF(P59=8,N59*O59*Q59*0.395*1,IF(P59&gt;8,"",IF(P59&lt;8,"")))</f>
        <v/>
      </c>
      <c r="T59" s="106" t="str">
        <f aca="false">IF(P59=10,N59*O59*Q59*0.617*1,IF(P59&gt;10,"",IF(P59&lt;10,"")))</f>
        <v/>
      </c>
      <c r="U59" s="106" t="str">
        <f aca="false">IF(P59=12,N59*O59*Q59*0.888*1,IF(P59&gt;12,"",IF(P59&lt;12,"")))</f>
        <v/>
      </c>
      <c r="V59" s="107" t="n">
        <f aca="false">IF(P59=16,N59*O59*Q59*1.578*1,IF(P59&gt;16,"",IF(P59&lt;16,"")))</f>
        <v>15.16458</v>
      </c>
      <c r="W59" s="106" t="str">
        <f aca="false">IF(P59=20,N59*O59*Q59*2.466*1,IF(P59&gt;20,"",IF(P59&lt;20,"")))</f>
        <v/>
      </c>
      <c r="X59" s="106" t="str">
        <f aca="false">IF(P59=25,N59*O59*Q59*3.853*1,IF(P59&gt;25,"",IF(P59&lt;25,"")))</f>
        <v/>
      </c>
      <c r="Y59" s="108" t="str">
        <f aca="false">IF(P59=32,N59*O59*Q59*6.313*1,IF(P59&gt;32,"",IF(P59&lt;32,"")))</f>
        <v/>
      </c>
      <c r="Z59" s="109"/>
      <c r="AA59" s="110" t="str">
        <f aca="false">IF(AC59&gt;0,N59,"")</f>
        <v/>
      </c>
      <c r="AB59" s="111" t="str">
        <f aca="false">IF(AC59&gt;0,O59,"")</f>
        <v/>
      </c>
      <c r="AC59" s="112"/>
      <c r="AD59" s="112"/>
      <c r="AE59" s="113" t="str">
        <f aca="false">IF(AC59&gt;0,P59,"")</f>
        <v/>
      </c>
      <c r="AF59" s="114" t="str">
        <f aca="false">IF(AE59=6,AA59*AB59*AC59*AD59*(AE59/1000)*0.222*1,IF(AE59&gt;6,"",IF(AE59&lt;6,"")))</f>
        <v/>
      </c>
      <c r="AG59" s="107" t="str">
        <f aca="false">IF(AE59=8,AA59*AB59*AC59*AD59*(AE59/1000)*0.395*1,IF(AE59&gt;8,"",IF(AE59&lt;8,"")))</f>
        <v/>
      </c>
      <c r="AH59" s="107" t="str">
        <f aca="false">IF(AE59=10,AA59*AB59*AC59*AD59*(AE59/1000)*0.617*1,IF(AE59&gt;10,"",IF(AE59&lt;10,"")))</f>
        <v/>
      </c>
      <c r="AI59" s="107" t="str">
        <f aca="false">IF(AE59=12,AA59*AB59*AC59*AD59*(AE59/1000)*0.888*1,IF(AE59&gt;12,"",IF(AE59&lt;12,"")))</f>
        <v/>
      </c>
      <c r="AJ59" s="107" t="str">
        <f aca="false">IF(AE59=16,AA59*AB59*AC59*AD59*(AE59/1000)*1.578*1,IF(AE59&gt;16,"",IF(AE59&lt;16,"")))</f>
        <v/>
      </c>
      <c r="AK59" s="107" t="str">
        <f aca="false">IF(AE59=20,AA59*AB59*AC59*AD59*(AE59/1000)*2.466*1,IF(AE59&gt;20,"",IF(AE59&lt;20,"")))</f>
        <v/>
      </c>
      <c r="AL59" s="107" t="str">
        <f aca="false">IF(AE59=25,AA59*AB59*AC59*AD59*(AE59/1000)*3.853*1,IF(AE59&gt;25,"",IF(AE59&lt;25,"")))</f>
        <v/>
      </c>
      <c r="AM59" s="115" t="str">
        <f aca="false">IF(AE59=32,AA59*AB59*AC59*AD59*(AE59/1000)*6.313*1,IF(AE59&gt;32,"",IF(AE59&lt;32,"")))</f>
        <v/>
      </c>
      <c r="AN59" s="128"/>
      <c r="AO59" s="117" t="s">
        <v>160</v>
      </c>
      <c r="AP59" s="118" t="n">
        <f aca="false">SUM(R59:Y59)+SUM(AN59)</f>
        <v>15.16458</v>
      </c>
      <c r="AQ59" s="118" t="n">
        <f aca="false">SUM(AF59:AM59)</f>
        <v>0</v>
      </c>
      <c r="AR59" s="118"/>
      <c r="AS59" s="119" t="s">
        <v>482</v>
      </c>
      <c r="AT59" s="119" t="s">
        <v>162</v>
      </c>
    </row>
    <row r="60" customFormat="false" ht="13.5" hidden="false" customHeight="false" outlineLevel="0" collapsed="false">
      <c r="A60" s="129"/>
      <c r="B60" s="172"/>
      <c r="C60" s="110"/>
      <c r="D60" s="122"/>
      <c r="E60" s="122"/>
      <c r="F60" s="173"/>
      <c r="G60" s="123"/>
      <c r="H60" s="101"/>
      <c r="I60" s="123"/>
      <c r="J60" s="101"/>
      <c r="K60" s="124" t="s">
        <v>492</v>
      </c>
      <c r="L60" s="125"/>
      <c r="M60" s="125"/>
      <c r="N60" s="126" t="n">
        <f aca="false">$C$58</f>
        <v>1</v>
      </c>
      <c r="O60" s="126" t="n">
        <v>1</v>
      </c>
      <c r="P60" s="126" t="n">
        <v>12</v>
      </c>
      <c r="Q60" s="127" t="n">
        <f aca="false">3.205+2*50*12/1000</f>
        <v>4.405</v>
      </c>
      <c r="R60" s="105" t="str">
        <f aca="false">IF(P60=6,N60*O60*Q60*0.222*1,IF(P60&gt;6,"",IF(P60&lt;6,"")))</f>
        <v/>
      </c>
      <c r="S60" s="106" t="str">
        <f aca="false">IF(P60=8,N60*O60*Q60*0.395*1,IF(P60&gt;8,"",IF(P60&lt;8,"")))</f>
        <v/>
      </c>
      <c r="T60" s="106" t="str">
        <f aca="false">IF(P60=10,N60*O60*Q60*0.617*1,IF(P60&gt;10,"",IF(P60&lt;10,"")))</f>
        <v/>
      </c>
      <c r="U60" s="106" t="n">
        <f aca="false">IF(P60=12,N60*O60*Q60*0.888*1,IF(P60&gt;12,"",IF(P60&lt;12,"")))</f>
        <v>3.91164</v>
      </c>
      <c r="V60" s="107" t="str">
        <f aca="false">IF(P60=16,N60*O60*Q60*1.578*1,IF(P60&gt;16,"",IF(P60&lt;16,"")))</f>
        <v/>
      </c>
      <c r="W60" s="106" t="str">
        <f aca="false">IF(P60=20,N60*O60*Q60*2.466*1,IF(P60&gt;20,"",IF(P60&lt;20,"")))</f>
        <v/>
      </c>
      <c r="X60" s="106" t="str">
        <f aca="false">IF(P60=25,N60*O60*Q60*3.853*1,IF(P60&gt;25,"",IF(P60&lt;25,"")))</f>
        <v/>
      </c>
      <c r="Y60" s="108" t="str">
        <f aca="false">IF(P60=32,N60*O60*Q60*6.313*1,IF(P60&gt;32,"",IF(P60&lt;32,"")))</f>
        <v/>
      </c>
      <c r="Z60" s="109"/>
      <c r="AA60" s="110" t="str">
        <f aca="false">IF(AC60&gt;0,N60,"")</f>
        <v/>
      </c>
      <c r="AB60" s="111" t="str">
        <f aca="false">IF(AC60&gt;0,O60,"")</f>
        <v/>
      </c>
      <c r="AC60" s="112"/>
      <c r="AD60" s="112"/>
      <c r="AE60" s="113" t="str">
        <f aca="false">IF(AC60&gt;0,P60,"")</f>
        <v/>
      </c>
      <c r="AF60" s="114" t="str">
        <f aca="false">IF(AE60=6,AA60*AB60*AC60*AD60*(AE60/1000)*0.222*1,IF(AE60&gt;6,"",IF(AE60&lt;6,"")))</f>
        <v/>
      </c>
      <c r="AG60" s="107" t="str">
        <f aca="false">IF(AE60=8,AA60*AB60*AC60*AD60*(AE60/1000)*0.395*1,IF(AE60&gt;8,"",IF(AE60&lt;8,"")))</f>
        <v/>
      </c>
      <c r="AH60" s="107" t="str">
        <f aca="false">IF(AE60=10,AA60*AB60*AC60*AD60*(AE60/1000)*0.617*1,IF(AE60&gt;10,"",IF(AE60&lt;10,"")))</f>
        <v/>
      </c>
      <c r="AI60" s="107" t="str">
        <f aca="false">IF(AE60=12,AA60*AB60*AC60*AD60*(AE60/1000)*0.888*1,IF(AE60&gt;12,"",IF(AE60&lt;12,"")))</f>
        <v/>
      </c>
      <c r="AJ60" s="107" t="str">
        <f aca="false">IF(AE60=16,AA60*AB60*AC60*AD60*(AE60/1000)*1.578*1,IF(AE60&gt;16,"",IF(AE60&lt;16,"")))</f>
        <v/>
      </c>
      <c r="AK60" s="107" t="str">
        <f aca="false">IF(AE60=20,AA60*AB60*AC60*AD60*(AE60/1000)*2.466*1,IF(AE60&gt;20,"",IF(AE60&lt;20,"")))</f>
        <v/>
      </c>
      <c r="AL60" s="107" t="str">
        <f aca="false">IF(AE60=25,AA60*AB60*AC60*AD60*(AE60/1000)*3.853*1,IF(AE60&gt;25,"",IF(AE60&lt;25,"")))</f>
        <v/>
      </c>
      <c r="AM60" s="115" t="str">
        <f aca="false">IF(AE60=32,AA60*AB60*AC60*AD60*(AE60/1000)*6.313*1,IF(AE60&gt;32,"",IF(AE60&lt;32,"")))</f>
        <v/>
      </c>
      <c r="AN60" s="128"/>
      <c r="AO60" s="117" t="s">
        <v>160</v>
      </c>
      <c r="AP60" s="118" t="n">
        <f aca="false">SUM(R60:Y60)+SUM(AN60)</f>
        <v>3.91164</v>
      </c>
      <c r="AQ60" s="118" t="n">
        <f aca="false">SUM(AF60:AM60)</f>
        <v>0</v>
      </c>
      <c r="AR60" s="118"/>
      <c r="AS60" s="119" t="s">
        <v>482</v>
      </c>
      <c r="AT60" s="119" t="s">
        <v>162</v>
      </c>
    </row>
    <row r="61" customFormat="false" ht="13.5" hidden="false" customHeight="false" outlineLevel="0" collapsed="false">
      <c r="A61" s="129"/>
      <c r="B61" s="172"/>
      <c r="C61" s="110"/>
      <c r="D61" s="122"/>
      <c r="E61" s="122"/>
      <c r="F61" s="173"/>
      <c r="G61" s="123"/>
      <c r="H61" s="101"/>
      <c r="I61" s="123"/>
      <c r="J61" s="101"/>
      <c r="K61" s="124" t="s">
        <v>493</v>
      </c>
      <c r="L61" s="125"/>
      <c r="M61" s="125"/>
      <c r="N61" s="126" t="n">
        <f aca="false">$C$58</f>
        <v>1</v>
      </c>
      <c r="O61" s="126" t="n">
        <v>2</v>
      </c>
      <c r="P61" s="126" t="n">
        <v>16</v>
      </c>
      <c r="Q61" s="127" t="n">
        <f aca="false">3.205+2*50*16/1000</f>
        <v>4.805</v>
      </c>
      <c r="R61" s="105" t="str">
        <f aca="false">IF(P61=6,N61*O61*Q61*0.222*1,IF(P61&gt;6,"",IF(P61&lt;6,"")))</f>
        <v/>
      </c>
      <c r="S61" s="106" t="str">
        <f aca="false">IF(P61=8,N61*O61*Q61*0.395*1,IF(P61&gt;8,"",IF(P61&lt;8,"")))</f>
        <v/>
      </c>
      <c r="T61" s="106" t="str">
        <f aca="false">IF(P61=10,N61*O61*Q61*0.617*1,IF(P61&gt;10,"",IF(P61&lt;10,"")))</f>
        <v/>
      </c>
      <c r="U61" s="106" t="str">
        <f aca="false">IF(P61=12,N61*O61*Q61*0.888*1,IF(P61&gt;12,"",IF(P61&lt;12,"")))</f>
        <v/>
      </c>
      <c r="V61" s="107" t="n">
        <f aca="false">IF(P61=16,N61*O61*Q61*1.578*1,IF(P61&gt;16,"",IF(P61&lt;16,"")))</f>
        <v>15.16458</v>
      </c>
      <c r="W61" s="106" t="str">
        <f aca="false">IF(P61=20,N61*O61*Q61*2.466*1,IF(P61&gt;20,"",IF(P61&lt;20,"")))</f>
        <v/>
      </c>
      <c r="X61" s="106" t="str">
        <f aca="false">IF(P61=25,N61*O61*Q61*3.853*1,IF(P61&gt;25,"",IF(P61&lt;25,"")))</f>
        <v/>
      </c>
      <c r="Y61" s="108" t="str">
        <f aca="false">IF(P61=32,N61*O61*Q61*6.313*1,IF(P61&gt;32,"",IF(P61&lt;32,"")))</f>
        <v/>
      </c>
      <c r="Z61" s="109"/>
      <c r="AA61" s="110" t="str">
        <f aca="false">IF(AC61&gt;0,N61,"")</f>
        <v/>
      </c>
      <c r="AB61" s="111" t="str">
        <f aca="false">IF(AC61&gt;0,O61,"")</f>
        <v/>
      </c>
      <c r="AC61" s="112"/>
      <c r="AD61" s="112"/>
      <c r="AE61" s="113" t="str">
        <f aca="false">IF(AC61&gt;0,P61,"")</f>
        <v/>
      </c>
      <c r="AF61" s="114" t="str">
        <f aca="false">IF(AE61=6,AA61*AB61*AC61*AD61*(AE61/1000)*0.222*1,IF(AE61&gt;6,"",IF(AE61&lt;6,"")))</f>
        <v/>
      </c>
      <c r="AG61" s="107" t="str">
        <f aca="false">IF(AE61=8,AA61*AB61*AC61*AD61*(AE61/1000)*0.395*1,IF(AE61&gt;8,"",IF(AE61&lt;8,"")))</f>
        <v/>
      </c>
      <c r="AH61" s="107" t="str">
        <f aca="false">IF(AE61=10,AA61*AB61*AC61*AD61*(AE61/1000)*0.617*1,IF(AE61&gt;10,"",IF(AE61&lt;10,"")))</f>
        <v/>
      </c>
      <c r="AI61" s="107" t="str">
        <f aca="false">IF(AE61=12,AA61*AB61*AC61*AD61*(AE61/1000)*0.888*1,IF(AE61&gt;12,"",IF(AE61&lt;12,"")))</f>
        <v/>
      </c>
      <c r="AJ61" s="107" t="str">
        <f aca="false">IF(AE61=16,AA61*AB61*AC61*AD61*(AE61/1000)*1.578*1,IF(AE61&gt;16,"",IF(AE61&lt;16,"")))</f>
        <v/>
      </c>
      <c r="AK61" s="107" t="str">
        <f aca="false">IF(AE61=20,AA61*AB61*AC61*AD61*(AE61/1000)*2.466*1,IF(AE61&gt;20,"",IF(AE61&lt;20,"")))</f>
        <v/>
      </c>
      <c r="AL61" s="107" t="str">
        <f aca="false">IF(AE61=25,AA61*AB61*AC61*AD61*(AE61/1000)*3.853*1,IF(AE61&gt;25,"",IF(AE61&lt;25,"")))</f>
        <v/>
      </c>
      <c r="AM61" s="115" t="str">
        <f aca="false">IF(AE61=32,AA61*AB61*AC61*AD61*(AE61/1000)*6.313*1,IF(AE61&gt;32,"",IF(AE61&lt;32,"")))</f>
        <v/>
      </c>
      <c r="AN61" s="128"/>
      <c r="AO61" s="117" t="s">
        <v>160</v>
      </c>
      <c r="AP61" s="118" t="n">
        <f aca="false">SUM(R61:Y61)+SUM(AN61)</f>
        <v>15.16458</v>
      </c>
      <c r="AQ61" s="118" t="n">
        <f aca="false">SUM(AF61:AM61)</f>
        <v>0</v>
      </c>
      <c r="AR61" s="118"/>
      <c r="AS61" s="119" t="s">
        <v>482</v>
      </c>
      <c r="AT61" s="119" t="s">
        <v>162</v>
      </c>
    </row>
    <row r="62" customFormat="false" ht="13.5" hidden="false" customHeight="false" outlineLevel="0" collapsed="false">
      <c r="A62" s="129"/>
      <c r="B62" s="172"/>
      <c r="C62" s="110"/>
      <c r="D62" s="122"/>
      <c r="E62" s="122"/>
      <c r="F62" s="173"/>
      <c r="G62" s="123"/>
      <c r="H62" s="101"/>
      <c r="I62" s="123"/>
      <c r="J62" s="101"/>
      <c r="K62" s="124" t="s">
        <v>494</v>
      </c>
      <c r="L62" s="125"/>
      <c r="M62" s="125"/>
      <c r="N62" s="126" t="n">
        <f aca="false">$C$58</f>
        <v>1</v>
      </c>
      <c r="O62" s="126" t="n">
        <v>1</v>
      </c>
      <c r="P62" s="126" t="n">
        <v>12</v>
      </c>
      <c r="Q62" s="127" t="n">
        <f aca="false">3.205+2*50*12/1000</f>
        <v>4.405</v>
      </c>
      <c r="R62" s="105" t="str">
        <f aca="false">IF(P62=6,N62*O62*Q62*0.222*1,IF(P62&gt;6,"",IF(P62&lt;6,"")))</f>
        <v/>
      </c>
      <c r="S62" s="106" t="str">
        <f aca="false">IF(P62=8,N62*O62*Q62*0.395*1,IF(P62&gt;8,"",IF(P62&lt;8,"")))</f>
        <v/>
      </c>
      <c r="T62" s="106" t="str">
        <f aca="false">IF(P62=10,N62*O62*Q62*0.617*1,IF(P62&gt;10,"",IF(P62&lt;10,"")))</f>
        <v/>
      </c>
      <c r="U62" s="106" t="n">
        <f aca="false">IF(P62=12,N62*O62*Q62*0.888*1,IF(P62&gt;12,"",IF(P62&lt;12,"")))</f>
        <v>3.91164</v>
      </c>
      <c r="V62" s="107" t="str">
        <f aca="false">IF(P62=16,N62*O62*Q62*1.578*1,IF(P62&gt;16,"",IF(P62&lt;16,"")))</f>
        <v/>
      </c>
      <c r="W62" s="106" t="str">
        <f aca="false">IF(P62=20,N62*O62*Q62*2.466*1,IF(P62&gt;20,"",IF(P62&lt;20,"")))</f>
        <v/>
      </c>
      <c r="X62" s="106" t="str">
        <f aca="false">IF(P62=25,N62*O62*Q62*3.853*1,IF(P62&gt;25,"",IF(P62&lt;25,"")))</f>
        <v/>
      </c>
      <c r="Y62" s="108" t="str">
        <f aca="false">IF(P62=32,N62*O62*Q62*6.313*1,IF(P62&gt;32,"",IF(P62&lt;32,"")))</f>
        <v/>
      </c>
      <c r="Z62" s="109"/>
      <c r="AA62" s="110" t="str">
        <f aca="false">IF(AC62&gt;0,N62,"")</f>
        <v/>
      </c>
      <c r="AB62" s="111" t="str">
        <f aca="false">IF(AC62&gt;0,O62,"")</f>
        <v/>
      </c>
      <c r="AC62" s="112"/>
      <c r="AD62" s="112"/>
      <c r="AE62" s="113" t="str">
        <f aca="false">IF(AC62&gt;0,P62,"")</f>
        <v/>
      </c>
      <c r="AF62" s="114" t="str">
        <f aca="false">IF(AE62=6,AA62*AB62*AC62*AD62*(AE62/1000)*0.222*1,IF(AE62&gt;6,"",IF(AE62&lt;6,"")))</f>
        <v/>
      </c>
      <c r="AG62" s="107" t="str">
        <f aca="false">IF(AE62=8,AA62*AB62*AC62*AD62*(AE62/1000)*0.395*1,IF(AE62&gt;8,"",IF(AE62&lt;8,"")))</f>
        <v/>
      </c>
      <c r="AH62" s="107" t="str">
        <f aca="false">IF(AE62=10,AA62*AB62*AC62*AD62*(AE62/1000)*0.617*1,IF(AE62&gt;10,"",IF(AE62&lt;10,"")))</f>
        <v/>
      </c>
      <c r="AI62" s="107" t="str">
        <f aca="false">IF(AE62=12,AA62*AB62*AC62*AD62*(AE62/1000)*0.888*1,IF(AE62&gt;12,"",IF(AE62&lt;12,"")))</f>
        <v/>
      </c>
      <c r="AJ62" s="107" t="str">
        <f aca="false">IF(AE62=16,AA62*AB62*AC62*AD62*(AE62/1000)*1.578*1,IF(AE62&gt;16,"",IF(AE62&lt;16,"")))</f>
        <v/>
      </c>
      <c r="AK62" s="107" t="str">
        <f aca="false">IF(AE62=20,AA62*AB62*AC62*AD62*(AE62/1000)*2.466*1,IF(AE62&gt;20,"",IF(AE62&lt;20,"")))</f>
        <v/>
      </c>
      <c r="AL62" s="107" t="str">
        <f aca="false">IF(AE62=25,AA62*AB62*AC62*AD62*(AE62/1000)*3.853*1,IF(AE62&gt;25,"",IF(AE62&lt;25,"")))</f>
        <v/>
      </c>
      <c r="AM62" s="115" t="str">
        <f aca="false">IF(AE62=32,AA62*AB62*AC62*AD62*(AE62/1000)*6.313*1,IF(AE62&gt;32,"",IF(AE62&lt;32,"")))</f>
        <v/>
      </c>
      <c r="AN62" s="128"/>
      <c r="AO62" s="117" t="s">
        <v>160</v>
      </c>
      <c r="AP62" s="118" t="n">
        <f aca="false">SUM(R62:Y62)+SUM(AN62)</f>
        <v>3.91164</v>
      </c>
      <c r="AQ62" s="118" t="n">
        <f aca="false">SUM(AF62:AM62)</f>
        <v>0</v>
      </c>
      <c r="AR62" s="118"/>
      <c r="AS62" s="119" t="s">
        <v>482</v>
      </c>
      <c r="AT62" s="119" t="s">
        <v>162</v>
      </c>
    </row>
    <row r="63" customFormat="false" ht="13.5" hidden="false" customHeight="false" outlineLevel="0" collapsed="false">
      <c r="A63" s="129"/>
      <c r="B63" s="172"/>
      <c r="C63" s="110"/>
      <c r="D63" s="122"/>
      <c r="E63" s="122"/>
      <c r="F63" s="173"/>
      <c r="G63" s="123"/>
      <c r="H63" s="101"/>
      <c r="I63" s="123"/>
      <c r="J63" s="101"/>
      <c r="K63" s="124" t="s">
        <v>486</v>
      </c>
      <c r="L63" s="125" t="n">
        <f aca="false">$F$58</f>
        <v>3.205</v>
      </c>
      <c r="M63" s="125" t="n">
        <v>0.125</v>
      </c>
      <c r="N63" s="126" t="n">
        <f aca="false">$C$58</f>
        <v>1</v>
      </c>
      <c r="O63" s="126" t="n">
        <f aca="false">CEILING(L63/M63,1)+1</f>
        <v>27</v>
      </c>
      <c r="P63" s="126" t="n">
        <v>8</v>
      </c>
      <c r="Q63" s="127" t="n">
        <f aca="false">2*($D$58-2*0.035)+2*($E$58-2*0.035)+20*8/1000</f>
        <v>1.18</v>
      </c>
      <c r="R63" s="105" t="str">
        <f aca="false">IF(P63=6,N63*O63*Q63*0.222*1,IF(P63&gt;6,"",IF(P63&lt;6,"")))</f>
        <v/>
      </c>
      <c r="S63" s="106" t="n">
        <f aca="false">IF(P63=8,N63*O63*Q63*0.395*1,IF(P63&gt;8,"",IF(P63&lt;8,"")))</f>
        <v>12.5847</v>
      </c>
      <c r="T63" s="106" t="str">
        <f aca="false">IF(P63=10,N63*O63*Q63*0.617*1,IF(P63&gt;10,"",IF(P63&lt;10,"")))</f>
        <v/>
      </c>
      <c r="U63" s="106" t="str">
        <f aca="false">IF(P63=12,N63*O63*Q63*0.888*1,IF(P63&gt;12,"",IF(P63&lt;12,"")))</f>
        <v/>
      </c>
      <c r="V63" s="107" t="str">
        <f aca="false">IF(P63=16,N63*O63*Q63*1.578*1,IF(P63&gt;16,"",IF(P63&lt;16,"")))</f>
        <v/>
      </c>
      <c r="W63" s="106" t="str">
        <f aca="false">IF(P63=20,N63*O63*Q63*2.466*1,IF(P63&gt;20,"",IF(P63&lt;20,"")))</f>
        <v/>
      </c>
      <c r="X63" s="106" t="str">
        <f aca="false">IF(P63=25,N63*O63*Q63*3.853*1,IF(P63&gt;25,"",IF(P63&lt;25,"")))</f>
        <v/>
      </c>
      <c r="Y63" s="108" t="str">
        <f aca="false">IF(P63=32,N63*O63*Q63*6.313*1,IF(P63&gt;32,"",IF(P63&lt;32,"")))</f>
        <v/>
      </c>
      <c r="Z63" s="109"/>
      <c r="AA63" s="110" t="str">
        <f aca="false">IF(AC63&gt;0,N63,"")</f>
        <v/>
      </c>
      <c r="AB63" s="111" t="str">
        <f aca="false">IF(AC63&gt;0,O63,"")</f>
        <v/>
      </c>
      <c r="AC63" s="112"/>
      <c r="AD63" s="112"/>
      <c r="AE63" s="113" t="str">
        <f aca="false">IF(AC63&gt;0,P63,"")</f>
        <v/>
      </c>
      <c r="AF63" s="114" t="str">
        <f aca="false">IF(AE63=6,AA63*AB63*AC63*AD63*(AE63/1000)*0.222*1,IF(AE63&gt;6,"",IF(AE63&lt;6,"")))</f>
        <v/>
      </c>
      <c r="AG63" s="107" t="str">
        <f aca="false">IF(AE63=8,AA63*AB63*AC63*AD63*(AE63/1000)*0.395*1,IF(AE63&gt;8,"",IF(AE63&lt;8,"")))</f>
        <v/>
      </c>
      <c r="AH63" s="107" t="str">
        <f aca="false">IF(AE63=10,AA63*AB63*AC63*AD63*(AE63/1000)*0.617*1,IF(AE63&gt;10,"",IF(AE63&lt;10,"")))</f>
        <v/>
      </c>
      <c r="AI63" s="107" t="str">
        <f aca="false">IF(AE63=12,AA63*AB63*AC63*AD63*(AE63/1000)*0.888*1,IF(AE63&gt;12,"",IF(AE63&lt;12,"")))</f>
        <v/>
      </c>
      <c r="AJ63" s="107" t="str">
        <f aca="false">IF(AE63=16,AA63*AB63*AC63*AD63*(AE63/1000)*1.578*1,IF(AE63&gt;16,"",IF(AE63&lt;16,"")))</f>
        <v/>
      </c>
      <c r="AK63" s="107" t="str">
        <f aca="false">IF(AE63=20,AA63*AB63*AC63*AD63*(AE63/1000)*2.466*1,IF(AE63&gt;20,"",IF(AE63&lt;20,"")))</f>
        <v/>
      </c>
      <c r="AL63" s="107" t="str">
        <f aca="false">IF(AE63=25,AA63*AB63*AC63*AD63*(AE63/1000)*3.853*1,IF(AE63&gt;25,"",IF(AE63&lt;25,"")))</f>
        <v/>
      </c>
      <c r="AM63" s="115" t="str">
        <f aca="false">IF(AE63=32,AA63*AB63*AC63*AD63*(AE63/1000)*6.313*1,IF(AE63&gt;32,"",IF(AE63&lt;32,"")))</f>
        <v/>
      </c>
      <c r="AN63" s="128"/>
      <c r="AO63" s="117" t="s">
        <v>160</v>
      </c>
      <c r="AP63" s="118" t="n">
        <f aca="false">SUM(R63:Y63)+SUM(AN63)</f>
        <v>12.5847</v>
      </c>
      <c r="AQ63" s="118" t="n">
        <f aca="false">SUM(AF63:AM63)</f>
        <v>0</v>
      </c>
      <c r="AR63" s="118"/>
      <c r="AS63" s="119"/>
      <c r="AT63" s="119" t="s">
        <v>162</v>
      </c>
    </row>
    <row r="64" customFormat="false" ht="13.5" hidden="false" customHeight="false" outlineLevel="0" collapsed="false">
      <c r="A64" s="129"/>
      <c r="B64" s="130"/>
      <c r="C64" s="110"/>
      <c r="D64" s="122"/>
      <c r="E64" s="122"/>
      <c r="F64" s="122"/>
      <c r="G64" s="123"/>
      <c r="H64" s="101"/>
      <c r="I64" s="123"/>
      <c r="J64" s="101"/>
      <c r="K64" s="124"/>
      <c r="L64" s="125"/>
      <c r="M64" s="125"/>
      <c r="N64" s="126"/>
      <c r="O64" s="126"/>
      <c r="P64" s="126"/>
      <c r="Q64" s="127"/>
      <c r="R64" s="105"/>
      <c r="S64" s="106"/>
      <c r="T64" s="106"/>
      <c r="U64" s="106"/>
      <c r="V64" s="107"/>
      <c r="W64" s="106"/>
      <c r="X64" s="106"/>
      <c r="Y64" s="108"/>
      <c r="Z64" s="109"/>
      <c r="AA64" s="110"/>
      <c r="AB64" s="111"/>
      <c r="AC64" s="112"/>
      <c r="AD64" s="112"/>
      <c r="AE64" s="113"/>
      <c r="AF64" s="114"/>
      <c r="AG64" s="107"/>
      <c r="AH64" s="107"/>
      <c r="AI64" s="107"/>
      <c r="AJ64" s="107"/>
      <c r="AK64" s="107"/>
      <c r="AL64" s="107"/>
      <c r="AM64" s="115"/>
      <c r="AO64" s="117"/>
      <c r="AP64" s="118"/>
      <c r="AQ64" s="118"/>
      <c r="AR64" s="118"/>
      <c r="AS64" s="119"/>
      <c r="AT64" s="119"/>
    </row>
    <row r="65" customFormat="false" ht="13.5" hidden="false" customHeight="false" outlineLevel="0" collapsed="false">
      <c r="A65" s="120"/>
      <c r="B65" s="121" t="s">
        <v>511</v>
      </c>
      <c r="C65" s="110" t="n">
        <v>1</v>
      </c>
      <c r="D65" s="122" t="n">
        <v>0.25</v>
      </c>
      <c r="E65" s="122" t="n">
        <v>0.4</v>
      </c>
      <c r="F65" s="122" t="n">
        <f aca="false">0.317/(0.25*0.4)</f>
        <v>3.17</v>
      </c>
      <c r="G65" s="123" t="n">
        <f aca="false">C65*D65*E65*F65</f>
        <v>0.317</v>
      </c>
      <c r="H65" s="101"/>
      <c r="I65" s="123" t="n">
        <f aca="false">C65*F65*(D65+(E65-0.2)+(E65-0.2))</f>
        <v>2.0605</v>
      </c>
      <c r="J65" s="101"/>
      <c r="K65" s="124"/>
      <c r="L65" s="125"/>
      <c r="M65" s="125"/>
      <c r="N65" s="126"/>
      <c r="O65" s="126"/>
      <c r="P65" s="126"/>
      <c r="Q65" s="127"/>
      <c r="R65" s="105" t="str">
        <f aca="false">IF(P65=6,N65*O65*Q65*0.222*1,IF(P65&gt;6,"",IF(P65&lt;6,"")))</f>
        <v/>
      </c>
      <c r="S65" s="106" t="str">
        <f aca="false">IF(P65=8,N65*O65*Q65*0.395*1,IF(P65&gt;8,"",IF(P65&lt;8,"")))</f>
        <v/>
      </c>
      <c r="T65" s="106" t="str">
        <f aca="false">IF(P65=10,N65*O65*Q65*0.617*1,IF(P65&gt;10,"",IF(P65&lt;10,"")))</f>
        <v/>
      </c>
      <c r="U65" s="106" t="str">
        <f aca="false">IF(P65=12,N65*O65*Q65*0.888*1,IF(P65&gt;12,"",IF(P65&lt;12,"")))</f>
        <v/>
      </c>
      <c r="V65" s="107" t="str">
        <f aca="false">IF(P65=16,N65*O65*Q65*1.578*1,IF(P65&gt;16,"",IF(P65&lt;16,"")))</f>
        <v/>
      </c>
      <c r="W65" s="106" t="str">
        <f aca="false">IF(P65=20,N65*O65*Q65*2.466*1,IF(P65&gt;20,"",IF(P65&lt;20,"")))</f>
        <v/>
      </c>
      <c r="X65" s="106" t="str">
        <f aca="false">IF(P65=25,N65*O65*Q65*3.853*1,IF(P65&gt;25,"",IF(P65&lt;25,"")))</f>
        <v/>
      </c>
      <c r="Y65" s="108" t="str">
        <f aca="false">IF(P65=32,N65*O65*Q65*6.313*1,IF(P65&gt;32,"",IF(P65&lt;32,"")))</f>
        <v/>
      </c>
      <c r="Z65" s="109"/>
      <c r="AA65" s="110" t="str">
        <f aca="false">IF(AC65&gt;0,N65,"")</f>
        <v/>
      </c>
      <c r="AB65" s="111" t="str">
        <f aca="false">IF(AC65&gt;0,O65,"")</f>
        <v/>
      </c>
      <c r="AC65" s="112"/>
      <c r="AD65" s="112"/>
      <c r="AE65" s="113" t="str">
        <f aca="false">IF(AC65&gt;0,P65,"")</f>
        <v/>
      </c>
      <c r="AF65" s="114" t="str">
        <f aca="false">IF(AE65=6,AA65*AB65*AC65*AD65*(AE65/1000)*0.222*1,IF(AE65&gt;6,"",IF(AE65&lt;6,"")))</f>
        <v/>
      </c>
      <c r="AG65" s="107" t="str">
        <f aca="false">IF(AE65=8,AA65*AB65*AC65*AD65*(AE65/1000)*0.395*1,IF(AE65&gt;8,"",IF(AE65&lt;8,"")))</f>
        <v/>
      </c>
      <c r="AH65" s="107" t="str">
        <f aca="false">IF(AE65=10,AA65*AB65*AC65*AD65*(AE65/1000)*0.617*1,IF(AE65&gt;10,"",IF(AE65&lt;10,"")))</f>
        <v/>
      </c>
      <c r="AI65" s="107" t="str">
        <f aca="false">IF(AE65=12,AA65*AB65*AC65*AD65*(AE65/1000)*0.888*1,IF(AE65&gt;12,"",IF(AE65&lt;12,"")))</f>
        <v/>
      </c>
      <c r="AJ65" s="107" t="str">
        <f aca="false">IF(AE65=16,AA65*AB65*AC65*AD65*(AE65/1000)*1.578*1,IF(AE65&gt;16,"",IF(AE65&lt;16,"")))</f>
        <v/>
      </c>
      <c r="AK65" s="107" t="str">
        <f aca="false">IF(AE65=20,AA65*AB65*AC65*AD65*(AE65/1000)*2.466*1,IF(AE65&gt;20,"",IF(AE65&lt;20,"")))</f>
        <v/>
      </c>
      <c r="AL65" s="107" t="str">
        <f aca="false">IF(AE65=25,AA65*AB65*AC65*AD65*(AE65/1000)*3.853*1,IF(AE65&gt;25,"",IF(AE65&lt;25,"")))</f>
        <v/>
      </c>
      <c r="AM65" s="115" t="str">
        <f aca="false">IF(AE65=32,AA65*AB65*AC65*AD65*(AE65/1000)*6.313*1,IF(AE65&gt;32,"",IF(AE65&lt;32,"")))</f>
        <v/>
      </c>
      <c r="AN65" s="128"/>
      <c r="AO65" s="117" t="s">
        <v>160</v>
      </c>
      <c r="AP65" s="118" t="n">
        <f aca="false">SUM(R65:Y65)+SUM(AN65)</f>
        <v>0</v>
      </c>
      <c r="AQ65" s="118" t="n">
        <f aca="false">SUM(AF65:AM65)</f>
        <v>0</v>
      </c>
      <c r="AR65" s="118" t="n">
        <v>0.317</v>
      </c>
      <c r="AS65" s="119" t="s">
        <v>512</v>
      </c>
      <c r="AT65" s="119" t="s">
        <v>209</v>
      </c>
    </row>
    <row r="66" customFormat="false" ht="13.5" hidden="false" customHeight="false" outlineLevel="0" collapsed="false">
      <c r="A66" s="129"/>
      <c r="B66" s="172"/>
      <c r="C66" s="110"/>
      <c r="D66" s="122"/>
      <c r="E66" s="122"/>
      <c r="F66" s="173"/>
      <c r="G66" s="123"/>
      <c r="H66" s="101"/>
      <c r="I66" s="123"/>
      <c r="J66" s="101"/>
      <c r="K66" s="124" t="s">
        <v>491</v>
      </c>
      <c r="L66" s="125"/>
      <c r="M66" s="125"/>
      <c r="N66" s="126" t="n">
        <f aca="false">$C$65</f>
        <v>1</v>
      </c>
      <c r="O66" s="126" t="n">
        <v>2</v>
      </c>
      <c r="P66" s="126" t="n">
        <v>16</v>
      </c>
      <c r="Q66" s="127" t="n">
        <f aca="false">3.205+2*50*16/1000</f>
        <v>4.805</v>
      </c>
      <c r="R66" s="105" t="str">
        <f aca="false">IF(P66=6,N66*O66*Q66*0.222*1,IF(P66&gt;6,"",IF(P66&lt;6,"")))</f>
        <v/>
      </c>
      <c r="S66" s="106" t="str">
        <f aca="false">IF(P66=8,N66*O66*Q66*0.395*1,IF(P66&gt;8,"",IF(P66&lt;8,"")))</f>
        <v/>
      </c>
      <c r="T66" s="106" t="str">
        <f aca="false">IF(P66=10,N66*O66*Q66*0.617*1,IF(P66&gt;10,"",IF(P66&lt;10,"")))</f>
        <v/>
      </c>
      <c r="U66" s="106" t="str">
        <f aca="false">IF(P66=12,N66*O66*Q66*0.888*1,IF(P66&gt;12,"",IF(P66&lt;12,"")))</f>
        <v/>
      </c>
      <c r="V66" s="107" t="n">
        <f aca="false">IF(P66=16,N66*O66*Q66*1.578*1,IF(P66&gt;16,"",IF(P66&lt;16,"")))</f>
        <v>15.16458</v>
      </c>
      <c r="W66" s="106" t="str">
        <f aca="false">IF(P66=20,N66*O66*Q66*2.466*1,IF(P66&gt;20,"",IF(P66&lt;20,"")))</f>
        <v/>
      </c>
      <c r="X66" s="106" t="str">
        <f aca="false">IF(P66=25,N66*O66*Q66*3.853*1,IF(P66&gt;25,"",IF(P66&lt;25,"")))</f>
        <v/>
      </c>
      <c r="Y66" s="108" t="str">
        <f aca="false">IF(P66=32,N66*O66*Q66*6.313*1,IF(P66&gt;32,"",IF(P66&lt;32,"")))</f>
        <v/>
      </c>
      <c r="Z66" s="109"/>
      <c r="AA66" s="110" t="str">
        <f aca="false">IF(AC66&gt;0,N66,"")</f>
        <v/>
      </c>
      <c r="AB66" s="111" t="str">
        <f aca="false">IF(AC66&gt;0,O66,"")</f>
        <v/>
      </c>
      <c r="AC66" s="112"/>
      <c r="AD66" s="112"/>
      <c r="AE66" s="113" t="str">
        <f aca="false">IF(AC66&gt;0,P66,"")</f>
        <v/>
      </c>
      <c r="AF66" s="114" t="str">
        <f aca="false">IF(AE66=6,AA66*AB66*AC66*AD66*(AE66/1000)*0.222*1,IF(AE66&gt;6,"",IF(AE66&lt;6,"")))</f>
        <v/>
      </c>
      <c r="AG66" s="107" t="str">
        <f aca="false">IF(AE66=8,AA66*AB66*AC66*AD66*(AE66/1000)*0.395*1,IF(AE66&gt;8,"",IF(AE66&lt;8,"")))</f>
        <v/>
      </c>
      <c r="AH66" s="107" t="str">
        <f aca="false">IF(AE66=10,AA66*AB66*AC66*AD66*(AE66/1000)*0.617*1,IF(AE66&gt;10,"",IF(AE66&lt;10,"")))</f>
        <v/>
      </c>
      <c r="AI66" s="107" t="str">
        <f aca="false">IF(AE66=12,AA66*AB66*AC66*AD66*(AE66/1000)*0.888*1,IF(AE66&gt;12,"",IF(AE66&lt;12,"")))</f>
        <v/>
      </c>
      <c r="AJ66" s="107" t="str">
        <f aca="false">IF(AE66=16,AA66*AB66*AC66*AD66*(AE66/1000)*1.578*1,IF(AE66&gt;16,"",IF(AE66&lt;16,"")))</f>
        <v/>
      </c>
      <c r="AK66" s="107" t="str">
        <f aca="false">IF(AE66=20,AA66*AB66*AC66*AD66*(AE66/1000)*2.466*1,IF(AE66&gt;20,"",IF(AE66&lt;20,"")))</f>
        <v/>
      </c>
      <c r="AL66" s="107" t="str">
        <f aca="false">IF(AE66=25,AA66*AB66*AC66*AD66*(AE66/1000)*3.853*1,IF(AE66&gt;25,"",IF(AE66&lt;25,"")))</f>
        <v/>
      </c>
      <c r="AM66" s="115" t="str">
        <f aca="false">IF(AE66=32,AA66*AB66*AC66*AD66*(AE66/1000)*6.313*1,IF(AE66&gt;32,"",IF(AE66&lt;32,"")))</f>
        <v/>
      </c>
      <c r="AN66" s="128"/>
      <c r="AO66" s="117" t="s">
        <v>160</v>
      </c>
      <c r="AP66" s="118" t="n">
        <f aca="false">SUM(R66:Y66)+SUM(AN66)</f>
        <v>15.16458</v>
      </c>
      <c r="AQ66" s="118" t="n">
        <f aca="false">SUM(AF66:AM66)</f>
        <v>0</v>
      </c>
      <c r="AR66" s="118"/>
      <c r="AS66" s="119" t="s">
        <v>482</v>
      </c>
      <c r="AT66" s="119" t="s">
        <v>162</v>
      </c>
    </row>
    <row r="67" customFormat="false" ht="13.5" hidden="false" customHeight="false" outlineLevel="0" collapsed="false">
      <c r="A67" s="129"/>
      <c r="B67" s="172"/>
      <c r="C67" s="110"/>
      <c r="D67" s="122"/>
      <c r="E67" s="122"/>
      <c r="F67" s="173"/>
      <c r="G67" s="123"/>
      <c r="H67" s="101"/>
      <c r="I67" s="123"/>
      <c r="J67" s="101"/>
      <c r="K67" s="124" t="s">
        <v>492</v>
      </c>
      <c r="L67" s="125"/>
      <c r="M67" s="125"/>
      <c r="N67" s="126" t="n">
        <f aca="false">$C$65</f>
        <v>1</v>
      </c>
      <c r="O67" s="126" t="n">
        <v>1</v>
      </c>
      <c r="P67" s="126" t="n">
        <v>12</v>
      </c>
      <c r="Q67" s="127" t="n">
        <f aca="false">3.205+2*50*12/1000</f>
        <v>4.405</v>
      </c>
      <c r="R67" s="105" t="str">
        <f aca="false">IF(P67=6,N67*O67*Q67*0.222*1,IF(P67&gt;6,"",IF(P67&lt;6,"")))</f>
        <v/>
      </c>
      <c r="S67" s="106" t="str">
        <f aca="false">IF(P67=8,N67*O67*Q67*0.395*1,IF(P67&gt;8,"",IF(P67&lt;8,"")))</f>
        <v/>
      </c>
      <c r="T67" s="106" t="str">
        <f aca="false">IF(P67=10,N67*O67*Q67*0.617*1,IF(P67&gt;10,"",IF(P67&lt;10,"")))</f>
        <v/>
      </c>
      <c r="U67" s="106" t="n">
        <f aca="false">IF(P67=12,N67*O67*Q67*0.888*1,IF(P67&gt;12,"",IF(P67&lt;12,"")))</f>
        <v>3.91164</v>
      </c>
      <c r="V67" s="107" t="str">
        <f aca="false">IF(P67=16,N67*O67*Q67*1.578*1,IF(P67&gt;16,"",IF(P67&lt;16,"")))</f>
        <v/>
      </c>
      <c r="W67" s="106" t="str">
        <f aca="false">IF(P67=20,N67*O67*Q67*2.466*1,IF(P67&gt;20,"",IF(P67&lt;20,"")))</f>
        <v/>
      </c>
      <c r="X67" s="106" t="str">
        <f aca="false">IF(P67=25,N67*O67*Q67*3.853*1,IF(P67&gt;25,"",IF(P67&lt;25,"")))</f>
        <v/>
      </c>
      <c r="Y67" s="108" t="str">
        <f aca="false">IF(P67=32,N67*O67*Q67*6.313*1,IF(P67&gt;32,"",IF(P67&lt;32,"")))</f>
        <v/>
      </c>
      <c r="Z67" s="109"/>
      <c r="AA67" s="110" t="str">
        <f aca="false">IF(AC67&gt;0,N67,"")</f>
        <v/>
      </c>
      <c r="AB67" s="111" t="str">
        <f aca="false">IF(AC67&gt;0,O67,"")</f>
        <v/>
      </c>
      <c r="AC67" s="112"/>
      <c r="AD67" s="112"/>
      <c r="AE67" s="113" t="str">
        <f aca="false">IF(AC67&gt;0,P67,"")</f>
        <v/>
      </c>
      <c r="AF67" s="114" t="str">
        <f aca="false">IF(AE67=6,AA67*AB67*AC67*AD67*(AE67/1000)*0.222*1,IF(AE67&gt;6,"",IF(AE67&lt;6,"")))</f>
        <v/>
      </c>
      <c r="AG67" s="107" t="str">
        <f aca="false">IF(AE67=8,AA67*AB67*AC67*AD67*(AE67/1000)*0.395*1,IF(AE67&gt;8,"",IF(AE67&lt;8,"")))</f>
        <v/>
      </c>
      <c r="AH67" s="107" t="str">
        <f aca="false">IF(AE67=10,AA67*AB67*AC67*AD67*(AE67/1000)*0.617*1,IF(AE67&gt;10,"",IF(AE67&lt;10,"")))</f>
        <v/>
      </c>
      <c r="AI67" s="107" t="str">
        <f aca="false">IF(AE67=12,AA67*AB67*AC67*AD67*(AE67/1000)*0.888*1,IF(AE67&gt;12,"",IF(AE67&lt;12,"")))</f>
        <v/>
      </c>
      <c r="AJ67" s="107" t="str">
        <f aca="false">IF(AE67=16,AA67*AB67*AC67*AD67*(AE67/1000)*1.578*1,IF(AE67&gt;16,"",IF(AE67&lt;16,"")))</f>
        <v/>
      </c>
      <c r="AK67" s="107" t="str">
        <f aca="false">IF(AE67=20,AA67*AB67*AC67*AD67*(AE67/1000)*2.466*1,IF(AE67&gt;20,"",IF(AE67&lt;20,"")))</f>
        <v/>
      </c>
      <c r="AL67" s="107" t="str">
        <f aca="false">IF(AE67=25,AA67*AB67*AC67*AD67*(AE67/1000)*3.853*1,IF(AE67&gt;25,"",IF(AE67&lt;25,"")))</f>
        <v/>
      </c>
      <c r="AM67" s="115" t="str">
        <f aca="false">IF(AE67=32,AA67*AB67*AC67*AD67*(AE67/1000)*6.313*1,IF(AE67&gt;32,"",IF(AE67&lt;32,"")))</f>
        <v/>
      </c>
      <c r="AN67" s="128"/>
      <c r="AO67" s="117" t="s">
        <v>160</v>
      </c>
      <c r="AP67" s="118" t="n">
        <f aca="false">SUM(R67:Y67)+SUM(AN67)</f>
        <v>3.91164</v>
      </c>
      <c r="AQ67" s="118" t="n">
        <f aca="false">SUM(AF67:AM67)</f>
        <v>0</v>
      </c>
      <c r="AR67" s="118"/>
      <c r="AS67" s="119" t="s">
        <v>482</v>
      </c>
      <c r="AT67" s="119" t="s">
        <v>162</v>
      </c>
    </row>
    <row r="68" customFormat="false" ht="13.5" hidden="false" customHeight="false" outlineLevel="0" collapsed="false">
      <c r="A68" s="129"/>
      <c r="B68" s="172"/>
      <c r="C68" s="110"/>
      <c r="D68" s="122"/>
      <c r="E68" s="122"/>
      <c r="F68" s="173"/>
      <c r="G68" s="123"/>
      <c r="H68" s="101"/>
      <c r="I68" s="123"/>
      <c r="J68" s="101"/>
      <c r="K68" s="124" t="s">
        <v>493</v>
      </c>
      <c r="L68" s="125"/>
      <c r="M68" s="125"/>
      <c r="N68" s="126" t="n">
        <f aca="false">$C$65</f>
        <v>1</v>
      </c>
      <c r="O68" s="126" t="n">
        <v>2</v>
      </c>
      <c r="P68" s="126" t="n">
        <v>16</v>
      </c>
      <c r="Q68" s="127" t="n">
        <f aca="false">3.205+2*50*16/1000</f>
        <v>4.805</v>
      </c>
      <c r="R68" s="105" t="str">
        <f aca="false">IF(P68=6,N68*O68*Q68*0.222*1,IF(P68&gt;6,"",IF(P68&lt;6,"")))</f>
        <v/>
      </c>
      <c r="S68" s="106" t="str">
        <f aca="false">IF(P68=8,N68*O68*Q68*0.395*1,IF(P68&gt;8,"",IF(P68&lt;8,"")))</f>
        <v/>
      </c>
      <c r="T68" s="106" t="str">
        <f aca="false">IF(P68=10,N68*O68*Q68*0.617*1,IF(P68&gt;10,"",IF(P68&lt;10,"")))</f>
        <v/>
      </c>
      <c r="U68" s="106" t="str">
        <f aca="false">IF(P68=12,N68*O68*Q68*0.888*1,IF(P68&gt;12,"",IF(P68&lt;12,"")))</f>
        <v/>
      </c>
      <c r="V68" s="107" t="n">
        <f aca="false">IF(P68=16,N68*O68*Q68*1.578*1,IF(P68&gt;16,"",IF(P68&lt;16,"")))</f>
        <v>15.16458</v>
      </c>
      <c r="W68" s="106" t="str">
        <f aca="false">IF(P68=20,N68*O68*Q68*2.466*1,IF(P68&gt;20,"",IF(P68&lt;20,"")))</f>
        <v/>
      </c>
      <c r="X68" s="106" t="str">
        <f aca="false">IF(P68=25,N68*O68*Q68*3.853*1,IF(P68&gt;25,"",IF(P68&lt;25,"")))</f>
        <v/>
      </c>
      <c r="Y68" s="108" t="str">
        <f aca="false">IF(P68=32,N68*O68*Q68*6.313*1,IF(P68&gt;32,"",IF(P68&lt;32,"")))</f>
        <v/>
      </c>
      <c r="Z68" s="109"/>
      <c r="AA68" s="110" t="str">
        <f aca="false">IF(AC68&gt;0,N68,"")</f>
        <v/>
      </c>
      <c r="AB68" s="111" t="str">
        <f aca="false">IF(AC68&gt;0,O68,"")</f>
        <v/>
      </c>
      <c r="AC68" s="112"/>
      <c r="AD68" s="112"/>
      <c r="AE68" s="113" t="str">
        <f aca="false">IF(AC68&gt;0,P68,"")</f>
        <v/>
      </c>
      <c r="AF68" s="114" t="str">
        <f aca="false">IF(AE68=6,AA68*AB68*AC68*AD68*(AE68/1000)*0.222*1,IF(AE68&gt;6,"",IF(AE68&lt;6,"")))</f>
        <v/>
      </c>
      <c r="AG68" s="107" t="str">
        <f aca="false">IF(AE68=8,AA68*AB68*AC68*AD68*(AE68/1000)*0.395*1,IF(AE68&gt;8,"",IF(AE68&lt;8,"")))</f>
        <v/>
      </c>
      <c r="AH68" s="107" t="str">
        <f aca="false">IF(AE68=10,AA68*AB68*AC68*AD68*(AE68/1000)*0.617*1,IF(AE68&gt;10,"",IF(AE68&lt;10,"")))</f>
        <v/>
      </c>
      <c r="AI68" s="107" t="str">
        <f aca="false">IF(AE68=12,AA68*AB68*AC68*AD68*(AE68/1000)*0.888*1,IF(AE68&gt;12,"",IF(AE68&lt;12,"")))</f>
        <v/>
      </c>
      <c r="AJ68" s="107" t="str">
        <f aca="false">IF(AE68=16,AA68*AB68*AC68*AD68*(AE68/1000)*1.578*1,IF(AE68&gt;16,"",IF(AE68&lt;16,"")))</f>
        <v/>
      </c>
      <c r="AK68" s="107" t="str">
        <f aca="false">IF(AE68=20,AA68*AB68*AC68*AD68*(AE68/1000)*2.466*1,IF(AE68&gt;20,"",IF(AE68&lt;20,"")))</f>
        <v/>
      </c>
      <c r="AL68" s="107" t="str">
        <f aca="false">IF(AE68=25,AA68*AB68*AC68*AD68*(AE68/1000)*3.853*1,IF(AE68&gt;25,"",IF(AE68&lt;25,"")))</f>
        <v/>
      </c>
      <c r="AM68" s="115" t="str">
        <f aca="false">IF(AE68=32,AA68*AB68*AC68*AD68*(AE68/1000)*6.313*1,IF(AE68&gt;32,"",IF(AE68&lt;32,"")))</f>
        <v/>
      </c>
      <c r="AN68" s="128"/>
      <c r="AO68" s="117" t="s">
        <v>160</v>
      </c>
      <c r="AP68" s="118" t="n">
        <f aca="false">SUM(R68:Y68)+SUM(AN68)</f>
        <v>15.16458</v>
      </c>
      <c r="AQ68" s="118" t="n">
        <f aca="false">SUM(AF68:AM68)</f>
        <v>0</v>
      </c>
      <c r="AR68" s="118"/>
      <c r="AS68" s="119" t="s">
        <v>482</v>
      </c>
      <c r="AT68" s="119" t="s">
        <v>162</v>
      </c>
    </row>
    <row r="69" customFormat="false" ht="13.5" hidden="false" customHeight="false" outlineLevel="0" collapsed="false">
      <c r="A69" s="129"/>
      <c r="B69" s="172"/>
      <c r="C69" s="110"/>
      <c r="D69" s="122"/>
      <c r="E69" s="122"/>
      <c r="F69" s="173"/>
      <c r="G69" s="123"/>
      <c r="H69" s="101"/>
      <c r="I69" s="123"/>
      <c r="J69" s="101"/>
      <c r="K69" s="124" t="s">
        <v>494</v>
      </c>
      <c r="L69" s="125"/>
      <c r="M69" s="125"/>
      <c r="N69" s="126" t="n">
        <f aca="false">$C$65</f>
        <v>1</v>
      </c>
      <c r="O69" s="126" t="n">
        <v>1</v>
      </c>
      <c r="P69" s="126" t="n">
        <v>12</v>
      </c>
      <c r="Q69" s="127" t="n">
        <f aca="false">3.205+2*50*12/1000</f>
        <v>4.405</v>
      </c>
      <c r="R69" s="105" t="str">
        <f aca="false">IF(P69=6,N69*O69*Q69*0.222*1,IF(P69&gt;6,"",IF(P69&lt;6,"")))</f>
        <v/>
      </c>
      <c r="S69" s="106" t="str">
        <f aca="false">IF(P69=8,N69*O69*Q69*0.395*1,IF(P69&gt;8,"",IF(P69&lt;8,"")))</f>
        <v/>
      </c>
      <c r="T69" s="106" t="str">
        <f aca="false">IF(P69=10,N69*O69*Q69*0.617*1,IF(P69&gt;10,"",IF(P69&lt;10,"")))</f>
        <v/>
      </c>
      <c r="U69" s="106" t="n">
        <f aca="false">IF(P69=12,N69*O69*Q69*0.888*1,IF(P69&gt;12,"",IF(P69&lt;12,"")))</f>
        <v>3.91164</v>
      </c>
      <c r="V69" s="107" t="str">
        <f aca="false">IF(P69=16,N69*O69*Q69*1.578*1,IF(P69&gt;16,"",IF(P69&lt;16,"")))</f>
        <v/>
      </c>
      <c r="W69" s="106" t="str">
        <f aca="false">IF(P69=20,N69*O69*Q69*2.466*1,IF(P69&gt;20,"",IF(P69&lt;20,"")))</f>
        <v/>
      </c>
      <c r="X69" s="106" t="str">
        <f aca="false">IF(P69=25,N69*O69*Q69*3.853*1,IF(P69&gt;25,"",IF(P69&lt;25,"")))</f>
        <v/>
      </c>
      <c r="Y69" s="108" t="str">
        <f aca="false">IF(P69=32,N69*O69*Q69*6.313*1,IF(P69&gt;32,"",IF(P69&lt;32,"")))</f>
        <v/>
      </c>
      <c r="Z69" s="109"/>
      <c r="AA69" s="110" t="str">
        <f aca="false">IF(AC69&gt;0,N69,"")</f>
        <v/>
      </c>
      <c r="AB69" s="111" t="str">
        <f aca="false">IF(AC69&gt;0,O69,"")</f>
        <v/>
      </c>
      <c r="AC69" s="112"/>
      <c r="AD69" s="112"/>
      <c r="AE69" s="113" t="str">
        <f aca="false">IF(AC69&gt;0,P69,"")</f>
        <v/>
      </c>
      <c r="AF69" s="114" t="str">
        <f aca="false">IF(AE69=6,AA69*AB69*AC69*AD69*(AE69/1000)*0.222*1,IF(AE69&gt;6,"",IF(AE69&lt;6,"")))</f>
        <v/>
      </c>
      <c r="AG69" s="107" t="str">
        <f aca="false">IF(AE69=8,AA69*AB69*AC69*AD69*(AE69/1000)*0.395*1,IF(AE69&gt;8,"",IF(AE69&lt;8,"")))</f>
        <v/>
      </c>
      <c r="AH69" s="107" t="str">
        <f aca="false">IF(AE69=10,AA69*AB69*AC69*AD69*(AE69/1000)*0.617*1,IF(AE69&gt;10,"",IF(AE69&lt;10,"")))</f>
        <v/>
      </c>
      <c r="AI69" s="107" t="str">
        <f aca="false">IF(AE69=12,AA69*AB69*AC69*AD69*(AE69/1000)*0.888*1,IF(AE69&gt;12,"",IF(AE69&lt;12,"")))</f>
        <v/>
      </c>
      <c r="AJ69" s="107" t="str">
        <f aca="false">IF(AE69=16,AA69*AB69*AC69*AD69*(AE69/1000)*1.578*1,IF(AE69&gt;16,"",IF(AE69&lt;16,"")))</f>
        <v/>
      </c>
      <c r="AK69" s="107" t="str">
        <f aca="false">IF(AE69=20,AA69*AB69*AC69*AD69*(AE69/1000)*2.466*1,IF(AE69&gt;20,"",IF(AE69&lt;20,"")))</f>
        <v/>
      </c>
      <c r="AL69" s="107" t="str">
        <f aca="false">IF(AE69=25,AA69*AB69*AC69*AD69*(AE69/1000)*3.853*1,IF(AE69&gt;25,"",IF(AE69&lt;25,"")))</f>
        <v/>
      </c>
      <c r="AM69" s="115" t="str">
        <f aca="false">IF(AE69=32,AA69*AB69*AC69*AD69*(AE69/1000)*6.313*1,IF(AE69&gt;32,"",IF(AE69&lt;32,"")))</f>
        <v/>
      </c>
      <c r="AN69" s="128"/>
      <c r="AO69" s="117" t="s">
        <v>160</v>
      </c>
      <c r="AP69" s="118" t="n">
        <f aca="false">SUM(R69:Y69)+SUM(AN69)</f>
        <v>3.91164</v>
      </c>
      <c r="AQ69" s="118" t="n">
        <f aca="false">SUM(AF69:AM69)</f>
        <v>0</v>
      </c>
      <c r="AR69" s="118"/>
      <c r="AS69" s="119" t="s">
        <v>482</v>
      </c>
      <c r="AT69" s="119" t="s">
        <v>162</v>
      </c>
    </row>
    <row r="70" customFormat="false" ht="13.5" hidden="false" customHeight="false" outlineLevel="0" collapsed="false">
      <c r="A70" s="129"/>
      <c r="B70" s="172"/>
      <c r="C70" s="110"/>
      <c r="D70" s="122"/>
      <c r="E70" s="122"/>
      <c r="F70" s="173"/>
      <c r="G70" s="123"/>
      <c r="H70" s="101"/>
      <c r="I70" s="123"/>
      <c r="J70" s="101"/>
      <c r="K70" s="124" t="s">
        <v>486</v>
      </c>
      <c r="L70" s="125" t="n">
        <f aca="false">$F$65</f>
        <v>3.17</v>
      </c>
      <c r="M70" s="125" t="n">
        <v>0.125</v>
      </c>
      <c r="N70" s="126" t="n">
        <f aca="false">$C$65</f>
        <v>1</v>
      </c>
      <c r="O70" s="126" t="n">
        <f aca="false">CEILING(L70/M70,1)+1</f>
        <v>27</v>
      </c>
      <c r="P70" s="126" t="n">
        <v>8</v>
      </c>
      <c r="Q70" s="127" t="n">
        <f aca="false">2*($D$65-2*0.035)+2*($E$65-2*0.035)+20*8/1000</f>
        <v>1.18</v>
      </c>
      <c r="R70" s="105" t="str">
        <f aca="false">IF(P70=6,N70*O70*Q70*0.222*1,IF(P70&gt;6,"",IF(P70&lt;6,"")))</f>
        <v/>
      </c>
      <c r="S70" s="106" t="n">
        <f aca="false">IF(P70=8,N70*O70*Q70*0.395*1,IF(P70&gt;8,"",IF(P70&lt;8,"")))</f>
        <v>12.5847</v>
      </c>
      <c r="T70" s="106" t="str">
        <f aca="false">IF(P70=10,N70*O70*Q70*0.617*1,IF(P70&gt;10,"",IF(P70&lt;10,"")))</f>
        <v/>
      </c>
      <c r="U70" s="106" t="str">
        <f aca="false">IF(P70=12,N70*O70*Q70*0.888*1,IF(P70&gt;12,"",IF(P70&lt;12,"")))</f>
        <v/>
      </c>
      <c r="V70" s="107" t="str">
        <f aca="false">IF(P70=16,N70*O70*Q70*1.578*1,IF(P70&gt;16,"",IF(P70&lt;16,"")))</f>
        <v/>
      </c>
      <c r="W70" s="106" t="str">
        <f aca="false">IF(P70=20,N70*O70*Q70*2.466*1,IF(P70&gt;20,"",IF(P70&lt;20,"")))</f>
        <v/>
      </c>
      <c r="X70" s="106" t="str">
        <f aca="false">IF(P70=25,N70*O70*Q70*3.853*1,IF(P70&gt;25,"",IF(P70&lt;25,"")))</f>
        <v/>
      </c>
      <c r="Y70" s="108" t="str">
        <f aca="false">IF(P70=32,N70*O70*Q70*6.313*1,IF(P70&gt;32,"",IF(P70&lt;32,"")))</f>
        <v/>
      </c>
      <c r="Z70" s="109"/>
      <c r="AA70" s="110" t="str">
        <f aca="false">IF(AC70&gt;0,N70,"")</f>
        <v/>
      </c>
      <c r="AB70" s="111" t="str">
        <f aca="false">IF(AC70&gt;0,O70,"")</f>
        <v/>
      </c>
      <c r="AC70" s="112"/>
      <c r="AD70" s="112"/>
      <c r="AE70" s="113" t="str">
        <f aca="false">IF(AC70&gt;0,P70,"")</f>
        <v/>
      </c>
      <c r="AF70" s="114" t="str">
        <f aca="false">IF(AE70=6,AA70*AB70*AC70*AD70*(AE70/1000)*0.222*1,IF(AE70&gt;6,"",IF(AE70&lt;6,"")))</f>
        <v/>
      </c>
      <c r="AG70" s="107" t="str">
        <f aca="false">IF(AE70=8,AA70*AB70*AC70*AD70*(AE70/1000)*0.395*1,IF(AE70&gt;8,"",IF(AE70&lt;8,"")))</f>
        <v/>
      </c>
      <c r="AH70" s="107" t="str">
        <f aca="false">IF(AE70=10,AA70*AB70*AC70*AD70*(AE70/1000)*0.617*1,IF(AE70&gt;10,"",IF(AE70&lt;10,"")))</f>
        <v/>
      </c>
      <c r="AI70" s="107" t="str">
        <f aca="false">IF(AE70=12,AA70*AB70*AC70*AD70*(AE70/1000)*0.888*1,IF(AE70&gt;12,"",IF(AE70&lt;12,"")))</f>
        <v/>
      </c>
      <c r="AJ70" s="107" t="str">
        <f aca="false">IF(AE70=16,AA70*AB70*AC70*AD70*(AE70/1000)*1.578*1,IF(AE70&gt;16,"",IF(AE70&lt;16,"")))</f>
        <v/>
      </c>
      <c r="AK70" s="107" t="str">
        <f aca="false">IF(AE70=20,AA70*AB70*AC70*AD70*(AE70/1000)*2.466*1,IF(AE70&gt;20,"",IF(AE70&lt;20,"")))</f>
        <v/>
      </c>
      <c r="AL70" s="107" t="str">
        <f aca="false">IF(AE70=25,AA70*AB70*AC70*AD70*(AE70/1000)*3.853*1,IF(AE70&gt;25,"",IF(AE70&lt;25,"")))</f>
        <v/>
      </c>
      <c r="AM70" s="115" t="str">
        <f aca="false">IF(AE70=32,AA70*AB70*AC70*AD70*(AE70/1000)*6.313*1,IF(AE70&gt;32,"",IF(AE70&lt;32,"")))</f>
        <v/>
      </c>
      <c r="AN70" s="128"/>
      <c r="AO70" s="117" t="s">
        <v>160</v>
      </c>
      <c r="AP70" s="118" t="n">
        <f aca="false">SUM(R70:Y70)+SUM(AN70)</f>
        <v>12.5847</v>
      </c>
      <c r="AQ70" s="118" t="n">
        <f aca="false">SUM(AF70:AM70)</f>
        <v>0</v>
      </c>
      <c r="AR70" s="118"/>
      <c r="AS70" s="119"/>
      <c r="AT70" s="119" t="s">
        <v>162</v>
      </c>
    </row>
    <row r="71" customFormat="false" ht="13.5" hidden="false" customHeight="false" outlineLevel="0" collapsed="false">
      <c r="A71" s="129"/>
      <c r="B71" s="130"/>
      <c r="C71" s="110"/>
      <c r="D71" s="122"/>
      <c r="E71" s="122"/>
      <c r="F71" s="122"/>
      <c r="G71" s="123"/>
      <c r="H71" s="101"/>
      <c r="I71" s="123"/>
      <c r="J71" s="101"/>
      <c r="K71" s="124"/>
      <c r="L71" s="125"/>
      <c r="M71" s="125"/>
      <c r="N71" s="126"/>
      <c r="O71" s="126"/>
      <c r="P71" s="126"/>
      <c r="Q71" s="127"/>
      <c r="R71" s="105"/>
      <c r="S71" s="106"/>
      <c r="T71" s="106"/>
      <c r="U71" s="106"/>
      <c r="V71" s="107"/>
      <c r="W71" s="106"/>
      <c r="X71" s="106"/>
      <c r="Y71" s="108"/>
      <c r="Z71" s="109"/>
      <c r="AA71" s="110"/>
      <c r="AB71" s="111"/>
      <c r="AC71" s="112"/>
      <c r="AD71" s="112"/>
      <c r="AE71" s="113"/>
      <c r="AF71" s="114"/>
      <c r="AG71" s="107"/>
      <c r="AH71" s="107"/>
      <c r="AI71" s="107"/>
      <c r="AJ71" s="107"/>
      <c r="AK71" s="107"/>
      <c r="AL71" s="107"/>
      <c r="AM71" s="115"/>
      <c r="AO71" s="117"/>
      <c r="AP71" s="118"/>
      <c r="AQ71" s="118"/>
      <c r="AR71" s="118"/>
      <c r="AS71" s="119"/>
      <c r="AT71" s="119"/>
    </row>
    <row r="72" s="116" customFormat="true" ht="13.5" hidden="false" customHeight="false" outlineLevel="0" collapsed="false">
      <c r="A72" s="120"/>
      <c r="B72" s="121" t="s">
        <v>513</v>
      </c>
      <c r="C72" s="110" t="n">
        <v>1</v>
      </c>
      <c r="D72" s="122" t="n">
        <v>0.25</v>
      </c>
      <c r="E72" s="122" t="n">
        <v>0.4</v>
      </c>
      <c r="F72" s="122" t="n">
        <f aca="false">0.3335/(0.25*0.4)</f>
        <v>3.335</v>
      </c>
      <c r="G72" s="123" t="n">
        <f aca="false">C72*D72*E72*F72</f>
        <v>0.3335</v>
      </c>
      <c r="H72" s="101"/>
      <c r="I72" s="123" t="n">
        <f aca="false">C72*F72*(D72+(E72-0.2)+(E72-0.2))</f>
        <v>2.16775</v>
      </c>
      <c r="J72" s="101"/>
      <c r="K72" s="124"/>
      <c r="L72" s="125"/>
      <c r="M72" s="125"/>
      <c r="N72" s="126"/>
      <c r="O72" s="126"/>
      <c r="P72" s="126"/>
      <c r="Q72" s="127"/>
      <c r="R72" s="105" t="str">
        <f aca="false">IF(P72=6,N72*O72*Q72*0.222*1,IF(P72&gt;6,"",IF(P72&lt;6,"")))</f>
        <v/>
      </c>
      <c r="S72" s="106" t="str">
        <f aca="false">IF(P72=8,N72*O72*Q72*0.395*1,IF(P72&gt;8,"",IF(P72&lt;8,"")))</f>
        <v/>
      </c>
      <c r="T72" s="106" t="str">
        <f aca="false">IF(P72=10,N72*O72*Q72*0.617*1,IF(P72&gt;10,"",IF(P72&lt;10,"")))</f>
        <v/>
      </c>
      <c r="U72" s="106" t="str">
        <f aca="false">IF(P72=12,N72*O72*Q72*0.888*1,IF(P72&gt;12,"",IF(P72&lt;12,"")))</f>
        <v/>
      </c>
      <c r="V72" s="107" t="str">
        <f aca="false">IF(P72=16,N72*O72*Q72*1.578*1,IF(P72&gt;16,"",IF(P72&lt;16,"")))</f>
        <v/>
      </c>
      <c r="W72" s="106" t="str">
        <f aca="false">IF(P72=20,N72*O72*Q72*2.466*1,IF(P72&gt;20,"",IF(P72&lt;20,"")))</f>
        <v/>
      </c>
      <c r="X72" s="106" t="str">
        <f aca="false">IF(P72=25,N72*O72*Q72*3.853*1,IF(P72&gt;25,"",IF(P72&lt;25,"")))</f>
        <v/>
      </c>
      <c r="Y72" s="108" t="str">
        <f aca="false">IF(P72=32,N72*O72*Q72*6.313*1,IF(P72&gt;32,"",IF(P72&lt;32,"")))</f>
        <v/>
      </c>
      <c r="Z72" s="109"/>
      <c r="AA72" s="110" t="str">
        <f aca="false">IF(AC72&gt;0,N72,"")</f>
        <v/>
      </c>
      <c r="AB72" s="111" t="str">
        <f aca="false">IF(AC72&gt;0,O72,"")</f>
        <v/>
      </c>
      <c r="AC72" s="112"/>
      <c r="AD72" s="112"/>
      <c r="AE72" s="113" t="str">
        <f aca="false">IF(AC72&gt;0,P72,"")</f>
        <v/>
      </c>
      <c r="AF72" s="114" t="str">
        <f aca="false">IF(AE72=6,AA72*AB72*AC72*AD72*(AE72/1000)*0.222*1,IF(AE72&gt;6,"",IF(AE72&lt;6,"")))</f>
        <v/>
      </c>
      <c r="AG72" s="107" t="str">
        <f aca="false">IF(AE72=8,AA72*AB72*AC72*AD72*(AE72/1000)*0.395*1,IF(AE72&gt;8,"",IF(AE72&lt;8,"")))</f>
        <v/>
      </c>
      <c r="AH72" s="107" t="str">
        <f aca="false">IF(AE72=10,AA72*AB72*AC72*AD72*(AE72/1000)*0.617*1,IF(AE72&gt;10,"",IF(AE72&lt;10,"")))</f>
        <v/>
      </c>
      <c r="AI72" s="107" t="str">
        <f aca="false">IF(AE72=12,AA72*AB72*AC72*AD72*(AE72/1000)*0.888*1,IF(AE72&gt;12,"",IF(AE72&lt;12,"")))</f>
        <v/>
      </c>
      <c r="AJ72" s="107" t="str">
        <f aca="false">IF(AE72=16,AA72*AB72*AC72*AD72*(AE72/1000)*1.578*1,IF(AE72&gt;16,"",IF(AE72&lt;16,"")))</f>
        <v/>
      </c>
      <c r="AK72" s="107" t="str">
        <f aca="false">IF(AE72=20,AA72*AB72*AC72*AD72*(AE72/1000)*2.466*1,IF(AE72&gt;20,"",IF(AE72&lt;20,"")))</f>
        <v/>
      </c>
      <c r="AL72" s="107" t="str">
        <f aca="false">IF(AE72=25,AA72*AB72*AC72*AD72*(AE72/1000)*3.853*1,IF(AE72&gt;25,"",IF(AE72&lt;25,"")))</f>
        <v/>
      </c>
      <c r="AM72" s="115" t="str">
        <f aca="false">IF(AE72=32,AA72*AB72*AC72*AD72*(AE72/1000)*6.313*1,IF(AE72&gt;32,"",IF(AE72&lt;32,"")))</f>
        <v/>
      </c>
      <c r="AN72" s="128"/>
      <c r="AO72" s="117" t="s">
        <v>160</v>
      </c>
      <c r="AP72" s="118" t="n">
        <f aca="false">SUM(R72:Y72)+SUM(AN72)</f>
        <v>0</v>
      </c>
      <c r="AQ72" s="118" t="n">
        <f aca="false">SUM(AF72:AM72)</f>
        <v>0</v>
      </c>
      <c r="AR72" s="118" t="n">
        <v>0.3335</v>
      </c>
      <c r="AS72" s="119" t="s">
        <v>514</v>
      </c>
      <c r="AT72" s="119" t="s">
        <v>209</v>
      </c>
    </row>
    <row r="73" customFormat="false" ht="13.5" hidden="false" customHeight="false" outlineLevel="0" collapsed="false">
      <c r="A73" s="129"/>
      <c r="B73" s="172"/>
      <c r="C73" s="110"/>
      <c r="D73" s="122"/>
      <c r="E73" s="122"/>
      <c r="F73" s="173"/>
      <c r="G73" s="123"/>
      <c r="H73" s="101"/>
      <c r="I73" s="123"/>
      <c r="J73" s="101"/>
      <c r="K73" s="124" t="s">
        <v>491</v>
      </c>
      <c r="L73" s="125"/>
      <c r="M73" s="125"/>
      <c r="N73" s="126" t="n">
        <f aca="false">$C$72</f>
        <v>1</v>
      </c>
      <c r="O73" s="126" t="n">
        <v>2</v>
      </c>
      <c r="P73" s="126" t="n">
        <v>16</v>
      </c>
      <c r="Q73" s="127" t="n">
        <f aca="false">3.335+2*50*16/1000</f>
        <v>4.935</v>
      </c>
      <c r="R73" s="105" t="str">
        <f aca="false">IF(P73=6,N73*O73*Q73*0.222*1,IF(P73&gt;6,"",IF(P73&lt;6,"")))</f>
        <v/>
      </c>
      <c r="S73" s="106" t="str">
        <f aca="false">IF(P73=8,N73*O73*Q73*0.395*1,IF(P73&gt;8,"",IF(P73&lt;8,"")))</f>
        <v/>
      </c>
      <c r="T73" s="106" t="str">
        <f aca="false">IF(P73=10,N73*O73*Q73*0.617*1,IF(P73&gt;10,"",IF(P73&lt;10,"")))</f>
        <v/>
      </c>
      <c r="U73" s="106" t="str">
        <f aca="false">IF(P73=12,N73*O73*Q73*0.888*1,IF(P73&gt;12,"",IF(P73&lt;12,"")))</f>
        <v/>
      </c>
      <c r="V73" s="107" t="n">
        <f aca="false">IF(P73=16,N73*O73*Q73*1.578*1,IF(P73&gt;16,"",IF(P73&lt;16,"")))</f>
        <v>15.57486</v>
      </c>
      <c r="W73" s="106" t="str">
        <f aca="false">IF(P73=20,N73*O73*Q73*2.466*1,IF(P73&gt;20,"",IF(P73&lt;20,"")))</f>
        <v/>
      </c>
      <c r="X73" s="106" t="str">
        <f aca="false">IF(P73=25,N73*O73*Q73*3.853*1,IF(P73&gt;25,"",IF(P73&lt;25,"")))</f>
        <v/>
      </c>
      <c r="Y73" s="108" t="str">
        <f aca="false">IF(P73=32,N73*O73*Q73*6.313*1,IF(P73&gt;32,"",IF(P73&lt;32,"")))</f>
        <v/>
      </c>
      <c r="Z73" s="109"/>
      <c r="AA73" s="110" t="str">
        <f aca="false">IF(AC73&gt;0,N73,"")</f>
        <v/>
      </c>
      <c r="AB73" s="111" t="str">
        <f aca="false">IF(AC73&gt;0,O73,"")</f>
        <v/>
      </c>
      <c r="AC73" s="112"/>
      <c r="AD73" s="112"/>
      <c r="AE73" s="113" t="str">
        <f aca="false">IF(AC73&gt;0,P73,"")</f>
        <v/>
      </c>
      <c r="AF73" s="114" t="str">
        <f aca="false">IF(AE73=6,AA73*AB73*AC73*AD73*(AE73/1000)*0.222*1,IF(AE73&gt;6,"",IF(AE73&lt;6,"")))</f>
        <v/>
      </c>
      <c r="AG73" s="107" t="str">
        <f aca="false">IF(AE73=8,AA73*AB73*AC73*AD73*(AE73/1000)*0.395*1,IF(AE73&gt;8,"",IF(AE73&lt;8,"")))</f>
        <v/>
      </c>
      <c r="AH73" s="107" t="str">
        <f aca="false">IF(AE73=10,AA73*AB73*AC73*AD73*(AE73/1000)*0.617*1,IF(AE73&gt;10,"",IF(AE73&lt;10,"")))</f>
        <v/>
      </c>
      <c r="AI73" s="107" t="str">
        <f aca="false">IF(AE73=12,AA73*AB73*AC73*AD73*(AE73/1000)*0.888*1,IF(AE73&gt;12,"",IF(AE73&lt;12,"")))</f>
        <v/>
      </c>
      <c r="AJ73" s="107" t="str">
        <f aca="false">IF(AE73=16,AA73*AB73*AC73*AD73*(AE73/1000)*1.578*1,IF(AE73&gt;16,"",IF(AE73&lt;16,"")))</f>
        <v/>
      </c>
      <c r="AK73" s="107" t="str">
        <f aca="false">IF(AE73=20,AA73*AB73*AC73*AD73*(AE73/1000)*2.466*1,IF(AE73&gt;20,"",IF(AE73&lt;20,"")))</f>
        <v/>
      </c>
      <c r="AL73" s="107" t="str">
        <f aca="false">IF(AE73=25,AA73*AB73*AC73*AD73*(AE73/1000)*3.853*1,IF(AE73&gt;25,"",IF(AE73&lt;25,"")))</f>
        <v/>
      </c>
      <c r="AM73" s="115" t="str">
        <f aca="false">IF(AE73=32,AA73*AB73*AC73*AD73*(AE73/1000)*6.313*1,IF(AE73&gt;32,"",IF(AE73&lt;32,"")))</f>
        <v/>
      </c>
      <c r="AN73" s="128"/>
      <c r="AO73" s="117" t="s">
        <v>160</v>
      </c>
      <c r="AP73" s="118" t="n">
        <f aca="false">SUM(R73:Y73)+SUM(AN73)</f>
        <v>15.57486</v>
      </c>
      <c r="AQ73" s="118" t="n">
        <f aca="false">SUM(AF73:AM73)</f>
        <v>0</v>
      </c>
      <c r="AR73" s="118"/>
      <c r="AS73" s="119" t="s">
        <v>482</v>
      </c>
      <c r="AT73" s="119" t="s">
        <v>162</v>
      </c>
    </row>
    <row r="74" customFormat="false" ht="13.5" hidden="false" customHeight="false" outlineLevel="0" collapsed="false">
      <c r="A74" s="129"/>
      <c r="B74" s="172"/>
      <c r="C74" s="110"/>
      <c r="D74" s="122"/>
      <c r="E74" s="122"/>
      <c r="F74" s="173"/>
      <c r="G74" s="123"/>
      <c r="H74" s="101"/>
      <c r="I74" s="123"/>
      <c r="J74" s="101"/>
      <c r="K74" s="124" t="s">
        <v>492</v>
      </c>
      <c r="L74" s="125"/>
      <c r="M74" s="125"/>
      <c r="N74" s="126" t="n">
        <f aca="false">$C$72</f>
        <v>1</v>
      </c>
      <c r="O74" s="126" t="n">
        <v>1</v>
      </c>
      <c r="P74" s="126" t="n">
        <v>12</v>
      </c>
      <c r="Q74" s="127" t="n">
        <f aca="false">3.335+2*50*12/1000</f>
        <v>4.535</v>
      </c>
      <c r="R74" s="105" t="str">
        <f aca="false">IF(P74=6,N74*O74*Q74*0.222*1,IF(P74&gt;6,"",IF(P74&lt;6,"")))</f>
        <v/>
      </c>
      <c r="S74" s="106" t="str">
        <f aca="false">IF(P74=8,N74*O74*Q74*0.395*1,IF(P74&gt;8,"",IF(P74&lt;8,"")))</f>
        <v/>
      </c>
      <c r="T74" s="106" t="str">
        <f aca="false">IF(P74=10,N74*O74*Q74*0.617*1,IF(P74&gt;10,"",IF(P74&lt;10,"")))</f>
        <v/>
      </c>
      <c r="U74" s="106" t="n">
        <f aca="false">IF(P74=12,N74*O74*Q74*0.888*1,IF(P74&gt;12,"",IF(P74&lt;12,"")))</f>
        <v>4.02708</v>
      </c>
      <c r="V74" s="107" t="str">
        <f aca="false">IF(P74=16,N74*O74*Q74*1.578*1,IF(P74&gt;16,"",IF(P74&lt;16,"")))</f>
        <v/>
      </c>
      <c r="W74" s="106" t="str">
        <f aca="false">IF(P74=20,N74*O74*Q74*2.466*1,IF(P74&gt;20,"",IF(P74&lt;20,"")))</f>
        <v/>
      </c>
      <c r="X74" s="106" t="str">
        <f aca="false">IF(P74=25,N74*O74*Q74*3.853*1,IF(P74&gt;25,"",IF(P74&lt;25,"")))</f>
        <v/>
      </c>
      <c r="Y74" s="108" t="str">
        <f aca="false">IF(P74=32,N74*O74*Q74*6.313*1,IF(P74&gt;32,"",IF(P74&lt;32,"")))</f>
        <v/>
      </c>
      <c r="Z74" s="109"/>
      <c r="AA74" s="110" t="str">
        <f aca="false">IF(AC74&gt;0,N74,"")</f>
        <v/>
      </c>
      <c r="AB74" s="111" t="str">
        <f aca="false">IF(AC74&gt;0,O74,"")</f>
        <v/>
      </c>
      <c r="AC74" s="112"/>
      <c r="AD74" s="112"/>
      <c r="AE74" s="113" t="str">
        <f aca="false">IF(AC74&gt;0,P74,"")</f>
        <v/>
      </c>
      <c r="AF74" s="114" t="str">
        <f aca="false">IF(AE74=6,AA74*AB74*AC74*AD74*(AE74/1000)*0.222*1,IF(AE74&gt;6,"",IF(AE74&lt;6,"")))</f>
        <v/>
      </c>
      <c r="AG74" s="107" t="str">
        <f aca="false">IF(AE74=8,AA74*AB74*AC74*AD74*(AE74/1000)*0.395*1,IF(AE74&gt;8,"",IF(AE74&lt;8,"")))</f>
        <v/>
      </c>
      <c r="AH74" s="107" t="str">
        <f aca="false">IF(AE74=10,AA74*AB74*AC74*AD74*(AE74/1000)*0.617*1,IF(AE74&gt;10,"",IF(AE74&lt;10,"")))</f>
        <v/>
      </c>
      <c r="AI74" s="107" t="str">
        <f aca="false">IF(AE74=12,AA74*AB74*AC74*AD74*(AE74/1000)*0.888*1,IF(AE74&gt;12,"",IF(AE74&lt;12,"")))</f>
        <v/>
      </c>
      <c r="AJ74" s="107" t="str">
        <f aca="false">IF(AE74=16,AA74*AB74*AC74*AD74*(AE74/1000)*1.578*1,IF(AE74&gt;16,"",IF(AE74&lt;16,"")))</f>
        <v/>
      </c>
      <c r="AK74" s="107" t="str">
        <f aca="false">IF(AE74=20,AA74*AB74*AC74*AD74*(AE74/1000)*2.466*1,IF(AE74&gt;20,"",IF(AE74&lt;20,"")))</f>
        <v/>
      </c>
      <c r="AL74" s="107" t="str">
        <f aca="false">IF(AE74=25,AA74*AB74*AC74*AD74*(AE74/1000)*3.853*1,IF(AE74&gt;25,"",IF(AE74&lt;25,"")))</f>
        <v/>
      </c>
      <c r="AM74" s="115" t="str">
        <f aca="false">IF(AE74=32,AA74*AB74*AC74*AD74*(AE74/1000)*6.313*1,IF(AE74&gt;32,"",IF(AE74&lt;32,"")))</f>
        <v/>
      </c>
      <c r="AN74" s="128"/>
      <c r="AO74" s="117" t="s">
        <v>160</v>
      </c>
      <c r="AP74" s="118" t="n">
        <f aca="false">SUM(R74:Y74)+SUM(AN74)</f>
        <v>4.02708</v>
      </c>
      <c r="AQ74" s="118" t="n">
        <f aca="false">SUM(AF74:AM74)</f>
        <v>0</v>
      </c>
      <c r="AR74" s="118"/>
      <c r="AS74" s="119" t="s">
        <v>482</v>
      </c>
      <c r="AT74" s="119" t="s">
        <v>162</v>
      </c>
    </row>
    <row r="75" customFormat="false" ht="13.5" hidden="false" customHeight="false" outlineLevel="0" collapsed="false">
      <c r="A75" s="129"/>
      <c r="B75" s="172"/>
      <c r="C75" s="110"/>
      <c r="D75" s="122"/>
      <c r="E75" s="122"/>
      <c r="F75" s="173"/>
      <c r="G75" s="123"/>
      <c r="H75" s="101"/>
      <c r="I75" s="123"/>
      <c r="J75" s="101"/>
      <c r="K75" s="124" t="s">
        <v>493</v>
      </c>
      <c r="L75" s="125"/>
      <c r="M75" s="125"/>
      <c r="N75" s="126" t="n">
        <f aca="false">$C$72</f>
        <v>1</v>
      </c>
      <c r="O75" s="126" t="n">
        <v>2</v>
      </c>
      <c r="P75" s="126" t="n">
        <v>16</v>
      </c>
      <c r="Q75" s="127" t="n">
        <f aca="false">3.335+2*50*16/1000</f>
        <v>4.935</v>
      </c>
      <c r="R75" s="105" t="str">
        <f aca="false">IF(P75=6,N75*O75*Q75*0.222*1,IF(P75&gt;6,"",IF(P75&lt;6,"")))</f>
        <v/>
      </c>
      <c r="S75" s="106" t="str">
        <f aca="false">IF(P75=8,N75*O75*Q75*0.395*1,IF(P75&gt;8,"",IF(P75&lt;8,"")))</f>
        <v/>
      </c>
      <c r="T75" s="106" t="str">
        <f aca="false">IF(P75=10,N75*O75*Q75*0.617*1,IF(P75&gt;10,"",IF(P75&lt;10,"")))</f>
        <v/>
      </c>
      <c r="U75" s="106" t="str">
        <f aca="false">IF(P75=12,N75*O75*Q75*0.888*1,IF(P75&gt;12,"",IF(P75&lt;12,"")))</f>
        <v/>
      </c>
      <c r="V75" s="107" t="n">
        <f aca="false">IF(P75=16,N75*O75*Q75*1.578*1,IF(P75&gt;16,"",IF(P75&lt;16,"")))</f>
        <v>15.57486</v>
      </c>
      <c r="W75" s="106" t="str">
        <f aca="false">IF(P75=20,N75*O75*Q75*2.466*1,IF(P75&gt;20,"",IF(P75&lt;20,"")))</f>
        <v/>
      </c>
      <c r="X75" s="106" t="str">
        <f aca="false">IF(P75=25,N75*O75*Q75*3.853*1,IF(P75&gt;25,"",IF(P75&lt;25,"")))</f>
        <v/>
      </c>
      <c r="Y75" s="108" t="str">
        <f aca="false">IF(P75=32,N75*O75*Q75*6.313*1,IF(P75&gt;32,"",IF(P75&lt;32,"")))</f>
        <v/>
      </c>
      <c r="Z75" s="109"/>
      <c r="AA75" s="110" t="str">
        <f aca="false">IF(AC75&gt;0,N75,"")</f>
        <v/>
      </c>
      <c r="AB75" s="111" t="str">
        <f aca="false">IF(AC75&gt;0,O75,"")</f>
        <v/>
      </c>
      <c r="AC75" s="112"/>
      <c r="AD75" s="112"/>
      <c r="AE75" s="113" t="str">
        <f aca="false">IF(AC75&gt;0,P75,"")</f>
        <v/>
      </c>
      <c r="AF75" s="114" t="str">
        <f aca="false">IF(AE75=6,AA75*AB75*AC75*AD75*(AE75/1000)*0.222*1,IF(AE75&gt;6,"",IF(AE75&lt;6,"")))</f>
        <v/>
      </c>
      <c r="AG75" s="107" t="str">
        <f aca="false">IF(AE75=8,AA75*AB75*AC75*AD75*(AE75/1000)*0.395*1,IF(AE75&gt;8,"",IF(AE75&lt;8,"")))</f>
        <v/>
      </c>
      <c r="AH75" s="107" t="str">
        <f aca="false">IF(AE75=10,AA75*AB75*AC75*AD75*(AE75/1000)*0.617*1,IF(AE75&gt;10,"",IF(AE75&lt;10,"")))</f>
        <v/>
      </c>
      <c r="AI75" s="107" t="str">
        <f aca="false">IF(AE75=12,AA75*AB75*AC75*AD75*(AE75/1000)*0.888*1,IF(AE75&gt;12,"",IF(AE75&lt;12,"")))</f>
        <v/>
      </c>
      <c r="AJ75" s="107" t="str">
        <f aca="false">IF(AE75=16,AA75*AB75*AC75*AD75*(AE75/1000)*1.578*1,IF(AE75&gt;16,"",IF(AE75&lt;16,"")))</f>
        <v/>
      </c>
      <c r="AK75" s="107" t="str">
        <f aca="false">IF(AE75=20,AA75*AB75*AC75*AD75*(AE75/1000)*2.466*1,IF(AE75&gt;20,"",IF(AE75&lt;20,"")))</f>
        <v/>
      </c>
      <c r="AL75" s="107" t="str">
        <f aca="false">IF(AE75=25,AA75*AB75*AC75*AD75*(AE75/1000)*3.853*1,IF(AE75&gt;25,"",IF(AE75&lt;25,"")))</f>
        <v/>
      </c>
      <c r="AM75" s="115" t="str">
        <f aca="false">IF(AE75=32,AA75*AB75*AC75*AD75*(AE75/1000)*6.313*1,IF(AE75&gt;32,"",IF(AE75&lt;32,"")))</f>
        <v/>
      </c>
      <c r="AN75" s="128"/>
      <c r="AO75" s="117" t="s">
        <v>160</v>
      </c>
      <c r="AP75" s="118" t="n">
        <f aca="false">SUM(R75:Y75)+SUM(AN75)</f>
        <v>15.57486</v>
      </c>
      <c r="AQ75" s="118" t="n">
        <f aca="false">SUM(AF75:AM75)</f>
        <v>0</v>
      </c>
      <c r="AR75" s="118"/>
      <c r="AS75" s="119" t="s">
        <v>482</v>
      </c>
      <c r="AT75" s="119" t="s">
        <v>162</v>
      </c>
    </row>
    <row r="76" customFormat="false" ht="13.5" hidden="false" customHeight="false" outlineLevel="0" collapsed="false">
      <c r="A76" s="129"/>
      <c r="B76" s="172"/>
      <c r="C76" s="110"/>
      <c r="D76" s="122"/>
      <c r="E76" s="122"/>
      <c r="F76" s="173"/>
      <c r="G76" s="123"/>
      <c r="H76" s="101"/>
      <c r="I76" s="123"/>
      <c r="J76" s="101"/>
      <c r="K76" s="124" t="s">
        <v>494</v>
      </c>
      <c r="L76" s="125"/>
      <c r="M76" s="125"/>
      <c r="N76" s="126" t="n">
        <f aca="false">$C$72</f>
        <v>1</v>
      </c>
      <c r="O76" s="126" t="n">
        <v>1</v>
      </c>
      <c r="P76" s="126" t="n">
        <v>12</v>
      </c>
      <c r="Q76" s="127" t="n">
        <f aca="false">3.335+2*50*12/1000</f>
        <v>4.535</v>
      </c>
      <c r="R76" s="105" t="str">
        <f aca="false">IF(P76=6,N76*O76*Q76*0.222*1,IF(P76&gt;6,"",IF(P76&lt;6,"")))</f>
        <v/>
      </c>
      <c r="S76" s="106" t="str">
        <f aca="false">IF(P76=8,N76*O76*Q76*0.395*1,IF(P76&gt;8,"",IF(P76&lt;8,"")))</f>
        <v/>
      </c>
      <c r="T76" s="106" t="str">
        <f aca="false">IF(P76=10,N76*O76*Q76*0.617*1,IF(P76&gt;10,"",IF(P76&lt;10,"")))</f>
        <v/>
      </c>
      <c r="U76" s="106" t="n">
        <f aca="false">IF(P76=12,N76*O76*Q76*0.888*1,IF(P76&gt;12,"",IF(P76&lt;12,"")))</f>
        <v>4.02708</v>
      </c>
      <c r="V76" s="107" t="str">
        <f aca="false">IF(P76=16,N76*O76*Q76*1.578*1,IF(P76&gt;16,"",IF(P76&lt;16,"")))</f>
        <v/>
      </c>
      <c r="W76" s="106" t="str">
        <f aca="false">IF(P76=20,N76*O76*Q76*2.466*1,IF(P76&gt;20,"",IF(P76&lt;20,"")))</f>
        <v/>
      </c>
      <c r="X76" s="106" t="str">
        <f aca="false">IF(P76=25,N76*O76*Q76*3.853*1,IF(P76&gt;25,"",IF(P76&lt;25,"")))</f>
        <v/>
      </c>
      <c r="Y76" s="108" t="str">
        <f aca="false">IF(P76=32,N76*O76*Q76*6.313*1,IF(P76&gt;32,"",IF(P76&lt;32,"")))</f>
        <v/>
      </c>
      <c r="Z76" s="109"/>
      <c r="AA76" s="110" t="str">
        <f aca="false">IF(AC76&gt;0,N76,"")</f>
        <v/>
      </c>
      <c r="AB76" s="111" t="str">
        <f aca="false">IF(AC76&gt;0,O76,"")</f>
        <v/>
      </c>
      <c r="AC76" s="112"/>
      <c r="AD76" s="112"/>
      <c r="AE76" s="113" t="str">
        <f aca="false">IF(AC76&gt;0,P76,"")</f>
        <v/>
      </c>
      <c r="AF76" s="114" t="str">
        <f aca="false">IF(AE76=6,AA76*AB76*AC76*AD76*(AE76/1000)*0.222*1,IF(AE76&gt;6,"",IF(AE76&lt;6,"")))</f>
        <v/>
      </c>
      <c r="AG76" s="107" t="str">
        <f aca="false">IF(AE76=8,AA76*AB76*AC76*AD76*(AE76/1000)*0.395*1,IF(AE76&gt;8,"",IF(AE76&lt;8,"")))</f>
        <v/>
      </c>
      <c r="AH76" s="107" t="str">
        <f aca="false">IF(AE76=10,AA76*AB76*AC76*AD76*(AE76/1000)*0.617*1,IF(AE76&gt;10,"",IF(AE76&lt;10,"")))</f>
        <v/>
      </c>
      <c r="AI76" s="107" t="str">
        <f aca="false">IF(AE76=12,AA76*AB76*AC76*AD76*(AE76/1000)*0.888*1,IF(AE76&gt;12,"",IF(AE76&lt;12,"")))</f>
        <v/>
      </c>
      <c r="AJ76" s="107" t="str">
        <f aca="false">IF(AE76=16,AA76*AB76*AC76*AD76*(AE76/1000)*1.578*1,IF(AE76&gt;16,"",IF(AE76&lt;16,"")))</f>
        <v/>
      </c>
      <c r="AK76" s="107" t="str">
        <f aca="false">IF(AE76=20,AA76*AB76*AC76*AD76*(AE76/1000)*2.466*1,IF(AE76&gt;20,"",IF(AE76&lt;20,"")))</f>
        <v/>
      </c>
      <c r="AL76" s="107" t="str">
        <f aca="false">IF(AE76=25,AA76*AB76*AC76*AD76*(AE76/1000)*3.853*1,IF(AE76&gt;25,"",IF(AE76&lt;25,"")))</f>
        <v/>
      </c>
      <c r="AM76" s="115" t="str">
        <f aca="false">IF(AE76=32,AA76*AB76*AC76*AD76*(AE76/1000)*6.313*1,IF(AE76&gt;32,"",IF(AE76&lt;32,"")))</f>
        <v/>
      </c>
      <c r="AN76" s="128"/>
      <c r="AO76" s="117" t="s">
        <v>160</v>
      </c>
      <c r="AP76" s="118" t="n">
        <f aca="false">SUM(R76:Y76)+SUM(AN76)</f>
        <v>4.02708</v>
      </c>
      <c r="AQ76" s="118" t="n">
        <f aca="false">SUM(AF76:AM76)</f>
        <v>0</v>
      </c>
      <c r="AR76" s="118"/>
      <c r="AS76" s="119" t="s">
        <v>482</v>
      </c>
      <c r="AT76" s="119" t="s">
        <v>162</v>
      </c>
    </row>
    <row r="77" customFormat="false" ht="13.5" hidden="false" customHeight="false" outlineLevel="0" collapsed="false">
      <c r="A77" s="129"/>
      <c r="B77" s="172"/>
      <c r="C77" s="110"/>
      <c r="D77" s="122"/>
      <c r="E77" s="122"/>
      <c r="F77" s="173"/>
      <c r="G77" s="123"/>
      <c r="H77" s="101"/>
      <c r="I77" s="123"/>
      <c r="J77" s="101"/>
      <c r="K77" s="124" t="s">
        <v>486</v>
      </c>
      <c r="L77" s="125" t="n">
        <f aca="false">$F$72</f>
        <v>3.335</v>
      </c>
      <c r="M77" s="125" t="n">
        <v>0.125</v>
      </c>
      <c r="N77" s="126" t="n">
        <f aca="false">$C$72</f>
        <v>1</v>
      </c>
      <c r="O77" s="126" t="n">
        <f aca="false">CEILING(L77/M77,1)+1</f>
        <v>28</v>
      </c>
      <c r="P77" s="126" t="n">
        <v>8</v>
      </c>
      <c r="Q77" s="127" t="n">
        <f aca="false">2*($D$72-2*0.035)+2*($E$72-2*0.035)+20*8/1000</f>
        <v>1.18</v>
      </c>
      <c r="R77" s="105" t="str">
        <f aca="false">IF(P77=6,N77*O77*Q77*0.222*1,IF(P77&gt;6,"",IF(P77&lt;6,"")))</f>
        <v/>
      </c>
      <c r="S77" s="106" t="n">
        <f aca="false">IF(P77=8,N77*O77*Q77*0.395*1,IF(P77&gt;8,"",IF(P77&lt;8,"")))</f>
        <v>13.0508</v>
      </c>
      <c r="T77" s="106" t="str">
        <f aca="false">IF(P77=10,N77*O77*Q77*0.617*1,IF(P77&gt;10,"",IF(P77&lt;10,"")))</f>
        <v/>
      </c>
      <c r="U77" s="106" t="str">
        <f aca="false">IF(P77=12,N77*O77*Q77*0.888*1,IF(P77&gt;12,"",IF(P77&lt;12,"")))</f>
        <v/>
      </c>
      <c r="V77" s="107" t="str">
        <f aca="false">IF(P77=16,N77*O77*Q77*1.578*1,IF(P77&gt;16,"",IF(P77&lt;16,"")))</f>
        <v/>
      </c>
      <c r="W77" s="106" t="str">
        <f aca="false">IF(P77=20,N77*O77*Q77*2.466*1,IF(P77&gt;20,"",IF(P77&lt;20,"")))</f>
        <v/>
      </c>
      <c r="X77" s="106" t="str">
        <f aca="false">IF(P77=25,N77*O77*Q77*3.853*1,IF(P77&gt;25,"",IF(P77&lt;25,"")))</f>
        <v/>
      </c>
      <c r="Y77" s="108" t="str">
        <f aca="false">IF(P77=32,N77*O77*Q77*6.313*1,IF(P77&gt;32,"",IF(P77&lt;32,"")))</f>
        <v/>
      </c>
      <c r="Z77" s="109"/>
      <c r="AA77" s="110" t="str">
        <f aca="false">IF(AC77&gt;0,N77,"")</f>
        <v/>
      </c>
      <c r="AB77" s="111" t="str">
        <f aca="false">IF(AC77&gt;0,O77,"")</f>
        <v/>
      </c>
      <c r="AC77" s="112"/>
      <c r="AD77" s="112"/>
      <c r="AE77" s="113" t="str">
        <f aca="false">IF(AC77&gt;0,P77,"")</f>
        <v/>
      </c>
      <c r="AF77" s="114" t="str">
        <f aca="false">IF(AE77=6,AA77*AB77*AC77*AD77*(AE77/1000)*0.222*1,IF(AE77&gt;6,"",IF(AE77&lt;6,"")))</f>
        <v/>
      </c>
      <c r="AG77" s="107" t="str">
        <f aca="false">IF(AE77=8,AA77*AB77*AC77*AD77*(AE77/1000)*0.395*1,IF(AE77&gt;8,"",IF(AE77&lt;8,"")))</f>
        <v/>
      </c>
      <c r="AH77" s="107" t="str">
        <f aca="false">IF(AE77=10,AA77*AB77*AC77*AD77*(AE77/1000)*0.617*1,IF(AE77&gt;10,"",IF(AE77&lt;10,"")))</f>
        <v/>
      </c>
      <c r="AI77" s="107" t="str">
        <f aca="false">IF(AE77=12,AA77*AB77*AC77*AD77*(AE77/1000)*0.888*1,IF(AE77&gt;12,"",IF(AE77&lt;12,"")))</f>
        <v/>
      </c>
      <c r="AJ77" s="107" t="str">
        <f aca="false">IF(AE77=16,AA77*AB77*AC77*AD77*(AE77/1000)*1.578*1,IF(AE77&gt;16,"",IF(AE77&lt;16,"")))</f>
        <v/>
      </c>
      <c r="AK77" s="107" t="str">
        <f aca="false">IF(AE77=20,AA77*AB77*AC77*AD77*(AE77/1000)*2.466*1,IF(AE77&gt;20,"",IF(AE77&lt;20,"")))</f>
        <v/>
      </c>
      <c r="AL77" s="107" t="str">
        <f aca="false">IF(AE77=25,AA77*AB77*AC77*AD77*(AE77/1000)*3.853*1,IF(AE77&gt;25,"",IF(AE77&lt;25,"")))</f>
        <v/>
      </c>
      <c r="AM77" s="115" t="str">
        <f aca="false">IF(AE77=32,AA77*AB77*AC77*AD77*(AE77/1000)*6.313*1,IF(AE77&gt;32,"",IF(AE77&lt;32,"")))</f>
        <v/>
      </c>
      <c r="AN77" s="128"/>
      <c r="AO77" s="117" t="s">
        <v>160</v>
      </c>
      <c r="AP77" s="118" t="n">
        <f aca="false">SUM(R77:Y77)+SUM(AN77)</f>
        <v>13.0508</v>
      </c>
      <c r="AQ77" s="118" t="n">
        <f aca="false">SUM(AF77:AM77)</f>
        <v>0</v>
      </c>
      <c r="AR77" s="118"/>
      <c r="AS77" s="119"/>
      <c r="AT77" s="119" t="s">
        <v>162</v>
      </c>
    </row>
    <row r="78" customFormat="false" ht="13.5" hidden="false" customHeight="false" outlineLevel="0" collapsed="false">
      <c r="A78" s="129"/>
      <c r="B78" s="130"/>
      <c r="C78" s="110"/>
      <c r="D78" s="122"/>
      <c r="E78" s="122"/>
      <c r="F78" s="122"/>
      <c r="G78" s="123"/>
      <c r="H78" s="101"/>
      <c r="I78" s="123"/>
      <c r="J78" s="101"/>
      <c r="K78" s="124"/>
      <c r="L78" s="125"/>
      <c r="M78" s="125"/>
      <c r="N78" s="126"/>
      <c r="O78" s="126"/>
      <c r="P78" s="126"/>
      <c r="Q78" s="127"/>
      <c r="R78" s="105"/>
      <c r="S78" s="106"/>
      <c r="T78" s="106"/>
      <c r="U78" s="106"/>
      <c r="V78" s="107"/>
      <c r="W78" s="106"/>
      <c r="X78" s="106"/>
      <c r="Y78" s="108"/>
      <c r="Z78" s="109"/>
      <c r="AA78" s="110"/>
      <c r="AB78" s="111"/>
      <c r="AC78" s="112"/>
      <c r="AD78" s="112"/>
      <c r="AE78" s="113"/>
      <c r="AF78" s="114"/>
      <c r="AG78" s="107"/>
      <c r="AH78" s="107"/>
      <c r="AI78" s="107"/>
      <c r="AJ78" s="107"/>
      <c r="AK78" s="107"/>
      <c r="AL78" s="107"/>
      <c r="AM78" s="115"/>
      <c r="AO78" s="117"/>
      <c r="AP78" s="118"/>
      <c r="AQ78" s="118"/>
      <c r="AR78" s="118"/>
      <c r="AS78" s="119"/>
      <c r="AT78" s="119"/>
    </row>
    <row r="79" customFormat="false" ht="13.5" hidden="false" customHeight="false" outlineLevel="0" collapsed="false">
      <c r="A79" s="120"/>
      <c r="B79" s="121" t="s">
        <v>515</v>
      </c>
      <c r="C79" s="110" t="n">
        <v>1</v>
      </c>
      <c r="D79" s="122" t="n">
        <v>0.2</v>
      </c>
      <c r="E79" s="122" t="n">
        <v>0.55</v>
      </c>
      <c r="F79" s="122" t="n">
        <f aca="false">0.3429/(0.2*0.55)</f>
        <v>3.11727272727273</v>
      </c>
      <c r="G79" s="123" t="n">
        <f aca="false">C79*D79*E79*F79</f>
        <v>0.3429</v>
      </c>
      <c r="H79" s="101"/>
      <c r="I79" s="123" t="n">
        <f aca="false">C79*F79*(D79+(E79-0.2)+(E79))</f>
        <v>3.429</v>
      </c>
      <c r="J79" s="101"/>
      <c r="K79" s="124"/>
      <c r="L79" s="125"/>
      <c r="M79" s="125"/>
      <c r="N79" s="126"/>
      <c r="O79" s="126"/>
      <c r="P79" s="126"/>
      <c r="Q79" s="127"/>
      <c r="R79" s="105" t="str">
        <f aca="false">IF(P79=6,N79*O79*Q79*0.222*1,IF(P79&gt;6,"",IF(P79&lt;6,"")))</f>
        <v/>
      </c>
      <c r="S79" s="106" t="str">
        <f aca="false">IF(P79=8,N79*O79*Q79*0.395*1,IF(P79&gt;8,"",IF(P79&lt;8,"")))</f>
        <v/>
      </c>
      <c r="T79" s="106" t="str">
        <f aca="false">IF(P79=10,N79*O79*Q79*0.617*1,IF(P79&gt;10,"",IF(P79&lt;10,"")))</f>
        <v/>
      </c>
      <c r="U79" s="106" t="str">
        <f aca="false">IF(P79=12,N79*O79*Q79*0.888*1,IF(P79&gt;12,"",IF(P79&lt;12,"")))</f>
        <v/>
      </c>
      <c r="V79" s="107" t="str">
        <f aca="false">IF(P79=16,N79*O79*Q79*1.578*1,IF(P79&gt;16,"",IF(P79&lt;16,"")))</f>
        <v/>
      </c>
      <c r="W79" s="106" t="str">
        <f aca="false">IF(P79=20,N79*O79*Q79*2.466*1,IF(P79&gt;20,"",IF(P79&lt;20,"")))</f>
        <v/>
      </c>
      <c r="X79" s="106" t="str">
        <f aca="false">IF(P79=25,N79*O79*Q79*3.853*1,IF(P79&gt;25,"",IF(P79&lt;25,"")))</f>
        <v/>
      </c>
      <c r="Y79" s="108" t="str">
        <f aca="false">IF(P79=32,N79*O79*Q79*6.313*1,IF(P79&gt;32,"",IF(P79&lt;32,"")))</f>
        <v/>
      </c>
      <c r="Z79" s="109"/>
      <c r="AA79" s="110" t="str">
        <f aca="false">IF(AC79&gt;0,N79,"")</f>
        <v/>
      </c>
      <c r="AB79" s="111" t="str">
        <f aca="false">IF(AC79&gt;0,O79,"")</f>
        <v/>
      </c>
      <c r="AC79" s="112"/>
      <c r="AD79" s="112"/>
      <c r="AE79" s="113" t="str">
        <f aca="false">IF(AC79&gt;0,P79,"")</f>
        <v/>
      </c>
      <c r="AF79" s="114" t="str">
        <f aca="false">IF(AE79=6,AA79*AB79*AC79*AD79*(AE79/1000)*0.222*1,IF(AE79&gt;6,"",IF(AE79&lt;6,"")))</f>
        <v/>
      </c>
      <c r="AG79" s="107" t="str">
        <f aca="false">IF(AE79=8,AA79*AB79*AC79*AD79*(AE79/1000)*0.395*1,IF(AE79&gt;8,"",IF(AE79&lt;8,"")))</f>
        <v/>
      </c>
      <c r="AH79" s="107" t="str">
        <f aca="false">IF(AE79=10,AA79*AB79*AC79*AD79*(AE79/1000)*0.617*1,IF(AE79&gt;10,"",IF(AE79&lt;10,"")))</f>
        <v/>
      </c>
      <c r="AI79" s="107" t="str">
        <f aca="false">IF(AE79=12,AA79*AB79*AC79*AD79*(AE79/1000)*0.888*1,IF(AE79&gt;12,"",IF(AE79&lt;12,"")))</f>
        <v/>
      </c>
      <c r="AJ79" s="107" t="str">
        <f aca="false">IF(AE79=16,AA79*AB79*AC79*AD79*(AE79/1000)*1.578*1,IF(AE79&gt;16,"",IF(AE79&lt;16,"")))</f>
        <v/>
      </c>
      <c r="AK79" s="107" t="str">
        <f aca="false">IF(AE79=20,AA79*AB79*AC79*AD79*(AE79/1000)*2.466*1,IF(AE79&gt;20,"",IF(AE79&lt;20,"")))</f>
        <v/>
      </c>
      <c r="AL79" s="107" t="str">
        <f aca="false">IF(AE79=25,AA79*AB79*AC79*AD79*(AE79/1000)*3.853*1,IF(AE79&gt;25,"",IF(AE79&lt;25,"")))</f>
        <v/>
      </c>
      <c r="AM79" s="115" t="str">
        <f aca="false">IF(AE79=32,AA79*AB79*AC79*AD79*(AE79/1000)*6.313*1,IF(AE79&gt;32,"",IF(AE79&lt;32,"")))</f>
        <v/>
      </c>
      <c r="AN79" s="128"/>
      <c r="AO79" s="117" t="s">
        <v>160</v>
      </c>
      <c r="AP79" s="118" t="n">
        <f aca="false">SUM(R79:Y79)+SUM(AN79)</f>
        <v>0</v>
      </c>
      <c r="AQ79" s="118" t="n">
        <f aca="false">SUM(AF79:AM79)</f>
        <v>0</v>
      </c>
      <c r="AR79" s="118" t="n">
        <v>0.3429</v>
      </c>
      <c r="AS79" s="119" t="s">
        <v>516</v>
      </c>
      <c r="AT79" s="119" t="s">
        <v>209</v>
      </c>
    </row>
    <row r="80" customFormat="false" ht="13.5" hidden="false" customHeight="false" outlineLevel="0" collapsed="false">
      <c r="A80" s="129"/>
      <c r="B80" s="172"/>
      <c r="C80" s="110"/>
      <c r="D80" s="122"/>
      <c r="E80" s="122"/>
      <c r="F80" s="173"/>
      <c r="G80" s="123"/>
      <c r="H80" s="101"/>
      <c r="I80" s="123"/>
      <c r="J80" s="101"/>
      <c r="K80" s="124" t="s">
        <v>483</v>
      </c>
      <c r="L80" s="125"/>
      <c r="M80" s="125"/>
      <c r="N80" s="126" t="n">
        <f aca="false">$C$79</f>
        <v>1</v>
      </c>
      <c r="O80" s="126" t="n">
        <v>2</v>
      </c>
      <c r="P80" s="126" t="n">
        <v>20</v>
      </c>
      <c r="Q80" s="127" t="n">
        <f aca="false">3.135+2*50*20/1000</f>
        <v>5.135</v>
      </c>
      <c r="R80" s="105" t="str">
        <f aca="false">IF(P80=6,N80*O80*Q80*0.222*1,IF(P80&gt;6,"",IF(P80&lt;6,"")))</f>
        <v/>
      </c>
      <c r="S80" s="106" t="str">
        <f aca="false">IF(P80=8,N80*O80*Q80*0.395*1,IF(P80&gt;8,"",IF(P80&lt;8,"")))</f>
        <v/>
      </c>
      <c r="T80" s="106" t="str">
        <f aca="false">IF(P80=10,N80*O80*Q80*0.617*1,IF(P80&gt;10,"",IF(P80&lt;10,"")))</f>
        <v/>
      </c>
      <c r="U80" s="106" t="str">
        <f aca="false">IF(P80=12,N80*O80*Q80*0.888*1,IF(P80&gt;12,"",IF(P80&lt;12,"")))</f>
        <v/>
      </c>
      <c r="V80" s="107" t="str">
        <f aca="false">IF(P80=16,N80*O80*Q80*1.578*1,IF(P80&gt;16,"",IF(P80&lt;16,"")))</f>
        <v/>
      </c>
      <c r="W80" s="106" t="n">
        <f aca="false">IF(P80=20,N80*O80*Q80*2.466*1,IF(P80&gt;20,"",IF(P80&lt;20,"")))</f>
        <v>25.32582</v>
      </c>
      <c r="X80" s="106" t="str">
        <f aca="false">IF(P80=25,N80*O80*Q80*3.853*1,IF(P80&gt;25,"",IF(P80&lt;25,"")))</f>
        <v/>
      </c>
      <c r="Y80" s="108" t="str">
        <f aca="false">IF(P80=32,N80*O80*Q80*6.313*1,IF(P80&gt;32,"",IF(P80&lt;32,"")))</f>
        <v/>
      </c>
      <c r="Z80" s="109"/>
      <c r="AA80" s="110" t="str">
        <f aca="false">IF(AC80&gt;0,N80,"")</f>
        <v/>
      </c>
      <c r="AB80" s="111" t="str">
        <f aca="false">IF(AC80&gt;0,O80,"")</f>
        <v/>
      </c>
      <c r="AC80" s="112"/>
      <c r="AD80" s="112"/>
      <c r="AE80" s="113" t="str">
        <f aca="false">IF(AC80&gt;0,P80,"")</f>
        <v/>
      </c>
      <c r="AF80" s="114" t="str">
        <f aca="false">IF(AE80=6,AA80*AB80*AC80*AD80*(AE80/1000)*0.222*1,IF(AE80&gt;6,"",IF(AE80&lt;6,"")))</f>
        <v/>
      </c>
      <c r="AG80" s="107" t="str">
        <f aca="false">IF(AE80=8,AA80*AB80*AC80*AD80*(AE80/1000)*0.395*1,IF(AE80&gt;8,"",IF(AE80&lt;8,"")))</f>
        <v/>
      </c>
      <c r="AH80" s="107" t="str">
        <f aca="false">IF(AE80=10,AA80*AB80*AC80*AD80*(AE80/1000)*0.617*1,IF(AE80&gt;10,"",IF(AE80&lt;10,"")))</f>
        <v/>
      </c>
      <c r="AI80" s="107" t="str">
        <f aca="false">IF(AE80=12,AA80*AB80*AC80*AD80*(AE80/1000)*0.888*1,IF(AE80&gt;12,"",IF(AE80&lt;12,"")))</f>
        <v/>
      </c>
      <c r="AJ80" s="107" t="str">
        <f aca="false">IF(AE80=16,AA80*AB80*AC80*AD80*(AE80/1000)*1.578*1,IF(AE80&gt;16,"",IF(AE80&lt;16,"")))</f>
        <v/>
      </c>
      <c r="AK80" s="107" t="str">
        <f aca="false">IF(AE80=20,AA80*AB80*AC80*AD80*(AE80/1000)*2.466*1,IF(AE80&gt;20,"",IF(AE80&lt;20,"")))</f>
        <v/>
      </c>
      <c r="AL80" s="107" t="str">
        <f aca="false">IF(AE80=25,AA80*AB80*AC80*AD80*(AE80/1000)*3.853*1,IF(AE80&gt;25,"",IF(AE80&lt;25,"")))</f>
        <v/>
      </c>
      <c r="AM80" s="115" t="str">
        <f aca="false">IF(AE80=32,AA80*AB80*AC80*AD80*(AE80/1000)*6.313*1,IF(AE80&gt;32,"",IF(AE80&lt;32,"")))</f>
        <v/>
      </c>
      <c r="AN80" s="128"/>
      <c r="AO80" s="117" t="s">
        <v>160</v>
      </c>
      <c r="AP80" s="118" t="n">
        <f aca="false">SUM(R80:Y80)+SUM(AN80)</f>
        <v>25.32582</v>
      </c>
      <c r="AQ80" s="118" t="n">
        <f aca="false">SUM(AF80:AM80)</f>
        <v>0</v>
      </c>
      <c r="AR80" s="118"/>
      <c r="AS80" s="119" t="s">
        <v>482</v>
      </c>
      <c r="AT80" s="119" t="s">
        <v>162</v>
      </c>
    </row>
    <row r="81" customFormat="false" ht="13.5" hidden="false" customHeight="false" outlineLevel="0" collapsed="false">
      <c r="A81" s="129"/>
      <c r="B81" s="172"/>
      <c r="C81" s="110"/>
      <c r="D81" s="122"/>
      <c r="E81" s="122"/>
      <c r="F81" s="173"/>
      <c r="G81" s="123"/>
      <c r="H81" s="101"/>
      <c r="I81" s="123"/>
      <c r="J81" s="101"/>
      <c r="K81" s="124" t="s">
        <v>485</v>
      </c>
      <c r="L81" s="125"/>
      <c r="M81" s="125"/>
      <c r="N81" s="126" t="n">
        <f aca="false">$C$79</f>
        <v>1</v>
      </c>
      <c r="O81" s="126" t="n">
        <v>2</v>
      </c>
      <c r="P81" s="126" t="n">
        <v>20</v>
      </c>
      <c r="Q81" s="127" t="n">
        <f aca="false">3.135+2*50*20/1000</f>
        <v>5.135</v>
      </c>
      <c r="R81" s="105" t="str">
        <f aca="false">IF(P81=6,N81*O81*Q81*0.222*1,IF(P81&gt;6,"",IF(P81&lt;6,"")))</f>
        <v/>
      </c>
      <c r="S81" s="106" t="str">
        <f aca="false">IF(P81=8,N81*O81*Q81*0.395*1,IF(P81&gt;8,"",IF(P81&lt;8,"")))</f>
        <v/>
      </c>
      <c r="T81" s="106" t="str">
        <f aca="false">IF(P81=10,N81*O81*Q81*0.617*1,IF(P81&gt;10,"",IF(P81&lt;10,"")))</f>
        <v/>
      </c>
      <c r="U81" s="106" t="str">
        <f aca="false">IF(P81=12,N81*O81*Q81*0.888*1,IF(P81&gt;12,"",IF(P81&lt;12,"")))</f>
        <v/>
      </c>
      <c r="V81" s="107" t="str">
        <f aca="false">IF(P81=16,N81*O81*Q81*1.578*1,IF(P81&gt;16,"",IF(P81&lt;16,"")))</f>
        <v/>
      </c>
      <c r="W81" s="106" t="n">
        <f aca="false">IF(P81=20,N81*O81*Q81*2.466*1,IF(P81&gt;20,"",IF(P81&lt;20,"")))</f>
        <v>25.32582</v>
      </c>
      <c r="X81" s="106" t="str">
        <f aca="false">IF(P81=25,N81*O81*Q81*3.853*1,IF(P81&gt;25,"",IF(P81&lt;25,"")))</f>
        <v/>
      </c>
      <c r="Y81" s="108" t="str">
        <f aca="false">IF(P81=32,N81*O81*Q81*6.313*1,IF(P81&gt;32,"",IF(P81&lt;32,"")))</f>
        <v/>
      </c>
      <c r="Z81" s="109"/>
      <c r="AA81" s="110" t="str">
        <f aca="false">IF(AC81&gt;0,N81,"")</f>
        <v/>
      </c>
      <c r="AB81" s="111" t="str">
        <f aca="false">IF(AC81&gt;0,O81,"")</f>
        <v/>
      </c>
      <c r="AC81" s="112"/>
      <c r="AD81" s="112"/>
      <c r="AE81" s="113" t="str">
        <f aca="false">IF(AC81&gt;0,P81,"")</f>
        <v/>
      </c>
      <c r="AF81" s="114" t="str">
        <f aca="false">IF(AE81=6,AA81*AB81*AC81*AD81*(AE81/1000)*0.222*1,IF(AE81&gt;6,"",IF(AE81&lt;6,"")))</f>
        <v/>
      </c>
      <c r="AG81" s="107" t="str">
        <f aca="false">IF(AE81=8,AA81*AB81*AC81*AD81*(AE81/1000)*0.395*1,IF(AE81&gt;8,"",IF(AE81&lt;8,"")))</f>
        <v/>
      </c>
      <c r="AH81" s="107" t="str">
        <f aca="false">IF(AE81=10,AA81*AB81*AC81*AD81*(AE81/1000)*0.617*1,IF(AE81&gt;10,"",IF(AE81&lt;10,"")))</f>
        <v/>
      </c>
      <c r="AI81" s="107" t="str">
        <f aca="false">IF(AE81=12,AA81*AB81*AC81*AD81*(AE81/1000)*0.888*1,IF(AE81&gt;12,"",IF(AE81&lt;12,"")))</f>
        <v/>
      </c>
      <c r="AJ81" s="107" t="str">
        <f aca="false">IF(AE81=16,AA81*AB81*AC81*AD81*(AE81/1000)*1.578*1,IF(AE81&gt;16,"",IF(AE81&lt;16,"")))</f>
        <v/>
      </c>
      <c r="AK81" s="107" t="str">
        <f aca="false">IF(AE81=20,AA81*AB81*AC81*AD81*(AE81/1000)*2.466*1,IF(AE81&gt;20,"",IF(AE81&lt;20,"")))</f>
        <v/>
      </c>
      <c r="AL81" s="107" t="str">
        <f aca="false">IF(AE81=25,AA81*AB81*AC81*AD81*(AE81/1000)*3.853*1,IF(AE81&gt;25,"",IF(AE81&lt;25,"")))</f>
        <v/>
      </c>
      <c r="AM81" s="115" t="str">
        <f aca="false">IF(AE81=32,AA81*AB81*AC81*AD81*(AE81/1000)*6.313*1,IF(AE81&gt;32,"",IF(AE81&lt;32,"")))</f>
        <v/>
      </c>
      <c r="AN81" s="128"/>
      <c r="AO81" s="117" t="s">
        <v>160</v>
      </c>
      <c r="AP81" s="118" t="n">
        <f aca="false">SUM(R81:Y81)+SUM(AN81)</f>
        <v>25.32582</v>
      </c>
      <c r="AQ81" s="118" t="n">
        <f aca="false">SUM(AF81:AM81)</f>
        <v>0</v>
      </c>
      <c r="AR81" s="118"/>
      <c r="AS81" s="119" t="s">
        <v>482</v>
      </c>
      <c r="AT81" s="119" t="s">
        <v>162</v>
      </c>
    </row>
    <row r="82" customFormat="false" ht="13.5" hidden="false" customHeight="false" outlineLevel="0" collapsed="false">
      <c r="A82" s="129"/>
      <c r="B82" s="172"/>
      <c r="C82" s="110"/>
      <c r="D82" s="122"/>
      <c r="E82" s="122"/>
      <c r="F82" s="173"/>
      <c r="G82" s="123"/>
      <c r="H82" s="101"/>
      <c r="I82" s="123"/>
      <c r="J82" s="101"/>
      <c r="K82" s="124" t="s">
        <v>486</v>
      </c>
      <c r="L82" s="125" t="n">
        <f aca="false">$F$79</f>
        <v>3.11727272727273</v>
      </c>
      <c r="M82" s="125" t="n">
        <v>0.125</v>
      </c>
      <c r="N82" s="126" t="n">
        <f aca="false">$C$79</f>
        <v>1</v>
      </c>
      <c r="O82" s="126" t="n">
        <f aca="false">CEILING(L82/M82,1)+1</f>
        <v>26</v>
      </c>
      <c r="P82" s="126" t="n">
        <v>8</v>
      </c>
      <c r="Q82" s="127" t="n">
        <f aca="false">2*($D$79-2*0.035)+2*($E$79-2*0.035)+20*8/1000</f>
        <v>1.38</v>
      </c>
      <c r="R82" s="105" t="str">
        <f aca="false">IF(P82=6,N82*O82*Q82*0.222*1,IF(P82&gt;6,"",IF(P82&lt;6,"")))</f>
        <v/>
      </c>
      <c r="S82" s="106" t="n">
        <f aca="false">IF(P82=8,N82*O82*Q82*0.395*1,IF(P82&gt;8,"",IF(P82&lt;8,"")))</f>
        <v>14.1726</v>
      </c>
      <c r="T82" s="106" t="str">
        <f aca="false">IF(P82=10,N82*O82*Q82*0.617*1,IF(P82&gt;10,"",IF(P82&lt;10,"")))</f>
        <v/>
      </c>
      <c r="U82" s="106" t="str">
        <f aca="false">IF(P82=12,N82*O82*Q82*0.888*1,IF(P82&gt;12,"",IF(P82&lt;12,"")))</f>
        <v/>
      </c>
      <c r="V82" s="107" t="str">
        <f aca="false">IF(P82=16,N82*O82*Q82*1.578*1,IF(P82&gt;16,"",IF(P82&lt;16,"")))</f>
        <v/>
      </c>
      <c r="W82" s="106" t="str">
        <f aca="false">IF(P82=20,N82*O82*Q82*2.466*1,IF(P82&gt;20,"",IF(P82&lt;20,"")))</f>
        <v/>
      </c>
      <c r="X82" s="106" t="str">
        <f aca="false">IF(P82=25,N82*O82*Q82*3.853*1,IF(P82&gt;25,"",IF(P82&lt;25,"")))</f>
        <v/>
      </c>
      <c r="Y82" s="108" t="str">
        <f aca="false">IF(P82=32,N82*O82*Q82*6.313*1,IF(P82&gt;32,"",IF(P82&lt;32,"")))</f>
        <v/>
      </c>
      <c r="Z82" s="109"/>
      <c r="AA82" s="110" t="str">
        <f aca="false">IF(AC82&gt;0,N82,"")</f>
        <v/>
      </c>
      <c r="AB82" s="111" t="str">
        <f aca="false">IF(AC82&gt;0,O82,"")</f>
        <v/>
      </c>
      <c r="AC82" s="112"/>
      <c r="AD82" s="112"/>
      <c r="AE82" s="113" t="str">
        <f aca="false">IF(AC82&gt;0,P82,"")</f>
        <v/>
      </c>
      <c r="AF82" s="114" t="str">
        <f aca="false">IF(AE82=6,AA82*AB82*AC82*AD82*(AE82/1000)*0.222*1,IF(AE82&gt;6,"",IF(AE82&lt;6,"")))</f>
        <v/>
      </c>
      <c r="AG82" s="107" t="str">
        <f aca="false">IF(AE82=8,AA82*AB82*AC82*AD82*(AE82/1000)*0.395*1,IF(AE82&gt;8,"",IF(AE82&lt;8,"")))</f>
        <v/>
      </c>
      <c r="AH82" s="107" t="str">
        <f aca="false">IF(AE82=10,AA82*AB82*AC82*AD82*(AE82/1000)*0.617*1,IF(AE82&gt;10,"",IF(AE82&lt;10,"")))</f>
        <v/>
      </c>
      <c r="AI82" s="107" t="str">
        <f aca="false">IF(AE82=12,AA82*AB82*AC82*AD82*(AE82/1000)*0.888*1,IF(AE82&gt;12,"",IF(AE82&lt;12,"")))</f>
        <v/>
      </c>
      <c r="AJ82" s="107" t="str">
        <f aca="false">IF(AE82=16,AA82*AB82*AC82*AD82*(AE82/1000)*1.578*1,IF(AE82&gt;16,"",IF(AE82&lt;16,"")))</f>
        <v/>
      </c>
      <c r="AK82" s="107" t="str">
        <f aca="false">IF(AE82=20,AA82*AB82*AC82*AD82*(AE82/1000)*2.466*1,IF(AE82&gt;20,"",IF(AE82&lt;20,"")))</f>
        <v/>
      </c>
      <c r="AL82" s="107" t="str">
        <f aca="false">IF(AE82=25,AA82*AB82*AC82*AD82*(AE82/1000)*3.853*1,IF(AE82&gt;25,"",IF(AE82&lt;25,"")))</f>
        <v/>
      </c>
      <c r="AM82" s="115" t="str">
        <f aca="false">IF(AE82=32,AA82*AB82*AC82*AD82*(AE82/1000)*6.313*1,IF(AE82&gt;32,"",IF(AE82&lt;32,"")))</f>
        <v/>
      </c>
      <c r="AN82" s="128"/>
      <c r="AO82" s="117" t="s">
        <v>160</v>
      </c>
      <c r="AP82" s="118" t="n">
        <f aca="false">SUM(R82:Y82)+SUM(AN82)</f>
        <v>14.1726</v>
      </c>
      <c r="AQ82" s="118" t="n">
        <f aca="false">SUM(AF82:AM82)</f>
        <v>0</v>
      </c>
      <c r="AR82" s="118"/>
      <c r="AS82" s="119"/>
      <c r="AT82" s="119" t="s">
        <v>162</v>
      </c>
    </row>
    <row r="83" customFormat="false" ht="13.5" hidden="false" customHeight="false" outlineLevel="0" collapsed="false">
      <c r="A83" s="129"/>
      <c r="B83" s="130"/>
      <c r="C83" s="110"/>
      <c r="D83" s="122"/>
      <c r="E83" s="122"/>
      <c r="F83" s="122"/>
      <c r="G83" s="123"/>
      <c r="H83" s="101"/>
      <c r="I83" s="123"/>
      <c r="J83" s="101"/>
      <c r="K83" s="124"/>
      <c r="L83" s="125"/>
      <c r="M83" s="125"/>
      <c r="N83" s="126"/>
      <c r="O83" s="126"/>
      <c r="P83" s="126"/>
      <c r="Q83" s="127"/>
      <c r="R83" s="105"/>
      <c r="S83" s="106"/>
      <c r="T83" s="106"/>
      <c r="U83" s="106"/>
      <c r="V83" s="107"/>
      <c r="W83" s="106"/>
      <c r="X83" s="106"/>
      <c r="Y83" s="108"/>
      <c r="Z83" s="109"/>
      <c r="AA83" s="110"/>
      <c r="AB83" s="111"/>
      <c r="AC83" s="112"/>
      <c r="AD83" s="112"/>
      <c r="AE83" s="113"/>
      <c r="AF83" s="114"/>
      <c r="AG83" s="107"/>
      <c r="AH83" s="107"/>
      <c r="AI83" s="107"/>
      <c r="AJ83" s="107"/>
      <c r="AK83" s="107"/>
      <c r="AL83" s="107"/>
      <c r="AM83" s="115"/>
      <c r="AO83" s="117"/>
      <c r="AP83" s="118"/>
      <c r="AQ83" s="118"/>
      <c r="AR83" s="118"/>
      <c r="AS83" s="119"/>
      <c r="AT83" s="119"/>
    </row>
    <row r="84" customFormat="false" ht="13.5" hidden="false" customHeight="false" outlineLevel="0" collapsed="false">
      <c r="A84" s="120"/>
      <c r="B84" s="121" t="s">
        <v>517</v>
      </c>
      <c r="C84" s="110" t="n">
        <v>1</v>
      </c>
      <c r="D84" s="122" t="n">
        <v>0.25</v>
      </c>
      <c r="E84" s="122" t="n">
        <v>0.4</v>
      </c>
      <c r="F84" s="122" t="n">
        <f aca="false">0.3013/(0.25*0.4)</f>
        <v>3.013</v>
      </c>
      <c r="G84" s="123" t="n">
        <f aca="false">C84*D84*E84*F84</f>
        <v>0.3013</v>
      </c>
      <c r="H84" s="101"/>
      <c r="I84" s="123" t="n">
        <f aca="false">C84*F84*(D84+(E84-0.2)+(E84))</f>
        <v>2.56105</v>
      </c>
      <c r="J84" s="101"/>
      <c r="K84" s="124"/>
      <c r="L84" s="125"/>
      <c r="M84" s="125"/>
      <c r="N84" s="126"/>
      <c r="O84" s="126"/>
      <c r="P84" s="126"/>
      <c r="Q84" s="127"/>
      <c r="R84" s="105" t="str">
        <f aca="false">IF(P84=6,N84*O84*Q84*0.222*1,IF(P84&gt;6,"",IF(P84&lt;6,"")))</f>
        <v/>
      </c>
      <c r="S84" s="106" t="str">
        <f aca="false">IF(P84=8,N84*O84*Q84*0.395*1,IF(P84&gt;8,"",IF(P84&lt;8,"")))</f>
        <v/>
      </c>
      <c r="T84" s="106" t="str">
        <f aca="false">IF(P84=10,N84*O84*Q84*0.617*1,IF(P84&gt;10,"",IF(P84&lt;10,"")))</f>
        <v/>
      </c>
      <c r="U84" s="106" t="str">
        <f aca="false">IF(P84=12,N84*O84*Q84*0.888*1,IF(P84&gt;12,"",IF(P84&lt;12,"")))</f>
        <v/>
      </c>
      <c r="V84" s="107" t="str">
        <f aca="false">IF(P84=16,N84*O84*Q84*1.578*1,IF(P84&gt;16,"",IF(P84&lt;16,"")))</f>
        <v/>
      </c>
      <c r="W84" s="106" t="str">
        <f aca="false">IF(P84=20,N84*O84*Q84*2.466*1,IF(P84&gt;20,"",IF(P84&lt;20,"")))</f>
        <v/>
      </c>
      <c r="X84" s="106" t="str">
        <f aca="false">IF(P84=25,N84*O84*Q84*3.853*1,IF(P84&gt;25,"",IF(P84&lt;25,"")))</f>
        <v/>
      </c>
      <c r="Y84" s="108" t="str">
        <f aca="false">IF(P84=32,N84*O84*Q84*6.313*1,IF(P84&gt;32,"",IF(P84&lt;32,"")))</f>
        <v/>
      </c>
      <c r="Z84" s="109"/>
      <c r="AA84" s="110" t="str">
        <f aca="false">IF(AC84&gt;0,N84,"")</f>
        <v/>
      </c>
      <c r="AB84" s="111" t="str">
        <f aca="false">IF(AC84&gt;0,O84,"")</f>
        <v/>
      </c>
      <c r="AC84" s="112"/>
      <c r="AD84" s="112"/>
      <c r="AE84" s="113" t="str">
        <f aca="false">IF(AC84&gt;0,P84,"")</f>
        <v/>
      </c>
      <c r="AF84" s="114" t="str">
        <f aca="false">IF(AE84=6,AA84*AB84*AC84*AD84*(AE84/1000)*0.222*1,IF(AE84&gt;6,"",IF(AE84&lt;6,"")))</f>
        <v/>
      </c>
      <c r="AG84" s="107" t="str">
        <f aca="false">IF(AE84=8,AA84*AB84*AC84*AD84*(AE84/1000)*0.395*1,IF(AE84&gt;8,"",IF(AE84&lt;8,"")))</f>
        <v/>
      </c>
      <c r="AH84" s="107" t="str">
        <f aca="false">IF(AE84=10,AA84*AB84*AC84*AD84*(AE84/1000)*0.617*1,IF(AE84&gt;10,"",IF(AE84&lt;10,"")))</f>
        <v/>
      </c>
      <c r="AI84" s="107" t="str">
        <f aca="false">IF(AE84=12,AA84*AB84*AC84*AD84*(AE84/1000)*0.888*1,IF(AE84&gt;12,"",IF(AE84&lt;12,"")))</f>
        <v/>
      </c>
      <c r="AJ84" s="107" t="str">
        <f aca="false">IF(AE84=16,AA84*AB84*AC84*AD84*(AE84/1000)*1.578*1,IF(AE84&gt;16,"",IF(AE84&lt;16,"")))</f>
        <v/>
      </c>
      <c r="AK84" s="107" t="str">
        <f aca="false">IF(AE84=20,AA84*AB84*AC84*AD84*(AE84/1000)*2.466*1,IF(AE84&gt;20,"",IF(AE84&lt;20,"")))</f>
        <v/>
      </c>
      <c r="AL84" s="107" t="str">
        <f aca="false">IF(AE84=25,AA84*AB84*AC84*AD84*(AE84/1000)*3.853*1,IF(AE84&gt;25,"",IF(AE84&lt;25,"")))</f>
        <v/>
      </c>
      <c r="AM84" s="115" t="str">
        <f aca="false">IF(AE84=32,AA84*AB84*AC84*AD84*(AE84/1000)*6.313*1,IF(AE84&gt;32,"",IF(AE84&lt;32,"")))</f>
        <v/>
      </c>
      <c r="AN84" s="128"/>
      <c r="AO84" s="117" t="s">
        <v>160</v>
      </c>
      <c r="AP84" s="118" t="n">
        <f aca="false">SUM(R84:Y84)+SUM(AN84)</f>
        <v>0</v>
      </c>
      <c r="AQ84" s="118" t="n">
        <f aca="false">SUM(AF84:AM84)</f>
        <v>0</v>
      </c>
      <c r="AR84" s="118" t="n">
        <v>0.3013</v>
      </c>
      <c r="AS84" s="119" t="s">
        <v>518</v>
      </c>
      <c r="AT84" s="119" t="s">
        <v>209</v>
      </c>
    </row>
    <row r="85" customFormat="false" ht="13.5" hidden="false" customHeight="false" outlineLevel="0" collapsed="false">
      <c r="A85" s="129"/>
      <c r="B85" s="172"/>
      <c r="C85" s="110"/>
      <c r="D85" s="122"/>
      <c r="E85" s="122"/>
      <c r="F85" s="173"/>
      <c r="G85" s="123"/>
      <c r="H85" s="101"/>
      <c r="I85" s="123"/>
      <c r="J85" s="101"/>
      <c r="K85" s="124" t="s">
        <v>305</v>
      </c>
      <c r="L85" s="125"/>
      <c r="M85" s="125"/>
      <c r="N85" s="126" t="n">
        <f aca="false">$C$84</f>
        <v>1</v>
      </c>
      <c r="O85" s="126" t="n">
        <v>3</v>
      </c>
      <c r="P85" s="126" t="n">
        <v>16</v>
      </c>
      <c r="Q85" s="127" t="n">
        <f aca="false">3.0134+2*50*16/1000</f>
        <v>4.6134</v>
      </c>
      <c r="R85" s="105" t="str">
        <f aca="false">IF(P85=6,N85*O85*Q85*0.222*1,IF(P85&gt;6,"",IF(P85&lt;6,"")))</f>
        <v/>
      </c>
      <c r="S85" s="106" t="str">
        <f aca="false">IF(P85=8,N85*O85*Q85*0.395*1,IF(P85&gt;8,"",IF(P85&lt;8,"")))</f>
        <v/>
      </c>
      <c r="T85" s="106" t="str">
        <f aca="false">IF(P85=10,N85*O85*Q85*0.617*1,IF(P85&gt;10,"",IF(P85&lt;10,"")))</f>
        <v/>
      </c>
      <c r="U85" s="106" t="str">
        <f aca="false">IF(P85=12,N85*O85*Q85*0.888*1,IF(P85&gt;12,"",IF(P85&lt;12,"")))</f>
        <v/>
      </c>
      <c r="V85" s="107" t="n">
        <f aca="false">IF(P85=16,N85*O85*Q85*1.578*1,IF(P85&gt;16,"",IF(P85&lt;16,"")))</f>
        <v>21.8398356</v>
      </c>
      <c r="W85" s="106" t="str">
        <f aca="false">IF(P85=20,N85*O85*Q85*2.466*1,IF(P85&gt;20,"",IF(P85&lt;20,"")))</f>
        <v/>
      </c>
      <c r="X85" s="106" t="str">
        <f aca="false">IF(P85=25,N85*O85*Q85*3.853*1,IF(P85&gt;25,"",IF(P85&lt;25,"")))</f>
        <v/>
      </c>
      <c r="Y85" s="108" t="str">
        <f aca="false">IF(P85=32,N85*O85*Q85*6.313*1,IF(P85&gt;32,"",IF(P85&lt;32,"")))</f>
        <v/>
      </c>
      <c r="Z85" s="109"/>
      <c r="AA85" s="110" t="str">
        <f aca="false">IF(AC85&gt;0,N85,"")</f>
        <v/>
      </c>
      <c r="AB85" s="111" t="str">
        <f aca="false">IF(AC85&gt;0,O85,"")</f>
        <v/>
      </c>
      <c r="AC85" s="112"/>
      <c r="AD85" s="112"/>
      <c r="AE85" s="113" t="str">
        <f aca="false">IF(AC85&gt;0,P85,"")</f>
        <v/>
      </c>
      <c r="AF85" s="114" t="str">
        <f aca="false">IF(AE85=6,AA85*AB85*AC85*AD85*(AE85/1000)*0.222*1,IF(AE85&gt;6,"",IF(AE85&lt;6,"")))</f>
        <v/>
      </c>
      <c r="AG85" s="107" t="str">
        <f aca="false">IF(AE85=8,AA85*AB85*AC85*AD85*(AE85/1000)*0.395*1,IF(AE85&gt;8,"",IF(AE85&lt;8,"")))</f>
        <v/>
      </c>
      <c r="AH85" s="107" t="str">
        <f aca="false">IF(AE85=10,AA85*AB85*AC85*AD85*(AE85/1000)*0.617*1,IF(AE85&gt;10,"",IF(AE85&lt;10,"")))</f>
        <v/>
      </c>
      <c r="AI85" s="107" t="str">
        <f aca="false">IF(AE85=12,AA85*AB85*AC85*AD85*(AE85/1000)*0.888*1,IF(AE85&gt;12,"",IF(AE85&lt;12,"")))</f>
        <v/>
      </c>
      <c r="AJ85" s="107" t="str">
        <f aca="false">IF(AE85=16,AA85*AB85*AC85*AD85*(AE85/1000)*1.578*1,IF(AE85&gt;16,"",IF(AE85&lt;16,"")))</f>
        <v/>
      </c>
      <c r="AK85" s="107" t="str">
        <f aca="false">IF(AE85=20,AA85*AB85*AC85*AD85*(AE85/1000)*2.466*1,IF(AE85&gt;20,"",IF(AE85&lt;20,"")))</f>
        <v/>
      </c>
      <c r="AL85" s="107" t="str">
        <f aca="false">IF(AE85=25,AA85*AB85*AC85*AD85*(AE85/1000)*3.853*1,IF(AE85&gt;25,"",IF(AE85&lt;25,"")))</f>
        <v/>
      </c>
      <c r="AM85" s="115" t="str">
        <f aca="false">IF(AE85=32,AA85*AB85*AC85*AD85*(AE85/1000)*6.313*1,IF(AE85&gt;32,"",IF(AE85&lt;32,"")))</f>
        <v/>
      </c>
      <c r="AN85" s="128"/>
      <c r="AO85" s="117" t="s">
        <v>160</v>
      </c>
      <c r="AP85" s="118" t="n">
        <f aca="false">SUM(R85:Y85)+SUM(AN85)</f>
        <v>21.8398356</v>
      </c>
      <c r="AQ85" s="118" t="n">
        <f aca="false">SUM(AF85:AM85)</f>
        <v>0</v>
      </c>
      <c r="AR85" s="118"/>
      <c r="AS85" s="119" t="s">
        <v>482</v>
      </c>
      <c r="AT85" s="119" t="s">
        <v>162</v>
      </c>
    </row>
    <row r="86" customFormat="false" ht="13.5" hidden="false" customHeight="false" outlineLevel="0" collapsed="false">
      <c r="A86" s="129"/>
      <c r="B86" s="172"/>
      <c r="C86" s="110"/>
      <c r="D86" s="122"/>
      <c r="E86" s="122"/>
      <c r="F86" s="173"/>
      <c r="G86" s="123"/>
      <c r="H86" s="101"/>
      <c r="I86" s="123"/>
      <c r="J86" s="101"/>
      <c r="K86" s="124" t="s">
        <v>306</v>
      </c>
      <c r="L86" s="125"/>
      <c r="M86" s="125"/>
      <c r="N86" s="126" t="n">
        <f aca="false">$C$84</f>
        <v>1</v>
      </c>
      <c r="O86" s="126" t="n">
        <v>3</v>
      </c>
      <c r="P86" s="126" t="n">
        <v>16</v>
      </c>
      <c r="Q86" s="127" t="n">
        <f aca="false">3.0134+2*50*16/1000</f>
        <v>4.6134</v>
      </c>
      <c r="R86" s="105" t="str">
        <f aca="false">IF(P86=6,N86*O86*Q86*0.222*1,IF(P86&gt;6,"",IF(P86&lt;6,"")))</f>
        <v/>
      </c>
      <c r="S86" s="106" t="str">
        <f aca="false">IF(P86=8,N86*O86*Q86*0.395*1,IF(P86&gt;8,"",IF(P86&lt;8,"")))</f>
        <v/>
      </c>
      <c r="T86" s="106" t="str">
        <f aca="false">IF(P86=10,N86*O86*Q86*0.617*1,IF(P86&gt;10,"",IF(P86&lt;10,"")))</f>
        <v/>
      </c>
      <c r="U86" s="106" t="str">
        <f aca="false">IF(P86=12,N86*O86*Q86*0.888*1,IF(P86&gt;12,"",IF(P86&lt;12,"")))</f>
        <v/>
      </c>
      <c r="V86" s="107" t="n">
        <f aca="false">IF(P86=16,N86*O86*Q86*1.578*1,IF(P86&gt;16,"",IF(P86&lt;16,"")))</f>
        <v>21.8398356</v>
      </c>
      <c r="W86" s="106" t="str">
        <f aca="false">IF(P86=20,N86*O86*Q86*2.466*1,IF(P86&gt;20,"",IF(P86&lt;20,"")))</f>
        <v/>
      </c>
      <c r="X86" s="106" t="str">
        <f aca="false">IF(P86=25,N86*O86*Q86*3.853*1,IF(P86&gt;25,"",IF(P86&lt;25,"")))</f>
        <v/>
      </c>
      <c r="Y86" s="108" t="str">
        <f aca="false">IF(P86=32,N86*O86*Q86*6.313*1,IF(P86&gt;32,"",IF(P86&lt;32,"")))</f>
        <v/>
      </c>
      <c r="Z86" s="109"/>
      <c r="AA86" s="110" t="str">
        <f aca="false">IF(AC86&gt;0,N86,"")</f>
        <v/>
      </c>
      <c r="AB86" s="111" t="str">
        <f aca="false">IF(AC86&gt;0,O86,"")</f>
        <v/>
      </c>
      <c r="AC86" s="112"/>
      <c r="AD86" s="112"/>
      <c r="AE86" s="113" t="str">
        <f aca="false">IF(AC86&gt;0,P86,"")</f>
        <v/>
      </c>
      <c r="AF86" s="114" t="str">
        <f aca="false">IF(AE86=6,AA86*AB86*AC86*AD86*(AE86/1000)*0.222*1,IF(AE86&gt;6,"",IF(AE86&lt;6,"")))</f>
        <v/>
      </c>
      <c r="AG86" s="107" t="str">
        <f aca="false">IF(AE86=8,AA86*AB86*AC86*AD86*(AE86/1000)*0.395*1,IF(AE86&gt;8,"",IF(AE86&lt;8,"")))</f>
        <v/>
      </c>
      <c r="AH86" s="107" t="str">
        <f aca="false">IF(AE86=10,AA86*AB86*AC86*AD86*(AE86/1000)*0.617*1,IF(AE86&gt;10,"",IF(AE86&lt;10,"")))</f>
        <v/>
      </c>
      <c r="AI86" s="107" t="str">
        <f aca="false">IF(AE86=12,AA86*AB86*AC86*AD86*(AE86/1000)*0.888*1,IF(AE86&gt;12,"",IF(AE86&lt;12,"")))</f>
        <v/>
      </c>
      <c r="AJ86" s="107" t="str">
        <f aca="false">IF(AE86=16,AA86*AB86*AC86*AD86*(AE86/1000)*1.578*1,IF(AE86&gt;16,"",IF(AE86&lt;16,"")))</f>
        <v/>
      </c>
      <c r="AK86" s="107" t="str">
        <f aca="false">IF(AE86=20,AA86*AB86*AC86*AD86*(AE86/1000)*2.466*1,IF(AE86&gt;20,"",IF(AE86&lt;20,"")))</f>
        <v/>
      </c>
      <c r="AL86" s="107" t="str">
        <f aca="false">IF(AE86=25,AA86*AB86*AC86*AD86*(AE86/1000)*3.853*1,IF(AE86&gt;25,"",IF(AE86&lt;25,"")))</f>
        <v/>
      </c>
      <c r="AM86" s="115" t="str">
        <f aca="false">IF(AE86=32,AA86*AB86*AC86*AD86*(AE86/1000)*6.313*1,IF(AE86&gt;32,"",IF(AE86&lt;32,"")))</f>
        <v/>
      </c>
      <c r="AN86" s="128"/>
      <c r="AO86" s="117" t="s">
        <v>160</v>
      </c>
      <c r="AP86" s="118" t="n">
        <f aca="false">SUM(R86:Y86)+SUM(AN86)</f>
        <v>21.8398356</v>
      </c>
      <c r="AQ86" s="118" t="n">
        <f aca="false">SUM(AF86:AM86)</f>
        <v>0</v>
      </c>
      <c r="AR86" s="118"/>
      <c r="AS86" s="119" t="s">
        <v>482</v>
      </c>
      <c r="AT86" s="119" t="s">
        <v>162</v>
      </c>
    </row>
    <row r="87" customFormat="false" ht="13.5" hidden="false" customHeight="false" outlineLevel="0" collapsed="false">
      <c r="A87" s="129"/>
      <c r="B87" s="172"/>
      <c r="C87" s="110"/>
      <c r="D87" s="122"/>
      <c r="E87" s="122"/>
      <c r="F87" s="173"/>
      <c r="G87" s="123"/>
      <c r="H87" s="101"/>
      <c r="I87" s="123"/>
      <c r="J87" s="101"/>
      <c r="K87" s="124" t="s">
        <v>486</v>
      </c>
      <c r="L87" s="125" t="n">
        <f aca="false">$F$84</f>
        <v>3.013</v>
      </c>
      <c r="M87" s="125" t="n">
        <v>0.125</v>
      </c>
      <c r="N87" s="126" t="n">
        <f aca="false">$C$84</f>
        <v>1</v>
      </c>
      <c r="O87" s="126" t="n">
        <f aca="false">CEILING(L87/M87,1)+1</f>
        <v>26</v>
      </c>
      <c r="P87" s="126" t="n">
        <v>8</v>
      </c>
      <c r="Q87" s="127" t="n">
        <f aca="false">2*($D$84-2*0.035)+2*($E$84-2*0.035)+20*8/1000</f>
        <v>1.18</v>
      </c>
      <c r="R87" s="105" t="str">
        <f aca="false">IF(P87=6,N87*O87*Q87*0.222*1,IF(P87&gt;6,"",IF(P87&lt;6,"")))</f>
        <v/>
      </c>
      <c r="S87" s="106" t="n">
        <f aca="false">IF(P87=8,N87*O87*Q87*0.395*1,IF(P87&gt;8,"",IF(P87&lt;8,"")))</f>
        <v>12.1186</v>
      </c>
      <c r="T87" s="106" t="str">
        <f aca="false">IF(P87=10,N87*O87*Q87*0.617*1,IF(P87&gt;10,"",IF(P87&lt;10,"")))</f>
        <v/>
      </c>
      <c r="U87" s="106" t="str">
        <f aca="false">IF(P87=12,N87*O87*Q87*0.888*1,IF(P87&gt;12,"",IF(P87&lt;12,"")))</f>
        <v/>
      </c>
      <c r="V87" s="107" t="str">
        <f aca="false">IF(P87=16,N87*O87*Q87*1.578*1,IF(P87&gt;16,"",IF(P87&lt;16,"")))</f>
        <v/>
      </c>
      <c r="W87" s="106" t="str">
        <f aca="false">IF(P87=20,N87*O87*Q87*2.466*1,IF(P87&gt;20,"",IF(P87&lt;20,"")))</f>
        <v/>
      </c>
      <c r="X87" s="106" t="str">
        <f aca="false">IF(P87=25,N87*O87*Q87*3.853*1,IF(P87&gt;25,"",IF(P87&lt;25,"")))</f>
        <v/>
      </c>
      <c r="Y87" s="108" t="str">
        <f aca="false">IF(P87=32,N87*O87*Q87*6.313*1,IF(P87&gt;32,"",IF(P87&lt;32,"")))</f>
        <v/>
      </c>
      <c r="Z87" s="109"/>
      <c r="AA87" s="110" t="str">
        <f aca="false">IF(AC87&gt;0,N87,"")</f>
        <v/>
      </c>
      <c r="AB87" s="111" t="str">
        <f aca="false">IF(AC87&gt;0,O87,"")</f>
        <v/>
      </c>
      <c r="AC87" s="112"/>
      <c r="AD87" s="112"/>
      <c r="AE87" s="113" t="str">
        <f aca="false">IF(AC87&gt;0,P87,"")</f>
        <v/>
      </c>
      <c r="AF87" s="114" t="str">
        <f aca="false">IF(AE87=6,AA87*AB87*AC87*AD87*(AE87/1000)*0.222*1,IF(AE87&gt;6,"",IF(AE87&lt;6,"")))</f>
        <v/>
      </c>
      <c r="AG87" s="107" t="str">
        <f aca="false">IF(AE87=8,AA87*AB87*AC87*AD87*(AE87/1000)*0.395*1,IF(AE87&gt;8,"",IF(AE87&lt;8,"")))</f>
        <v/>
      </c>
      <c r="AH87" s="107" t="str">
        <f aca="false">IF(AE87=10,AA87*AB87*AC87*AD87*(AE87/1000)*0.617*1,IF(AE87&gt;10,"",IF(AE87&lt;10,"")))</f>
        <v/>
      </c>
      <c r="AI87" s="107" t="str">
        <f aca="false">IF(AE87=12,AA87*AB87*AC87*AD87*(AE87/1000)*0.888*1,IF(AE87&gt;12,"",IF(AE87&lt;12,"")))</f>
        <v/>
      </c>
      <c r="AJ87" s="107" t="str">
        <f aca="false">IF(AE87=16,AA87*AB87*AC87*AD87*(AE87/1000)*1.578*1,IF(AE87&gt;16,"",IF(AE87&lt;16,"")))</f>
        <v/>
      </c>
      <c r="AK87" s="107" t="str">
        <f aca="false">IF(AE87=20,AA87*AB87*AC87*AD87*(AE87/1000)*2.466*1,IF(AE87&gt;20,"",IF(AE87&lt;20,"")))</f>
        <v/>
      </c>
      <c r="AL87" s="107" t="str">
        <f aca="false">IF(AE87=25,AA87*AB87*AC87*AD87*(AE87/1000)*3.853*1,IF(AE87&gt;25,"",IF(AE87&lt;25,"")))</f>
        <v/>
      </c>
      <c r="AM87" s="115" t="str">
        <f aca="false">IF(AE87=32,AA87*AB87*AC87*AD87*(AE87/1000)*6.313*1,IF(AE87&gt;32,"",IF(AE87&lt;32,"")))</f>
        <v/>
      </c>
      <c r="AN87" s="128"/>
      <c r="AO87" s="117" t="s">
        <v>160</v>
      </c>
      <c r="AP87" s="118" t="n">
        <f aca="false">SUM(R87:Y87)+SUM(AN87)</f>
        <v>12.1186</v>
      </c>
      <c r="AQ87" s="118" t="n">
        <f aca="false">SUM(AF87:AM87)</f>
        <v>0</v>
      </c>
      <c r="AR87" s="118"/>
      <c r="AS87" s="119"/>
      <c r="AT87" s="119" t="s">
        <v>341</v>
      </c>
    </row>
    <row r="88" customFormat="false" ht="13.5" hidden="false" customHeight="false" outlineLevel="0" collapsed="false">
      <c r="A88" s="129"/>
      <c r="B88" s="130"/>
      <c r="C88" s="110"/>
      <c r="D88" s="122"/>
      <c r="E88" s="122"/>
      <c r="F88" s="122"/>
      <c r="G88" s="123"/>
      <c r="H88" s="101"/>
      <c r="I88" s="123"/>
      <c r="J88" s="101"/>
      <c r="K88" s="124"/>
      <c r="L88" s="125"/>
      <c r="M88" s="125"/>
      <c r="N88" s="126"/>
      <c r="O88" s="126"/>
      <c r="P88" s="126"/>
      <c r="Q88" s="127"/>
      <c r="R88" s="105"/>
      <c r="S88" s="106"/>
      <c r="T88" s="106"/>
      <c r="U88" s="106"/>
      <c r="V88" s="107"/>
      <c r="W88" s="106"/>
      <c r="X88" s="106"/>
      <c r="Y88" s="108"/>
      <c r="Z88" s="109"/>
      <c r="AA88" s="110"/>
      <c r="AB88" s="111"/>
      <c r="AC88" s="112"/>
      <c r="AD88" s="112"/>
      <c r="AE88" s="113"/>
      <c r="AF88" s="114"/>
      <c r="AG88" s="107"/>
      <c r="AH88" s="107"/>
      <c r="AI88" s="107"/>
      <c r="AJ88" s="107"/>
      <c r="AK88" s="107"/>
      <c r="AL88" s="107"/>
      <c r="AM88" s="115"/>
      <c r="AO88" s="117"/>
      <c r="AP88" s="118"/>
      <c r="AQ88" s="118"/>
      <c r="AR88" s="118"/>
      <c r="AS88" s="119"/>
      <c r="AT88" s="119"/>
    </row>
    <row r="89" customFormat="false" ht="13.5" hidden="false" customHeight="false" outlineLevel="0" collapsed="false">
      <c r="A89" s="120"/>
      <c r="B89" s="121" t="s">
        <v>519</v>
      </c>
      <c r="C89" s="110" t="n">
        <v>1</v>
      </c>
      <c r="D89" s="122" t="n">
        <v>0.2</v>
      </c>
      <c r="E89" s="122" t="n">
        <v>0.55</v>
      </c>
      <c r="F89" s="122" t="n">
        <f aca="false">0.7413/(0.2*0.55)</f>
        <v>6.73909090909091</v>
      </c>
      <c r="G89" s="123" t="n">
        <f aca="false">C89*D89*E89*F89</f>
        <v>0.7413</v>
      </c>
      <c r="H89" s="101"/>
      <c r="I89" s="123" t="n">
        <f aca="false">C89*F89*(D89+(E89-0.2)+(0))</f>
        <v>3.7065</v>
      </c>
      <c r="J89" s="101"/>
      <c r="K89" s="124"/>
      <c r="L89" s="125"/>
      <c r="M89" s="125"/>
      <c r="N89" s="126"/>
      <c r="O89" s="126"/>
      <c r="P89" s="126"/>
      <c r="Q89" s="127"/>
      <c r="R89" s="105" t="str">
        <f aca="false">IF(P89=6,N89*O89*Q89*0.222*1,IF(P89&gt;6,"",IF(P89&lt;6,"")))</f>
        <v/>
      </c>
      <c r="S89" s="106" t="str">
        <f aca="false">IF(P89=8,N89*O89*Q89*0.395*1,IF(P89&gt;8,"",IF(P89&lt;8,"")))</f>
        <v/>
      </c>
      <c r="T89" s="106" t="str">
        <f aca="false">IF(P89=10,N89*O89*Q89*0.617*1,IF(P89&gt;10,"",IF(P89&lt;10,"")))</f>
        <v/>
      </c>
      <c r="U89" s="106" t="str">
        <f aca="false">IF(P89=12,N89*O89*Q89*0.888*1,IF(P89&gt;12,"",IF(P89&lt;12,"")))</f>
        <v/>
      </c>
      <c r="V89" s="107" t="str">
        <f aca="false">IF(P89=16,N89*O89*Q89*1.578*1,IF(P89&gt;16,"",IF(P89&lt;16,"")))</f>
        <v/>
      </c>
      <c r="W89" s="106" t="str">
        <f aca="false">IF(P89=20,N89*O89*Q89*2.466*1,IF(P89&gt;20,"",IF(P89&lt;20,"")))</f>
        <v/>
      </c>
      <c r="X89" s="106" t="str">
        <f aca="false">IF(P89=25,N89*O89*Q89*3.853*1,IF(P89&gt;25,"",IF(P89&lt;25,"")))</f>
        <v/>
      </c>
      <c r="Y89" s="108" t="str">
        <f aca="false">IF(P89=32,N89*O89*Q89*6.313*1,IF(P89&gt;32,"",IF(P89&lt;32,"")))</f>
        <v/>
      </c>
      <c r="Z89" s="109"/>
      <c r="AA89" s="110" t="str">
        <f aca="false">IF(AC89&gt;0,N89,"")</f>
        <v/>
      </c>
      <c r="AB89" s="111" t="str">
        <f aca="false">IF(AC89&gt;0,O89,"")</f>
        <v/>
      </c>
      <c r="AC89" s="112"/>
      <c r="AD89" s="112"/>
      <c r="AE89" s="113" t="str">
        <f aca="false">IF(AC89&gt;0,P89,"")</f>
        <v/>
      </c>
      <c r="AF89" s="114" t="str">
        <f aca="false">IF(AE89=6,AA89*AB89*AC89*AD89*(AE89/1000)*0.222*1,IF(AE89&gt;6,"",IF(AE89&lt;6,"")))</f>
        <v/>
      </c>
      <c r="AG89" s="107" t="str">
        <f aca="false">IF(AE89=8,AA89*AB89*AC89*AD89*(AE89/1000)*0.395*1,IF(AE89&gt;8,"",IF(AE89&lt;8,"")))</f>
        <v/>
      </c>
      <c r="AH89" s="107" t="str">
        <f aca="false">IF(AE89=10,AA89*AB89*AC89*AD89*(AE89/1000)*0.617*1,IF(AE89&gt;10,"",IF(AE89&lt;10,"")))</f>
        <v/>
      </c>
      <c r="AI89" s="107" t="str">
        <f aca="false">IF(AE89=12,AA89*AB89*AC89*AD89*(AE89/1000)*0.888*1,IF(AE89&gt;12,"",IF(AE89&lt;12,"")))</f>
        <v/>
      </c>
      <c r="AJ89" s="107" t="str">
        <f aca="false">IF(AE89=16,AA89*AB89*AC89*AD89*(AE89/1000)*1.578*1,IF(AE89&gt;16,"",IF(AE89&lt;16,"")))</f>
        <v/>
      </c>
      <c r="AK89" s="107" t="str">
        <f aca="false">IF(AE89=20,AA89*AB89*AC89*AD89*(AE89/1000)*2.466*1,IF(AE89&gt;20,"",IF(AE89&lt;20,"")))</f>
        <v/>
      </c>
      <c r="AL89" s="107" t="str">
        <f aca="false">IF(AE89=25,AA89*AB89*AC89*AD89*(AE89/1000)*3.853*1,IF(AE89&gt;25,"",IF(AE89&lt;25,"")))</f>
        <v/>
      </c>
      <c r="AM89" s="115" t="str">
        <f aca="false">IF(AE89=32,AA89*AB89*AC89*AD89*(AE89/1000)*6.313*1,IF(AE89&gt;32,"",IF(AE89&lt;32,"")))</f>
        <v/>
      </c>
      <c r="AN89" s="128"/>
      <c r="AO89" s="117" t="s">
        <v>160</v>
      </c>
      <c r="AP89" s="118" t="n">
        <f aca="false">SUM(R89:Y89)+SUM(AN89)</f>
        <v>0</v>
      </c>
      <c r="AQ89" s="118" t="n">
        <f aca="false">SUM(AF89:AM89)</f>
        <v>0</v>
      </c>
      <c r="AR89" s="118" t="n">
        <v>0.7413</v>
      </c>
      <c r="AS89" s="119" t="s">
        <v>520</v>
      </c>
      <c r="AT89" s="119" t="s">
        <v>209</v>
      </c>
    </row>
    <row r="90" customFormat="false" ht="13.5" hidden="false" customHeight="false" outlineLevel="0" collapsed="false">
      <c r="A90" s="129"/>
      <c r="B90" s="172"/>
      <c r="C90" s="110"/>
      <c r="D90" s="122"/>
      <c r="E90" s="122"/>
      <c r="F90" s="173"/>
      <c r="G90" s="123"/>
      <c r="H90" s="101"/>
      <c r="I90" s="123"/>
      <c r="J90" s="101"/>
      <c r="K90" s="124" t="s">
        <v>483</v>
      </c>
      <c r="L90" s="125"/>
      <c r="M90" s="125"/>
      <c r="N90" s="126" t="n">
        <f aca="false">$C$89</f>
        <v>1</v>
      </c>
      <c r="O90" s="126" t="n">
        <v>2</v>
      </c>
      <c r="P90" s="126" t="n">
        <v>20</v>
      </c>
      <c r="Q90" s="127" t="n">
        <f aca="false">6.83+2*50*20/1000</f>
        <v>8.83</v>
      </c>
      <c r="R90" s="105" t="str">
        <f aca="false">IF(P90=6,N90*O90*Q90*0.222*1,IF(P90&gt;6,"",IF(P90&lt;6,"")))</f>
        <v/>
      </c>
      <c r="S90" s="106" t="str">
        <f aca="false">IF(P90=8,N90*O90*Q90*0.395*1,IF(P90&gt;8,"",IF(P90&lt;8,"")))</f>
        <v/>
      </c>
      <c r="T90" s="106" t="str">
        <f aca="false">IF(P90=10,N90*O90*Q90*0.617*1,IF(P90&gt;10,"",IF(P90&lt;10,"")))</f>
        <v/>
      </c>
      <c r="U90" s="106" t="str">
        <f aca="false">IF(P90=12,N90*O90*Q90*0.888*1,IF(P90&gt;12,"",IF(P90&lt;12,"")))</f>
        <v/>
      </c>
      <c r="V90" s="107" t="str">
        <f aca="false">IF(P90=16,N90*O90*Q90*1.578*1,IF(P90&gt;16,"",IF(P90&lt;16,"")))</f>
        <v/>
      </c>
      <c r="W90" s="106" t="n">
        <f aca="false">IF(P90=20,N90*O90*Q90*2.466*1,IF(P90&gt;20,"",IF(P90&lt;20,"")))</f>
        <v>43.54956</v>
      </c>
      <c r="X90" s="106" t="str">
        <f aca="false">IF(P90=25,N90*O90*Q90*3.853*1,IF(P90&gt;25,"",IF(P90&lt;25,"")))</f>
        <v/>
      </c>
      <c r="Y90" s="108" t="str">
        <f aca="false">IF(P90=32,N90*O90*Q90*6.313*1,IF(P90&gt;32,"",IF(P90&lt;32,"")))</f>
        <v/>
      </c>
      <c r="Z90" s="109"/>
      <c r="AA90" s="110" t="str">
        <f aca="false">IF(AC90&gt;0,N90,"")</f>
        <v/>
      </c>
      <c r="AB90" s="111" t="str">
        <f aca="false">IF(AC90&gt;0,O90,"")</f>
        <v/>
      </c>
      <c r="AC90" s="112"/>
      <c r="AD90" s="112"/>
      <c r="AE90" s="113" t="str">
        <f aca="false">IF(AC90&gt;0,P90,"")</f>
        <v/>
      </c>
      <c r="AF90" s="114" t="str">
        <f aca="false">IF(AE90=6,AA90*AB90*AC90*AD90*(AE90/1000)*0.222*1,IF(AE90&gt;6,"",IF(AE90&lt;6,"")))</f>
        <v/>
      </c>
      <c r="AG90" s="107" t="str">
        <f aca="false">IF(AE90=8,AA90*AB90*AC90*AD90*(AE90/1000)*0.395*1,IF(AE90&gt;8,"",IF(AE90&lt;8,"")))</f>
        <v/>
      </c>
      <c r="AH90" s="107" t="str">
        <f aca="false">IF(AE90=10,AA90*AB90*AC90*AD90*(AE90/1000)*0.617*1,IF(AE90&gt;10,"",IF(AE90&lt;10,"")))</f>
        <v/>
      </c>
      <c r="AI90" s="107" t="str">
        <f aca="false">IF(AE90=12,AA90*AB90*AC90*AD90*(AE90/1000)*0.888*1,IF(AE90&gt;12,"",IF(AE90&lt;12,"")))</f>
        <v/>
      </c>
      <c r="AJ90" s="107" t="str">
        <f aca="false">IF(AE90=16,AA90*AB90*AC90*AD90*(AE90/1000)*1.578*1,IF(AE90&gt;16,"",IF(AE90&lt;16,"")))</f>
        <v/>
      </c>
      <c r="AK90" s="107" t="str">
        <f aca="false">IF(AE90=20,AA90*AB90*AC90*AD90*(AE90/1000)*2.466*1,IF(AE90&gt;20,"",IF(AE90&lt;20,"")))</f>
        <v/>
      </c>
      <c r="AL90" s="107" t="str">
        <f aca="false">IF(AE90=25,AA90*AB90*AC90*AD90*(AE90/1000)*3.853*1,IF(AE90&gt;25,"",IF(AE90&lt;25,"")))</f>
        <v/>
      </c>
      <c r="AM90" s="115" t="str">
        <f aca="false">IF(AE90=32,AA90*AB90*AC90*AD90*(AE90/1000)*6.313*1,IF(AE90&gt;32,"",IF(AE90&lt;32,"")))</f>
        <v/>
      </c>
      <c r="AN90" s="128"/>
      <c r="AO90" s="117" t="s">
        <v>160</v>
      </c>
      <c r="AP90" s="118" t="n">
        <f aca="false">SUM(R90:Y90)+SUM(AN90)</f>
        <v>43.54956</v>
      </c>
      <c r="AQ90" s="118" t="n">
        <f aca="false">SUM(AF90:AM90)</f>
        <v>0</v>
      </c>
      <c r="AR90" s="118"/>
      <c r="AS90" s="119" t="s">
        <v>482</v>
      </c>
      <c r="AT90" s="119" t="s">
        <v>162</v>
      </c>
    </row>
    <row r="91" customFormat="false" ht="13.5" hidden="false" customHeight="false" outlineLevel="0" collapsed="false">
      <c r="A91" s="129"/>
      <c r="B91" s="172"/>
      <c r="C91" s="110"/>
      <c r="D91" s="122"/>
      <c r="E91" s="122"/>
      <c r="F91" s="173"/>
      <c r="G91" s="123"/>
      <c r="H91" s="101"/>
      <c r="I91" s="123"/>
      <c r="J91" s="101"/>
      <c r="K91" s="124" t="s">
        <v>485</v>
      </c>
      <c r="L91" s="125"/>
      <c r="M91" s="125"/>
      <c r="N91" s="126" t="n">
        <f aca="false">$C$89</f>
        <v>1</v>
      </c>
      <c r="O91" s="126" t="n">
        <v>2</v>
      </c>
      <c r="P91" s="126" t="n">
        <v>20</v>
      </c>
      <c r="Q91" s="127" t="n">
        <f aca="false">6.83+2*50*20/1000</f>
        <v>8.83</v>
      </c>
      <c r="R91" s="105" t="str">
        <f aca="false">IF(P91=6,N91*O91*Q91*0.222*1,IF(P91&gt;6,"",IF(P91&lt;6,"")))</f>
        <v/>
      </c>
      <c r="S91" s="106" t="str">
        <f aca="false">IF(P91=8,N91*O91*Q91*0.395*1,IF(P91&gt;8,"",IF(P91&lt;8,"")))</f>
        <v/>
      </c>
      <c r="T91" s="106" t="str">
        <f aca="false">IF(P91=10,N91*O91*Q91*0.617*1,IF(P91&gt;10,"",IF(P91&lt;10,"")))</f>
        <v/>
      </c>
      <c r="U91" s="106" t="str">
        <f aca="false">IF(P91=12,N91*O91*Q91*0.888*1,IF(P91&gt;12,"",IF(P91&lt;12,"")))</f>
        <v/>
      </c>
      <c r="V91" s="107" t="str">
        <f aca="false">IF(P91=16,N91*O91*Q91*1.578*1,IF(P91&gt;16,"",IF(P91&lt;16,"")))</f>
        <v/>
      </c>
      <c r="W91" s="106" t="n">
        <f aca="false">IF(P91=20,N91*O91*Q91*2.466*1,IF(P91&gt;20,"",IF(P91&lt;20,"")))</f>
        <v>43.54956</v>
      </c>
      <c r="X91" s="106" t="str">
        <f aca="false">IF(P91=25,N91*O91*Q91*3.853*1,IF(P91&gt;25,"",IF(P91&lt;25,"")))</f>
        <v/>
      </c>
      <c r="Y91" s="108" t="str">
        <f aca="false">IF(P91=32,N91*O91*Q91*6.313*1,IF(P91&gt;32,"",IF(P91&lt;32,"")))</f>
        <v/>
      </c>
      <c r="Z91" s="109"/>
      <c r="AA91" s="110" t="str">
        <f aca="false">IF(AC91&gt;0,N91,"")</f>
        <v/>
      </c>
      <c r="AB91" s="111" t="str">
        <f aca="false">IF(AC91&gt;0,O91,"")</f>
        <v/>
      </c>
      <c r="AC91" s="112"/>
      <c r="AD91" s="112"/>
      <c r="AE91" s="113" t="str">
        <f aca="false">IF(AC91&gt;0,P91,"")</f>
        <v/>
      </c>
      <c r="AF91" s="114" t="str">
        <f aca="false">IF(AE91=6,AA91*AB91*AC91*AD91*(AE91/1000)*0.222*1,IF(AE91&gt;6,"",IF(AE91&lt;6,"")))</f>
        <v/>
      </c>
      <c r="AG91" s="107" t="str">
        <f aca="false">IF(AE91=8,AA91*AB91*AC91*AD91*(AE91/1000)*0.395*1,IF(AE91&gt;8,"",IF(AE91&lt;8,"")))</f>
        <v/>
      </c>
      <c r="AH91" s="107" t="str">
        <f aca="false">IF(AE91=10,AA91*AB91*AC91*AD91*(AE91/1000)*0.617*1,IF(AE91&gt;10,"",IF(AE91&lt;10,"")))</f>
        <v/>
      </c>
      <c r="AI91" s="107" t="str">
        <f aca="false">IF(AE91=12,AA91*AB91*AC91*AD91*(AE91/1000)*0.888*1,IF(AE91&gt;12,"",IF(AE91&lt;12,"")))</f>
        <v/>
      </c>
      <c r="AJ91" s="107" t="str">
        <f aca="false">IF(AE91=16,AA91*AB91*AC91*AD91*(AE91/1000)*1.578*1,IF(AE91&gt;16,"",IF(AE91&lt;16,"")))</f>
        <v/>
      </c>
      <c r="AK91" s="107" t="str">
        <f aca="false">IF(AE91=20,AA91*AB91*AC91*AD91*(AE91/1000)*2.466*1,IF(AE91&gt;20,"",IF(AE91&lt;20,"")))</f>
        <v/>
      </c>
      <c r="AL91" s="107" t="str">
        <f aca="false">IF(AE91=25,AA91*AB91*AC91*AD91*(AE91/1000)*3.853*1,IF(AE91&gt;25,"",IF(AE91&lt;25,"")))</f>
        <v/>
      </c>
      <c r="AM91" s="115" t="str">
        <f aca="false">IF(AE91=32,AA91*AB91*AC91*AD91*(AE91/1000)*6.313*1,IF(AE91&gt;32,"",IF(AE91&lt;32,"")))</f>
        <v/>
      </c>
      <c r="AN91" s="128"/>
      <c r="AO91" s="117" t="s">
        <v>160</v>
      </c>
      <c r="AP91" s="118" t="n">
        <f aca="false">SUM(R91:Y91)+SUM(AN91)</f>
        <v>43.54956</v>
      </c>
      <c r="AQ91" s="118" t="n">
        <f aca="false">SUM(AF91:AM91)</f>
        <v>0</v>
      </c>
      <c r="AR91" s="118"/>
      <c r="AS91" s="119" t="s">
        <v>482</v>
      </c>
      <c r="AT91" s="119" t="s">
        <v>162</v>
      </c>
    </row>
    <row r="92" customFormat="false" ht="13.5" hidden="false" customHeight="false" outlineLevel="0" collapsed="false">
      <c r="A92" s="129"/>
      <c r="B92" s="172"/>
      <c r="C92" s="110"/>
      <c r="D92" s="122"/>
      <c r="E92" s="122"/>
      <c r="F92" s="173"/>
      <c r="G92" s="123"/>
      <c r="H92" s="101"/>
      <c r="I92" s="123"/>
      <c r="J92" s="101"/>
      <c r="K92" s="124" t="s">
        <v>486</v>
      </c>
      <c r="L92" s="125" t="n">
        <f aca="false">$F$89</f>
        <v>6.73909090909091</v>
      </c>
      <c r="M92" s="125" t="n">
        <v>0.125</v>
      </c>
      <c r="N92" s="126" t="n">
        <f aca="false">$C$89</f>
        <v>1</v>
      </c>
      <c r="O92" s="126" t="n">
        <f aca="false">CEILING(L92/M92,1)+1</f>
        <v>55</v>
      </c>
      <c r="P92" s="126" t="n">
        <v>8</v>
      </c>
      <c r="Q92" s="127" t="n">
        <f aca="false">2*($D$89-2*0.035)+2*($E$89-2*0.035)+20*8/1000</f>
        <v>1.38</v>
      </c>
      <c r="R92" s="105" t="str">
        <f aca="false">IF(P92=6,N92*O92*Q92*0.222*1,IF(P92&gt;6,"",IF(P92&lt;6,"")))</f>
        <v/>
      </c>
      <c r="S92" s="106" t="n">
        <f aca="false">IF(P92=8,N92*O92*Q92*0.395*1,IF(P92&gt;8,"",IF(P92&lt;8,"")))</f>
        <v>29.9805</v>
      </c>
      <c r="T92" s="106" t="str">
        <f aca="false">IF(P92=10,N92*O92*Q92*0.617*1,IF(P92&gt;10,"",IF(P92&lt;10,"")))</f>
        <v/>
      </c>
      <c r="U92" s="106" t="str">
        <f aca="false">IF(P92=12,N92*O92*Q92*0.888*1,IF(P92&gt;12,"",IF(P92&lt;12,"")))</f>
        <v/>
      </c>
      <c r="V92" s="107" t="str">
        <f aca="false">IF(P92=16,N92*O92*Q92*1.578*1,IF(P92&gt;16,"",IF(P92&lt;16,"")))</f>
        <v/>
      </c>
      <c r="W92" s="106" t="str">
        <f aca="false">IF(P92=20,N92*O92*Q92*2.466*1,IF(P92&gt;20,"",IF(P92&lt;20,"")))</f>
        <v/>
      </c>
      <c r="X92" s="106" t="str">
        <f aca="false">IF(P92=25,N92*O92*Q92*3.853*1,IF(P92&gt;25,"",IF(P92&lt;25,"")))</f>
        <v/>
      </c>
      <c r="Y92" s="108" t="str">
        <f aca="false">IF(P92=32,N92*O92*Q92*6.313*1,IF(P92&gt;32,"",IF(P92&lt;32,"")))</f>
        <v/>
      </c>
      <c r="Z92" s="109"/>
      <c r="AA92" s="110" t="str">
        <f aca="false">IF(AC92&gt;0,N92,"")</f>
        <v/>
      </c>
      <c r="AB92" s="111" t="str">
        <f aca="false">IF(AC92&gt;0,O92,"")</f>
        <v/>
      </c>
      <c r="AC92" s="112"/>
      <c r="AD92" s="112"/>
      <c r="AE92" s="113" t="str">
        <f aca="false">IF(AC92&gt;0,P92,"")</f>
        <v/>
      </c>
      <c r="AF92" s="114" t="str">
        <f aca="false">IF(AE92=6,AA92*AB92*AC92*AD92*(AE92/1000)*0.222*1,IF(AE92&gt;6,"",IF(AE92&lt;6,"")))</f>
        <v/>
      </c>
      <c r="AG92" s="107" t="str">
        <f aca="false">IF(AE92=8,AA92*AB92*AC92*AD92*(AE92/1000)*0.395*1,IF(AE92&gt;8,"",IF(AE92&lt;8,"")))</f>
        <v/>
      </c>
      <c r="AH92" s="107" t="str">
        <f aca="false">IF(AE92=10,AA92*AB92*AC92*AD92*(AE92/1000)*0.617*1,IF(AE92&gt;10,"",IF(AE92&lt;10,"")))</f>
        <v/>
      </c>
      <c r="AI92" s="107" t="str">
        <f aca="false">IF(AE92=12,AA92*AB92*AC92*AD92*(AE92/1000)*0.888*1,IF(AE92&gt;12,"",IF(AE92&lt;12,"")))</f>
        <v/>
      </c>
      <c r="AJ92" s="107" t="str">
        <f aca="false">IF(AE92=16,AA92*AB92*AC92*AD92*(AE92/1000)*1.578*1,IF(AE92&gt;16,"",IF(AE92&lt;16,"")))</f>
        <v/>
      </c>
      <c r="AK92" s="107" t="str">
        <f aca="false">IF(AE92=20,AA92*AB92*AC92*AD92*(AE92/1000)*2.466*1,IF(AE92&gt;20,"",IF(AE92&lt;20,"")))</f>
        <v/>
      </c>
      <c r="AL92" s="107" t="str">
        <f aca="false">IF(AE92=25,AA92*AB92*AC92*AD92*(AE92/1000)*3.853*1,IF(AE92&gt;25,"",IF(AE92&lt;25,"")))</f>
        <v/>
      </c>
      <c r="AM92" s="115" t="str">
        <f aca="false">IF(AE92=32,AA92*AB92*AC92*AD92*(AE92/1000)*6.313*1,IF(AE92&gt;32,"",IF(AE92&lt;32,"")))</f>
        <v/>
      </c>
      <c r="AN92" s="128"/>
      <c r="AO92" s="117" t="s">
        <v>160</v>
      </c>
      <c r="AP92" s="118" t="n">
        <f aca="false">SUM(R92:Y92)+SUM(AN92)</f>
        <v>29.9805</v>
      </c>
      <c r="AQ92" s="118" t="n">
        <f aca="false">SUM(AF92:AM92)</f>
        <v>0</v>
      </c>
      <c r="AR92" s="118"/>
      <c r="AS92" s="119"/>
      <c r="AT92" s="119" t="s">
        <v>162</v>
      </c>
    </row>
    <row r="93" customFormat="false" ht="13.5" hidden="false" customHeight="false" outlineLevel="0" collapsed="false">
      <c r="A93" s="129"/>
      <c r="B93" s="172"/>
      <c r="C93" s="110"/>
      <c r="D93" s="122"/>
      <c r="E93" s="122"/>
      <c r="F93" s="173"/>
      <c r="G93" s="123"/>
      <c r="H93" s="101"/>
      <c r="I93" s="123"/>
      <c r="J93" s="101"/>
      <c r="K93" s="124" t="s">
        <v>501</v>
      </c>
      <c r="L93" s="125" t="n">
        <f aca="false">$F$89</f>
        <v>6.73909090909091</v>
      </c>
      <c r="M93" s="125" t="n">
        <v>0.25</v>
      </c>
      <c r="N93" s="126" t="n">
        <f aca="false">$C$89</f>
        <v>1</v>
      </c>
      <c r="O93" s="126" t="n">
        <f aca="false">CEILING(L93/M93,1)+1</f>
        <v>28</v>
      </c>
      <c r="P93" s="126" t="n">
        <v>8</v>
      </c>
      <c r="Q93" s="127" t="n">
        <v>1.019</v>
      </c>
      <c r="R93" s="105" t="str">
        <f aca="false">IF(P93=6,N93*O93*Q93*0.222*1,IF(P93&gt;6,"",IF(P93&lt;6,"")))</f>
        <v/>
      </c>
      <c r="S93" s="106" t="n">
        <f aca="false">IF(P93=8,N93*O93*Q93*0.395*1,IF(P93&gt;8,"",IF(P93&lt;8,"")))</f>
        <v>11.27014</v>
      </c>
      <c r="T93" s="106" t="str">
        <f aca="false">IF(P93=10,N93*O93*Q93*0.617*1,IF(P93&gt;10,"",IF(P93&lt;10,"")))</f>
        <v/>
      </c>
      <c r="U93" s="106" t="str">
        <f aca="false">IF(P93=12,N93*O93*Q93*0.888*1,IF(P93&gt;12,"",IF(P93&lt;12,"")))</f>
        <v/>
      </c>
      <c r="V93" s="107" t="str">
        <f aca="false">IF(P93=16,N93*O93*Q93*1.578*1,IF(P93&gt;16,"",IF(P93&lt;16,"")))</f>
        <v/>
      </c>
      <c r="W93" s="106" t="str">
        <f aca="false">IF(P93=20,N93*O93*Q93*2.466*1,IF(P93&gt;20,"",IF(P93&lt;20,"")))</f>
        <v/>
      </c>
      <c r="X93" s="106" t="str">
        <f aca="false">IF(P93=25,N93*O93*Q93*3.853*1,IF(P93&gt;25,"",IF(P93&lt;25,"")))</f>
        <v/>
      </c>
      <c r="Y93" s="108" t="str">
        <f aca="false">IF(P93=32,N93*O93*Q93*6.313*1,IF(P93&gt;32,"",IF(P93&lt;32,"")))</f>
        <v/>
      </c>
      <c r="Z93" s="109"/>
      <c r="AA93" s="110" t="str">
        <f aca="false">IF(AC93&gt;0,N93,"")</f>
        <v/>
      </c>
      <c r="AB93" s="111" t="str">
        <f aca="false">IF(AC93&gt;0,O93,"")</f>
        <v/>
      </c>
      <c r="AC93" s="112"/>
      <c r="AD93" s="112"/>
      <c r="AE93" s="113" t="str">
        <f aca="false">IF(AC93&gt;0,P93,"")</f>
        <v/>
      </c>
      <c r="AF93" s="114" t="str">
        <f aca="false">IF(AE93=6,AA93*AB93*AC93*AD93*(AE93/1000)*0.222*1,IF(AE93&gt;6,"",IF(AE93&lt;6,"")))</f>
        <v/>
      </c>
      <c r="AG93" s="107" t="str">
        <f aca="false">IF(AE93=8,AA93*AB93*AC93*AD93*(AE93/1000)*0.395*1,IF(AE93&gt;8,"",IF(AE93&lt;8,"")))</f>
        <v/>
      </c>
      <c r="AH93" s="107" t="str">
        <f aca="false">IF(AE93=10,AA93*AB93*AC93*AD93*(AE93/1000)*0.617*1,IF(AE93&gt;10,"",IF(AE93&lt;10,"")))</f>
        <v/>
      </c>
      <c r="AI93" s="107" t="str">
        <f aca="false">IF(AE93=12,AA93*AB93*AC93*AD93*(AE93/1000)*0.888*1,IF(AE93&gt;12,"",IF(AE93&lt;12,"")))</f>
        <v/>
      </c>
      <c r="AJ93" s="107" t="str">
        <f aca="false">IF(AE93=16,AA93*AB93*AC93*AD93*(AE93/1000)*1.578*1,IF(AE93&gt;16,"",IF(AE93&lt;16,"")))</f>
        <v/>
      </c>
      <c r="AK93" s="107" t="str">
        <f aca="false">IF(AE93=20,AA93*AB93*AC93*AD93*(AE93/1000)*2.466*1,IF(AE93&gt;20,"",IF(AE93&lt;20,"")))</f>
        <v/>
      </c>
      <c r="AL93" s="107" t="str">
        <f aca="false">IF(AE93=25,AA93*AB93*AC93*AD93*(AE93/1000)*3.853*1,IF(AE93&gt;25,"",IF(AE93&lt;25,"")))</f>
        <v/>
      </c>
      <c r="AM93" s="115" t="str">
        <f aca="false">IF(AE93=32,AA93*AB93*AC93*AD93*(AE93/1000)*6.313*1,IF(AE93&gt;32,"",IF(AE93&lt;32,"")))</f>
        <v/>
      </c>
      <c r="AN93" s="128"/>
      <c r="AO93" s="117" t="s">
        <v>160</v>
      </c>
      <c r="AP93" s="118" t="n">
        <f aca="false">SUM(R93:Y93)+SUM(AN93)</f>
        <v>11.27014</v>
      </c>
      <c r="AQ93" s="118" t="n">
        <f aca="false">SUM(AF93:AM93)</f>
        <v>0</v>
      </c>
      <c r="AR93" s="118"/>
      <c r="AS93" s="119" t="s">
        <v>502</v>
      </c>
      <c r="AT93" s="119" t="s">
        <v>477</v>
      </c>
    </row>
    <row r="94" customFormat="false" ht="13.5" hidden="false" customHeight="false" outlineLevel="0" collapsed="false">
      <c r="A94" s="129"/>
      <c r="B94" s="130"/>
      <c r="C94" s="110"/>
      <c r="D94" s="122"/>
      <c r="E94" s="122"/>
      <c r="F94" s="122"/>
      <c r="G94" s="123"/>
      <c r="H94" s="101"/>
      <c r="I94" s="123"/>
      <c r="J94" s="101"/>
      <c r="K94" s="124"/>
      <c r="L94" s="125"/>
      <c r="M94" s="125"/>
      <c r="N94" s="126"/>
      <c r="O94" s="126"/>
      <c r="P94" s="126"/>
      <c r="Q94" s="127"/>
      <c r="R94" s="105"/>
      <c r="S94" s="106"/>
      <c r="T94" s="106"/>
      <c r="U94" s="106"/>
      <c r="V94" s="107"/>
      <c r="W94" s="106"/>
      <c r="X94" s="106"/>
      <c r="Y94" s="108"/>
      <c r="Z94" s="109"/>
      <c r="AA94" s="110"/>
      <c r="AB94" s="111"/>
      <c r="AC94" s="112"/>
      <c r="AD94" s="112"/>
      <c r="AE94" s="113"/>
      <c r="AF94" s="114"/>
      <c r="AG94" s="107"/>
      <c r="AH94" s="107"/>
      <c r="AI94" s="107"/>
      <c r="AJ94" s="107"/>
      <c r="AK94" s="107"/>
      <c r="AL94" s="107"/>
      <c r="AM94" s="115"/>
      <c r="AO94" s="117"/>
      <c r="AP94" s="118"/>
      <c r="AQ94" s="118"/>
      <c r="AR94" s="118"/>
      <c r="AS94" s="119"/>
      <c r="AT94" s="119"/>
    </row>
    <row r="95" customFormat="false" ht="13.5" hidden="false" customHeight="false" outlineLevel="0" collapsed="false">
      <c r="A95" s="120"/>
      <c r="B95" s="121" t="s">
        <v>521</v>
      </c>
      <c r="C95" s="110" t="n">
        <v>1</v>
      </c>
      <c r="D95" s="122" t="n">
        <v>0.25</v>
      </c>
      <c r="E95" s="122" t="n">
        <v>0.4</v>
      </c>
      <c r="F95" s="122" t="n">
        <f aca="false">0.9155/(0.25*0.4)</f>
        <v>9.155</v>
      </c>
      <c r="G95" s="123" t="n">
        <f aca="false">C95*D95*E95*F95</f>
        <v>0.9155</v>
      </c>
      <c r="H95" s="101"/>
      <c r="I95" s="123" t="n">
        <f aca="false">C95*F95*(D95+(E95-0.2)+(E95))</f>
        <v>7.78175</v>
      </c>
      <c r="J95" s="101"/>
      <c r="K95" s="124"/>
      <c r="L95" s="125"/>
      <c r="M95" s="125"/>
      <c r="N95" s="126"/>
      <c r="O95" s="126"/>
      <c r="P95" s="126"/>
      <c r="Q95" s="127"/>
      <c r="R95" s="105" t="str">
        <f aca="false">IF(P95=6,N95*O95*Q95*0.222*1,IF(P95&gt;6,"",IF(P95&lt;6,"")))</f>
        <v/>
      </c>
      <c r="S95" s="106" t="str">
        <f aca="false">IF(P95=8,N95*O95*Q95*0.395*1,IF(P95&gt;8,"",IF(P95&lt;8,"")))</f>
        <v/>
      </c>
      <c r="T95" s="106" t="str">
        <f aca="false">IF(P95=10,N95*O95*Q95*0.617*1,IF(P95&gt;10,"",IF(P95&lt;10,"")))</f>
        <v/>
      </c>
      <c r="U95" s="106" t="str">
        <f aca="false">IF(P95=12,N95*O95*Q95*0.888*1,IF(P95&gt;12,"",IF(P95&lt;12,"")))</f>
        <v/>
      </c>
      <c r="V95" s="107" t="str">
        <f aca="false">IF(P95=16,N95*O95*Q95*1.578*1,IF(P95&gt;16,"",IF(P95&lt;16,"")))</f>
        <v/>
      </c>
      <c r="W95" s="106" t="str">
        <f aca="false">IF(P95=20,N95*O95*Q95*2.466*1,IF(P95&gt;20,"",IF(P95&lt;20,"")))</f>
        <v/>
      </c>
      <c r="X95" s="106" t="str">
        <f aca="false">IF(P95=25,N95*O95*Q95*3.853*1,IF(P95&gt;25,"",IF(P95&lt;25,"")))</f>
        <v/>
      </c>
      <c r="Y95" s="108" t="str">
        <f aca="false">IF(P95=32,N95*O95*Q95*6.313*1,IF(P95&gt;32,"",IF(P95&lt;32,"")))</f>
        <v/>
      </c>
      <c r="Z95" s="109"/>
      <c r="AA95" s="110" t="str">
        <f aca="false">IF(AC95&gt;0,N95,"")</f>
        <v/>
      </c>
      <c r="AB95" s="111" t="str">
        <f aca="false">IF(AC95&gt;0,O95,"")</f>
        <v/>
      </c>
      <c r="AC95" s="112"/>
      <c r="AD95" s="112"/>
      <c r="AE95" s="113" t="str">
        <f aca="false">IF(AC95&gt;0,P95,"")</f>
        <v/>
      </c>
      <c r="AF95" s="114" t="str">
        <f aca="false">IF(AE95=6,AA95*AB95*AC95*AD95*(AE95/1000)*0.222*1,IF(AE95&gt;6,"",IF(AE95&lt;6,"")))</f>
        <v/>
      </c>
      <c r="AG95" s="107" t="str">
        <f aca="false">IF(AE95=8,AA95*AB95*AC95*AD95*(AE95/1000)*0.395*1,IF(AE95&gt;8,"",IF(AE95&lt;8,"")))</f>
        <v/>
      </c>
      <c r="AH95" s="107" t="str">
        <f aca="false">IF(AE95=10,AA95*AB95*AC95*AD95*(AE95/1000)*0.617*1,IF(AE95&gt;10,"",IF(AE95&lt;10,"")))</f>
        <v/>
      </c>
      <c r="AI95" s="107" t="str">
        <f aca="false">IF(AE95=12,AA95*AB95*AC95*AD95*(AE95/1000)*0.888*1,IF(AE95&gt;12,"",IF(AE95&lt;12,"")))</f>
        <v/>
      </c>
      <c r="AJ95" s="107" t="str">
        <f aca="false">IF(AE95=16,AA95*AB95*AC95*AD95*(AE95/1000)*1.578*1,IF(AE95&gt;16,"",IF(AE95&lt;16,"")))</f>
        <v/>
      </c>
      <c r="AK95" s="107" t="str">
        <f aca="false">IF(AE95=20,AA95*AB95*AC95*AD95*(AE95/1000)*2.466*1,IF(AE95&gt;20,"",IF(AE95&lt;20,"")))</f>
        <v/>
      </c>
      <c r="AL95" s="107" t="str">
        <f aca="false">IF(AE95=25,AA95*AB95*AC95*AD95*(AE95/1000)*3.853*1,IF(AE95&gt;25,"",IF(AE95&lt;25,"")))</f>
        <v/>
      </c>
      <c r="AM95" s="115" t="str">
        <f aca="false">IF(AE95=32,AA95*AB95*AC95*AD95*(AE95/1000)*6.313*1,IF(AE95&gt;32,"",IF(AE95&lt;32,"")))</f>
        <v/>
      </c>
      <c r="AN95" s="128"/>
      <c r="AO95" s="117" t="s">
        <v>160</v>
      </c>
      <c r="AP95" s="118" t="n">
        <f aca="false">SUM(R95:Y95)+SUM(AN95)</f>
        <v>0</v>
      </c>
      <c r="AQ95" s="118" t="n">
        <f aca="false">SUM(AF95:AM95)</f>
        <v>0</v>
      </c>
      <c r="AR95" s="118" t="n">
        <v>0.9155</v>
      </c>
      <c r="AS95" s="119" t="s">
        <v>522</v>
      </c>
      <c r="AT95" s="119" t="s">
        <v>209</v>
      </c>
    </row>
    <row r="96" customFormat="false" ht="13.5" hidden="false" customHeight="false" outlineLevel="0" collapsed="false">
      <c r="A96" s="129"/>
      <c r="B96" s="172"/>
      <c r="C96" s="110"/>
      <c r="D96" s="122"/>
      <c r="E96" s="122"/>
      <c r="F96" s="173"/>
      <c r="G96" s="123"/>
      <c r="H96" s="101"/>
      <c r="I96" s="123"/>
      <c r="J96" s="101"/>
      <c r="K96" s="124" t="s">
        <v>305</v>
      </c>
      <c r="L96" s="125"/>
      <c r="M96" s="125"/>
      <c r="N96" s="126" t="n">
        <f aca="false">$C$95</f>
        <v>1</v>
      </c>
      <c r="O96" s="126" t="n">
        <v>3</v>
      </c>
      <c r="P96" s="126" t="n">
        <v>16</v>
      </c>
      <c r="Q96" s="127" t="n">
        <f aca="false">9.905+2*50*16/1000</f>
        <v>11.505</v>
      </c>
      <c r="R96" s="105" t="str">
        <f aca="false">IF(P96=6,N96*O96*Q96*0.222*1,IF(P96&gt;6,"",IF(P96&lt;6,"")))</f>
        <v/>
      </c>
      <c r="S96" s="106" t="str">
        <f aca="false">IF(P96=8,N96*O96*Q96*0.395*1,IF(P96&gt;8,"",IF(P96&lt;8,"")))</f>
        <v/>
      </c>
      <c r="T96" s="106" t="str">
        <f aca="false">IF(P96=10,N96*O96*Q96*0.617*1,IF(P96&gt;10,"",IF(P96&lt;10,"")))</f>
        <v/>
      </c>
      <c r="U96" s="106" t="str">
        <f aca="false">IF(P96=12,N96*O96*Q96*0.888*1,IF(P96&gt;12,"",IF(P96&lt;12,"")))</f>
        <v/>
      </c>
      <c r="V96" s="107" t="n">
        <f aca="false">IF(P96=16,N96*O96*Q96*1.578*1,IF(P96&gt;16,"",IF(P96&lt;16,"")))</f>
        <v>54.46467</v>
      </c>
      <c r="W96" s="106" t="str">
        <f aca="false">IF(P96=20,N96*O96*Q96*2.466*1,IF(P96&gt;20,"",IF(P96&lt;20,"")))</f>
        <v/>
      </c>
      <c r="X96" s="106" t="str">
        <f aca="false">IF(P96=25,N96*O96*Q96*3.853*1,IF(P96&gt;25,"",IF(P96&lt;25,"")))</f>
        <v/>
      </c>
      <c r="Y96" s="108" t="str">
        <f aca="false">IF(P96=32,N96*O96*Q96*6.313*1,IF(P96&gt;32,"",IF(P96&lt;32,"")))</f>
        <v/>
      </c>
      <c r="Z96" s="109"/>
      <c r="AA96" s="110" t="str">
        <f aca="false">IF(AC96&gt;0,N96,"")</f>
        <v/>
      </c>
      <c r="AB96" s="111" t="str">
        <f aca="false">IF(AC96&gt;0,O96,"")</f>
        <v/>
      </c>
      <c r="AC96" s="112"/>
      <c r="AD96" s="112"/>
      <c r="AE96" s="113" t="str">
        <f aca="false">IF(AC96&gt;0,P96,"")</f>
        <v/>
      </c>
      <c r="AF96" s="114" t="str">
        <f aca="false">IF(AE96=6,AA96*AB96*AC96*AD96*(AE96/1000)*0.222*1,IF(AE96&gt;6,"",IF(AE96&lt;6,"")))</f>
        <v/>
      </c>
      <c r="AG96" s="107" t="str">
        <f aca="false">IF(AE96=8,AA96*AB96*AC96*AD96*(AE96/1000)*0.395*1,IF(AE96&gt;8,"",IF(AE96&lt;8,"")))</f>
        <v/>
      </c>
      <c r="AH96" s="107" t="str">
        <f aca="false">IF(AE96=10,AA96*AB96*AC96*AD96*(AE96/1000)*0.617*1,IF(AE96&gt;10,"",IF(AE96&lt;10,"")))</f>
        <v/>
      </c>
      <c r="AI96" s="107" t="str">
        <f aca="false">IF(AE96=12,AA96*AB96*AC96*AD96*(AE96/1000)*0.888*1,IF(AE96&gt;12,"",IF(AE96&lt;12,"")))</f>
        <v/>
      </c>
      <c r="AJ96" s="107" t="str">
        <f aca="false">IF(AE96=16,AA96*AB96*AC96*AD96*(AE96/1000)*1.578*1,IF(AE96&gt;16,"",IF(AE96&lt;16,"")))</f>
        <v/>
      </c>
      <c r="AK96" s="107" t="str">
        <f aca="false">IF(AE96=20,AA96*AB96*AC96*AD96*(AE96/1000)*2.466*1,IF(AE96&gt;20,"",IF(AE96&lt;20,"")))</f>
        <v/>
      </c>
      <c r="AL96" s="107" t="str">
        <f aca="false">IF(AE96=25,AA96*AB96*AC96*AD96*(AE96/1000)*3.853*1,IF(AE96&gt;25,"",IF(AE96&lt;25,"")))</f>
        <v/>
      </c>
      <c r="AM96" s="115" t="str">
        <f aca="false">IF(AE96=32,AA96*AB96*AC96*AD96*(AE96/1000)*6.313*1,IF(AE96&gt;32,"",IF(AE96&lt;32,"")))</f>
        <v/>
      </c>
      <c r="AN96" s="128"/>
      <c r="AO96" s="117" t="s">
        <v>160</v>
      </c>
      <c r="AP96" s="118" t="n">
        <f aca="false">SUM(R96:Y96)+SUM(AN96)</f>
        <v>54.46467</v>
      </c>
      <c r="AQ96" s="118" t="n">
        <f aca="false">SUM(AF96:AM96)</f>
        <v>0</v>
      </c>
      <c r="AR96" s="118"/>
      <c r="AS96" s="119" t="s">
        <v>482</v>
      </c>
      <c r="AT96" s="119" t="s">
        <v>162</v>
      </c>
    </row>
    <row r="97" customFormat="false" ht="13.5" hidden="false" customHeight="false" outlineLevel="0" collapsed="false">
      <c r="A97" s="129"/>
      <c r="B97" s="172"/>
      <c r="C97" s="110"/>
      <c r="D97" s="122"/>
      <c r="E97" s="122"/>
      <c r="F97" s="173"/>
      <c r="G97" s="123"/>
      <c r="H97" s="101"/>
      <c r="I97" s="123"/>
      <c r="J97" s="101"/>
      <c r="K97" s="124" t="s">
        <v>306</v>
      </c>
      <c r="L97" s="125"/>
      <c r="M97" s="125"/>
      <c r="N97" s="126" t="n">
        <f aca="false">$C$95</f>
        <v>1</v>
      </c>
      <c r="O97" s="126" t="n">
        <v>3</v>
      </c>
      <c r="P97" s="126" t="n">
        <v>16</v>
      </c>
      <c r="Q97" s="127" t="n">
        <f aca="false">9.905+2*50*16/1000</f>
        <v>11.505</v>
      </c>
      <c r="R97" s="105" t="str">
        <f aca="false">IF(P97=6,N97*O97*Q97*0.222*1,IF(P97&gt;6,"",IF(P97&lt;6,"")))</f>
        <v/>
      </c>
      <c r="S97" s="106" t="str">
        <f aca="false">IF(P97=8,N97*O97*Q97*0.395*1,IF(P97&gt;8,"",IF(P97&lt;8,"")))</f>
        <v/>
      </c>
      <c r="T97" s="106" t="str">
        <f aca="false">IF(P97=10,N97*O97*Q97*0.617*1,IF(P97&gt;10,"",IF(P97&lt;10,"")))</f>
        <v/>
      </c>
      <c r="U97" s="106" t="str">
        <f aca="false">IF(P97=12,N97*O97*Q97*0.888*1,IF(P97&gt;12,"",IF(P97&lt;12,"")))</f>
        <v/>
      </c>
      <c r="V97" s="107" t="n">
        <f aca="false">IF(P97=16,N97*O97*Q97*1.578*1,IF(P97&gt;16,"",IF(P97&lt;16,"")))</f>
        <v>54.46467</v>
      </c>
      <c r="W97" s="106" t="str">
        <f aca="false">IF(P97=20,N97*O97*Q97*2.466*1,IF(P97&gt;20,"",IF(P97&lt;20,"")))</f>
        <v/>
      </c>
      <c r="X97" s="106" t="str">
        <f aca="false">IF(P97=25,N97*O97*Q97*3.853*1,IF(P97&gt;25,"",IF(P97&lt;25,"")))</f>
        <v/>
      </c>
      <c r="Y97" s="108" t="str">
        <f aca="false">IF(P97=32,N97*O97*Q97*6.313*1,IF(P97&gt;32,"",IF(P97&lt;32,"")))</f>
        <v/>
      </c>
      <c r="Z97" s="109"/>
      <c r="AA97" s="110" t="str">
        <f aca="false">IF(AC97&gt;0,N97,"")</f>
        <v/>
      </c>
      <c r="AB97" s="111" t="str">
        <f aca="false">IF(AC97&gt;0,O97,"")</f>
        <v/>
      </c>
      <c r="AC97" s="112"/>
      <c r="AD97" s="112"/>
      <c r="AE97" s="113" t="str">
        <f aca="false">IF(AC97&gt;0,P97,"")</f>
        <v/>
      </c>
      <c r="AF97" s="114" t="str">
        <f aca="false">IF(AE97=6,AA97*AB97*AC97*AD97*(AE97/1000)*0.222*1,IF(AE97&gt;6,"",IF(AE97&lt;6,"")))</f>
        <v/>
      </c>
      <c r="AG97" s="107" t="str">
        <f aca="false">IF(AE97=8,AA97*AB97*AC97*AD97*(AE97/1000)*0.395*1,IF(AE97&gt;8,"",IF(AE97&lt;8,"")))</f>
        <v/>
      </c>
      <c r="AH97" s="107" t="str">
        <f aca="false">IF(AE97=10,AA97*AB97*AC97*AD97*(AE97/1000)*0.617*1,IF(AE97&gt;10,"",IF(AE97&lt;10,"")))</f>
        <v/>
      </c>
      <c r="AI97" s="107" t="str">
        <f aca="false">IF(AE97=12,AA97*AB97*AC97*AD97*(AE97/1000)*0.888*1,IF(AE97&gt;12,"",IF(AE97&lt;12,"")))</f>
        <v/>
      </c>
      <c r="AJ97" s="107" t="str">
        <f aca="false">IF(AE97=16,AA97*AB97*AC97*AD97*(AE97/1000)*1.578*1,IF(AE97&gt;16,"",IF(AE97&lt;16,"")))</f>
        <v/>
      </c>
      <c r="AK97" s="107" t="str">
        <f aca="false">IF(AE97=20,AA97*AB97*AC97*AD97*(AE97/1000)*2.466*1,IF(AE97&gt;20,"",IF(AE97&lt;20,"")))</f>
        <v/>
      </c>
      <c r="AL97" s="107" t="str">
        <f aca="false">IF(AE97=25,AA97*AB97*AC97*AD97*(AE97/1000)*3.853*1,IF(AE97&gt;25,"",IF(AE97&lt;25,"")))</f>
        <v/>
      </c>
      <c r="AM97" s="115" t="str">
        <f aca="false">IF(AE97=32,AA97*AB97*AC97*AD97*(AE97/1000)*6.313*1,IF(AE97&gt;32,"",IF(AE97&lt;32,"")))</f>
        <v/>
      </c>
      <c r="AN97" s="128"/>
      <c r="AO97" s="117" t="s">
        <v>160</v>
      </c>
      <c r="AP97" s="118" t="n">
        <f aca="false">SUM(R97:Y97)+SUM(AN97)</f>
        <v>54.46467</v>
      </c>
      <c r="AQ97" s="118" t="n">
        <f aca="false">SUM(AF97:AM97)</f>
        <v>0</v>
      </c>
      <c r="AR97" s="118"/>
      <c r="AS97" s="119" t="s">
        <v>482</v>
      </c>
      <c r="AT97" s="119" t="s">
        <v>162</v>
      </c>
    </row>
    <row r="98" customFormat="false" ht="13.5" hidden="false" customHeight="false" outlineLevel="0" collapsed="false">
      <c r="A98" s="129"/>
      <c r="B98" s="172"/>
      <c r="C98" s="110"/>
      <c r="D98" s="122"/>
      <c r="E98" s="122"/>
      <c r="F98" s="173"/>
      <c r="G98" s="123"/>
      <c r="H98" s="101"/>
      <c r="I98" s="123"/>
      <c r="J98" s="101"/>
      <c r="K98" s="124" t="s">
        <v>486</v>
      </c>
      <c r="L98" s="125" t="n">
        <f aca="false">$F$95</f>
        <v>9.155</v>
      </c>
      <c r="M98" s="125" t="n">
        <v>0.125</v>
      </c>
      <c r="N98" s="126" t="n">
        <f aca="false">$C$95</f>
        <v>1</v>
      </c>
      <c r="O98" s="126" t="n">
        <f aca="false">CEILING(L98/M98,1)+1</f>
        <v>75</v>
      </c>
      <c r="P98" s="126" t="n">
        <v>8</v>
      </c>
      <c r="Q98" s="127" t="n">
        <f aca="false">2*($D$95-2*0.035)+2*($E$95-2*0.035)+20*8/1000</f>
        <v>1.18</v>
      </c>
      <c r="R98" s="105" t="str">
        <f aca="false">IF(P98=6,N98*O98*Q98*0.222*1,IF(P98&gt;6,"",IF(P98&lt;6,"")))</f>
        <v/>
      </c>
      <c r="S98" s="106" t="n">
        <f aca="false">IF(P98=8,N98*O98*Q98*0.395*1,IF(P98&gt;8,"",IF(P98&lt;8,"")))</f>
        <v>34.9575</v>
      </c>
      <c r="T98" s="106" t="str">
        <f aca="false">IF(P98=10,N98*O98*Q98*0.617*1,IF(P98&gt;10,"",IF(P98&lt;10,"")))</f>
        <v/>
      </c>
      <c r="U98" s="106" t="str">
        <f aca="false">IF(P98=12,N98*O98*Q98*0.888*1,IF(P98&gt;12,"",IF(P98&lt;12,"")))</f>
        <v/>
      </c>
      <c r="V98" s="107" t="str">
        <f aca="false">IF(P98=16,N98*O98*Q98*1.578*1,IF(P98&gt;16,"",IF(P98&lt;16,"")))</f>
        <v/>
      </c>
      <c r="W98" s="106" t="str">
        <f aca="false">IF(P98=20,N98*O98*Q98*2.466*1,IF(P98&gt;20,"",IF(P98&lt;20,"")))</f>
        <v/>
      </c>
      <c r="X98" s="106" t="str">
        <f aca="false">IF(P98=25,N98*O98*Q98*3.853*1,IF(P98&gt;25,"",IF(P98&lt;25,"")))</f>
        <v/>
      </c>
      <c r="Y98" s="108" t="str">
        <f aca="false">IF(P98=32,N98*O98*Q98*6.313*1,IF(P98&gt;32,"",IF(P98&lt;32,"")))</f>
        <v/>
      </c>
      <c r="Z98" s="109"/>
      <c r="AA98" s="110" t="str">
        <f aca="false">IF(AC98&gt;0,N98,"")</f>
        <v/>
      </c>
      <c r="AB98" s="111" t="str">
        <f aca="false">IF(AC98&gt;0,O98,"")</f>
        <v/>
      </c>
      <c r="AC98" s="112"/>
      <c r="AD98" s="112"/>
      <c r="AE98" s="113" t="str">
        <f aca="false">IF(AC98&gt;0,P98,"")</f>
        <v/>
      </c>
      <c r="AF98" s="114" t="str">
        <f aca="false">IF(AE98=6,AA98*AB98*AC98*AD98*(AE98/1000)*0.222*1,IF(AE98&gt;6,"",IF(AE98&lt;6,"")))</f>
        <v/>
      </c>
      <c r="AG98" s="107" t="str">
        <f aca="false">IF(AE98=8,AA98*AB98*AC98*AD98*(AE98/1000)*0.395*1,IF(AE98&gt;8,"",IF(AE98&lt;8,"")))</f>
        <v/>
      </c>
      <c r="AH98" s="107" t="str">
        <f aca="false">IF(AE98=10,AA98*AB98*AC98*AD98*(AE98/1000)*0.617*1,IF(AE98&gt;10,"",IF(AE98&lt;10,"")))</f>
        <v/>
      </c>
      <c r="AI98" s="107" t="str">
        <f aca="false">IF(AE98=12,AA98*AB98*AC98*AD98*(AE98/1000)*0.888*1,IF(AE98&gt;12,"",IF(AE98&lt;12,"")))</f>
        <v/>
      </c>
      <c r="AJ98" s="107" t="str">
        <f aca="false">IF(AE98=16,AA98*AB98*AC98*AD98*(AE98/1000)*1.578*1,IF(AE98&gt;16,"",IF(AE98&lt;16,"")))</f>
        <v/>
      </c>
      <c r="AK98" s="107" t="str">
        <f aca="false">IF(AE98=20,AA98*AB98*AC98*AD98*(AE98/1000)*2.466*1,IF(AE98&gt;20,"",IF(AE98&lt;20,"")))</f>
        <v/>
      </c>
      <c r="AL98" s="107" t="str">
        <f aca="false">IF(AE98=25,AA98*AB98*AC98*AD98*(AE98/1000)*3.853*1,IF(AE98&gt;25,"",IF(AE98&lt;25,"")))</f>
        <v/>
      </c>
      <c r="AM98" s="115" t="str">
        <f aca="false">IF(AE98=32,AA98*AB98*AC98*AD98*(AE98/1000)*6.313*1,IF(AE98&gt;32,"",IF(AE98&lt;32,"")))</f>
        <v/>
      </c>
      <c r="AN98" s="128"/>
      <c r="AO98" s="117" t="s">
        <v>160</v>
      </c>
      <c r="AP98" s="118" t="n">
        <f aca="false">SUM(R98:Y98)+SUM(AN98)</f>
        <v>34.9575</v>
      </c>
      <c r="AQ98" s="118" t="n">
        <f aca="false">SUM(AF98:AM98)</f>
        <v>0</v>
      </c>
      <c r="AR98" s="118"/>
      <c r="AS98" s="119"/>
      <c r="AT98" s="119" t="s">
        <v>341</v>
      </c>
    </row>
    <row r="99" s="116" customFormat="true" ht="13.5" hidden="false" customHeight="false" outlineLevel="0" collapsed="false">
      <c r="A99" s="129"/>
      <c r="B99" s="130"/>
      <c r="C99" s="110"/>
      <c r="D99" s="122"/>
      <c r="E99" s="122"/>
      <c r="F99" s="122"/>
      <c r="G99" s="123"/>
      <c r="H99" s="101"/>
      <c r="I99" s="123"/>
      <c r="J99" s="101"/>
      <c r="K99" s="124"/>
      <c r="L99" s="125"/>
      <c r="M99" s="125"/>
      <c r="N99" s="126"/>
      <c r="O99" s="126"/>
      <c r="P99" s="126"/>
      <c r="Q99" s="127"/>
      <c r="R99" s="105"/>
      <c r="S99" s="106"/>
      <c r="T99" s="106"/>
      <c r="U99" s="106"/>
      <c r="V99" s="107"/>
      <c r="W99" s="106"/>
      <c r="X99" s="106"/>
      <c r="Y99" s="108"/>
      <c r="Z99" s="109"/>
      <c r="AA99" s="110"/>
      <c r="AB99" s="111"/>
      <c r="AC99" s="112"/>
      <c r="AD99" s="112"/>
      <c r="AE99" s="113"/>
      <c r="AF99" s="114"/>
      <c r="AG99" s="107"/>
      <c r="AH99" s="107"/>
      <c r="AI99" s="107"/>
      <c r="AJ99" s="107"/>
      <c r="AK99" s="107"/>
      <c r="AL99" s="107"/>
      <c r="AM99" s="115"/>
      <c r="AO99" s="117"/>
      <c r="AP99" s="118"/>
      <c r="AQ99" s="118"/>
      <c r="AR99" s="118"/>
      <c r="AS99" s="119"/>
      <c r="AT99" s="119"/>
    </row>
    <row r="100" customFormat="false" ht="13.5" hidden="false" customHeight="false" outlineLevel="0" collapsed="false">
      <c r="A100" s="120"/>
      <c r="B100" s="121" t="s">
        <v>523</v>
      </c>
      <c r="C100" s="110" t="n">
        <v>1</v>
      </c>
      <c r="D100" s="122" t="n">
        <v>0.25</v>
      </c>
      <c r="E100" s="122" t="n">
        <v>0.25</v>
      </c>
      <c r="F100" s="122" t="n">
        <f aca="false">0.5722/(0.25*0.25)</f>
        <v>9.1552</v>
      </c>
      <c r="G100" s="123" t="n">
        <f aca="false">C100*D100*E100*F100</f>
        <v>0.5722</v>
      </c>
      <c r="H100" s="101"/>
      <c r="I100" s="123" t="n">
        <f aca="false">C100*F100*(D100+(E100)+(E100))</f>
        <v>6.8664</v>
      </c>
      <c r="J100" s="101"/>
      <c r="K100" s="124"/>
      <c r="L100" s="125"/>
      <c r="M100" s="125"/>
      <c r="N100" s="126"/>
      <c r="O100" s="126"/>
      <c r="P100" s="126"/>
      <c r="Q100" s="127"/>
      <c r="R100" s="105" t="str">
        <f aca="false">IF(P100=6,N100*O100*Q100*0.222*1,IF(P100&gt;6,"",IF(P100&lt;6,"")))</f>
        <v/>
      </c>
      <c r="S100" s="106" t="str">
        <f aca="false">IF(P100=8,N100*O100*Q100*0.395*1,IF(P100&gt;8,"",IF(P100&lt;8,"")))</f>
        <v/>
      </c>
      <c r="T100" s="106" t="str">
        <f aca="false">IF(P100=10,N100*O100*Q100*0.617*1,IF(P100&gt;10,"",IF(P100&lt;10,"")))</f>
        <v/>
      </c>
      <c r="U100" s="106" t="str">
        <f aca="false">IF(P100=12,N100*O100*Q100*0.888*1,IF(P100&gt;12,"",IF(P100&lt;12,"")))</f>
        <v/>
      </c>
      <c r="V100" s="107" t="str">
        <f aca="false">IF(P100=16,N100*O100*Q100*1.578*1,IF(P100&gt;16,"",IF(P100&lt;16,"")))</f>
        <v/>
      </c>
      <c r="W100" s="106" t="str">
        <f aca="false">IF(P100=20,N100*O100*Q100*2.466*1,IF(P100&gt;20,"",IF(P100&lt;20,"")))</f>
        <v/>
      </c>
      <c r="X100" s="106" t="str">
        <f aca="false">IF(P100=25,N100*O100*Q100*3.853*1,IF(P100&gt;25,"",IF(P100&lt;25,"")))</f>
        <v/>
      </c>
      <c r="Y100" s="108" t="str">
        <f aca="false">IF(P100=32,N100*O100*Q100*6.313*1,IF(P100&gt;32,"",IF(P100&lt;32,"")))</f>
        <v/>
      </c>
      <c r="Z100" s="109"/>
      <c r="AA100" s="110" t="str">
        <f aca="false">IF(AC100&gt;0,N100,"")</f>
        <v/>
      </c>
      <c r="AB100" s="111" t="str">
        <f aca="false">IF(AC100&gt;0,O100,"")</f>
        <v/>
      </c>
      <c r="AC100" s="112"/>
      <c r="AD100" s="112"/>
      <c r="AE100" s="113" t="str">
        <f aca="false">IF(AC100&gt;0,P100,"")</f>
        <v/>
      </c>
      <c r="AF100" s="114" t="str">
        <f aca="false">IF(AE100=6,AA100*AB100*AC100*AD100*(AE100/1000)*0.222*1,IF(AE100&gt;6,"",IF(AE100&lt;6,"")))</f>
        <v/>
      </c>
      <c r="AG100" s="107" t="str">
        <f aca="false">IF(AE100=8,AA100*AB100*AC100*AD100*(AE100/1000)*0.395*1,IF(AE100&gt;8,"",IF(AE100&lt;8,"")))</f>
        <v/>
      </c>
      <c r="AH100" s="107" t="str">
        <f aca="false">IF(AE100=10,AA100*AB100*AC100*AD100*(AE100/1000)*0.617*1,IF(AE100&gt;10,"",IF(AE100&lt;10,"")))</f>
        <v/>
      </c>
      <c r="AI100" s="107" t="str">
        <f aca="false">IF(AE100=12,AA100*AB100*AC100*AD100*(AE100/1000)*0.888*1,IF(AE100&gt;12,"",IF(AE100&lt;12,"")))</f>
        <v/>
      </c>
      <c r="AJ100" s="107" t="str">
        <f aca="false">IF(AE100=16,AA100*AB100*AC100*AD100*(AE100/1000)*1.578*1,IF(AE100&gt;16,"",IF(AE100&lt;16,"")))</f>
        <v/>
      </c>
      <c r="AK100" s="107" t="str">
        <f aca="false">IF(AE100=20,AA100*AB100*AC100*AD100*(AE100/1000)*2.466*1,IF(AE100&gt;20,"",IF(AE100&lt;20,"")))</f>
        <v/>
      </c>
      <c r="AL100" s="107" t="str">
        <f aca="false">IF(AE100=25,AA100*AB100*AC100*AD100*(AE100/1000)*3.853*1,IF(AE100&gt;25,"",IF(AE100&lt;25,"")))</f>
        <v/>
      </c>
      <c r="AM100" s="115" t="str">
        <f aca="false">IF(AE100=32,AA100*AB100*AC100*AD100*(AE100/1000)*6.313*1,IF(AE100&gt;32,"",IF(AE100&lt;32,"")))</f>
        <v/>
      </c>
      <c r="AN100" s="128"/>
      <c r="AO100" s="117" t="s">
        <v>160</v>
      </c>
      <c r="AP100" s="118" t="n">
        <f aca="false">SUM(R100:Y100)+SUM(AN100)</f>
        <v>0</v>
      </c>
      <c r="AQ100" s="118" t="n">
        <f aca="false">SUM(AF100:AM100)</f>
        <v>0</v>
      </c>
      <c r="AR100" s="118" t="n">
        <v>0.5722</v>
      </c>
      <c r="AS100" s="119" t="s">
        <v>524</v>
      </c>
      <c r="AT100" s="119" t="s">
        <v>209</v>
      </c>
    </row>
    <row r="101" customFormat="false" ht="13.5" hidden="false" customHeight="false" outlineLevel="0" collapsed="false">
      <c r="A101" s="129"/>
      <c r="B101" s="172"/>
      <c r="C101" s="110"/>
      <c r="D101" s="122"/>
      <c r="E101" s="122"/>
      <c r="F101" s="173"/>
      <c r="G101" s="123"/>
      <c r="H101" s="101"/>
      <c r="I101" s="123"/>
      <c r="J101" s="101"/>
      <c r="K101" s="124" t="s">
        <v>525</v>
      </c>
      <c r="L101" s="125"/>
      <c r="M101" s="125"/>
      <c r="N101" s="126" t="n">
        <f aca="false">$C$100</f>
        <v>1</v>
      </c>
      <c r="O101" s="126" t="n">
        <v>3</v>
      </c>
      <c r="P101" s="126" t="n">
        <v>12</v>
      </c>
      <c r="Q101" s="127" t="n">
        <f aca="false">9.905+2*50*12/1000</f>
        <v>11.105</v>
      </c>
      <c r="R101" s="105" t="str">
        <f aca="false">IF(P101=6,N101*O101*Q101*0.222*1,IF(P101&gt;6,"",IF(P101&lt;6,"")))</f>
        <v/>
      </c>
      <c r="S101" s="106" t="str">
        <f aca="false">IF(P101=8,N101*O101*Q101*0.395*1,IF(P101&gt;8,"",IF(P101&lt;8,"")))</f>
        <v/>
      </c>
      <c r="T101" s="106" t="str">
        <f aca="false">IF(P101=10,N101*O101*Q101*0.617*1,IF(P101&gt;10,"",IF(P101&lt;10,"")))</f>
        <v/>
      </c>
      <c r="U101" s="106" t="n">
        <f aca="false">IF(P101=12,N101*O101*Q101*0.888*1,IF(P101&gt;12,"",IF(P101&lt;12,"")))</f>
        <v>29.58372</v>
      </c>
      <c r="V101" s="107" t="str">
        <f aca="false">IF(P101=16,N101*O101*Q101*1.578*1,IF(P101&gt;16,"",IF(P101&lt;16,"")))</f>
        <v/>
      </c>
      <c r="W101" s="106" t="str">
        <f aca="false">IF(P101=20,N101*O101*Q101*2.466*1,IF(P101&gt;20,"",IF(P101&lt;20,"")))</f>
        <v/>
      </c>
      <c r="X101" s="106" t="str">
        <f aca="false">IF(P101=25,N101*O101*Q101*3.853*1,IF(P101&gt;25,"",IF(P101&lt;25,"")))</f>
        <v/>
      </c>
      <c r="Y101" s="108" t="str">
        <f aca="false">IF(P101=32,N101*O101*Q101*6.313*1,IF(P101&gt;32,"",IF(P101&lt;32,"")))</f>
        <v/>
      </c>
      <c r="Z101" s="109"/>
      <c r="AA101" s="110" t="str">
        <f aca="false">IF(AC101&gt;0,N101,"")</f>
        <v/>
      </c>
      <c r="AB101" s="111" t="str">
        <f aca="false">IF(AC101&gt;0,O101,"")</f>
        <v/>
      </c>
      <c r="AC101" s="112"/>
      <c r="AD101" s="112"/>
      <c r="AE101" s="113" t="str">
        <f aca="false">IF(AC101&gt;0,P101,"")</f>
        <v/>
      </c>
      <c r="AF101" s="114" t="str">
        <f aca="false">IF(AE101=6,AA101*AB101*AC101*AD101*(AE101/1000)*0.222*1,IF(AE101&gt;6,"",IF(AE101&lt;6,"")))</f>
        <v/>
      </c>
      <c r="AG101" s="107" t="str">
        <f aca="false">IF(AE101=8,AA101*AB101*AC101*AD101*(AE101/1000)*0.395*1,IF(AE101&gt;8,"",IF(AE101&lt;8,"")))</f>
        <v/>
      </c>
      <c r="AH101" s="107" t="str">
        <f aca="false">IF(AE101=10,AA101*AB101*AC101*AD101*(AE101/1000)*0.617*1,IF(AE101&gt;10,"",IF(AE101&lt;10,"")))</f>
        <v/>
      </c>
      <c r="AI101" s="107" t="str">
        <f aca="false">IF(AE101=12,AA101*AB101*AC101*AD101*(AE101/1000)*0.888*1,IF(AE101&gt;12,"",IF(AE101&lt;12,"")))</f>
        <v/>
      </c>
      <c r="AJ101" s="107" t="str">
        <f aca="false">IF(AE101=16,AA101*AB101*AC101*AD101*(AE101/1000)*1.578*1,IF(AE101&gt;16,"",IF(AE101&lt;16,"")))</f>
        <v/>
      </c>
      <c r="AK101" s="107" t="str">
        <f aca="false">IF(AE101=20,AA101*AB101*AC101*AD101*(AE101/1000)*2.466*1,IF(AE101&gt;20,"",IF(AE101&lt;20,"")))</f>
        <v/>
      </c>
      <c r="AL101" s="107" t="str">
        <f aca="false">IF(AE101=25,AA101*AB101*AC101*AD101*(AE101/1000)*3.853*1,IF(AE101&gt;25,"",IF(AE101&lt;25,"")))</f>
        <v/>
      </c>
      <c r="AM101" s="115" t="str">
        <f aca="false">IF(AE101=32,AA101*AB101*AC101*AD101*(AE101/1000)*6.313*1,IF(AE101&gt;32,"",IF(AE101&lt;32,"")))</f>
        <v/>
      </c>
      <c r="AN101" s="128"/>
      <c r="AO101" s="117" t="s">
        <v>160</v>
      </c>
      <c r="AP101" s="118" t="n">
        <f aca="false">SUM(R101:Y101)+SUM(AN101)</f>
        <v>29.58372</v>
      </c>
      <c r="AQ101" s="118" t="n">
        <f aca="false">SUM(AF101:AM101)</f>
        <v>0</v>
      </c>
      <c r="AR101" s="118"/>
      <c r="AS101" s="119" t="s">
        <v>482</v>
      </c>
      <c r="AT101" s="119" t="s">
        <v>162</v>
      </c>
    </row>
    <row r="102" customFormat="false" ht="13.5" hidden="false" customHeight="false" outlineLevel="0" collapsed="false">
      <c r="A102" s="129"/>
      <c r="B102" s="172"/>
      <c r="C102" s="110"/>
      <c r="D102" s="122"/>
      <c r="E102" s="122"/>
      <c r="F102" s="173"/>
      <c r="G102" s="123"/>
      <c r="H102" s="101"/>
      <c r="I102" s="123"/>
      <c r="J102" s="101"/>
      <c r="K102" s="124" t="s">
        <v>526</v>
      </c>
      <c r="L102" s="125"/>
      <c r="M102" s="125"/>
      <c r="N102" s="126" t="n">
        <f aca="false">$C$100</f>
        <v>1</v>
      </c>
      <c r="O102" s="126" t="n">
        <v>3</v>
      </c>
      <c r="P102" s="126" t="n">
        <v>12</v>
      </c>
      <c r="Q102" s="127" t="n">
        <f aca="false">9.905+2*50*12/1000</f>
        <v>11.105</v>
      </c>
      <c r="R102" s="105" t="str">
        <f aca="false">IF(P102=6,N102*O102*Q102*0.222*1,IF(P102&gt;6,"",IF(P102&lt;6,"")))</f>
        <v/>
      </c>
      <c r="S102" s="106" t="str">
        <f aca="false">IF(P102=8,N102*O102*Q102*0.395*1,IF(P102&gt;8,"",IF(P102&lt;8,"")))</f>
        <v/>
      </c>
      <c r="T102" s="106" t="str">
        <f aca="false">IF(P102=10,N102*O102*Q102*0.617*1,IF(P102&gt;10,"",IF(P102&lt;10,"")))</f>
        <v/>
      </c>
      <c r="U102" s="106" t="n">
        <f aca="false">IF(P102=12,N102*O102*Q102*0.888*1,IF(P102&gt;12,"",IF(P102&lt;12,"")))</f>
        <v>29.58372</v>
      </c>
      <c r="V102" s="107" t="str">
        <f aca="false">IF(P102=16,N102*O102*Q102*1.578*1,IF(P102&gt;16,"",IF(P102&lt;16,"")))</f>
        <v/>
      </c>
      <c r="W102" s="106" t="str">
        <f aca="false">IF(P102=20,N102*O102*Q102*2.466*1,IF(P102&gt;20,"",IF(P102&lt;20,"")))</f>
        <v/>
      </c>
      <c r="X102" s="106" t="str">
        <f aca="false">IF(P102=25,N102*O102*Q102*3.853*1,IF(P102&gt;25,"",IF(P102&lt;25,"")))</f>
        <v/>
      </c>
      <c r="Y102" s="108" t="str">
        <f aca="false">IF(P102=32,N102*O102*Q102*6.313*1,IF(P102&gt;32,"",IF(P102&lt;32,"")))</f>
        <v/>
      </c>
      <c r="Z102" s="109"/>
      <c r="AA102" s="110" t="str">
        <f aca="false">IF(AC102&gt;0,N102,"")</f>
        <v/>
      </c>
      <c r="AB102" s="111" t="str">
        <f aca="false">IF(AC102&gt;0,O102,"")</f>
        <v/>
      </c>
      <c r="AC102" s="112"/>
      <c r="AD102" s="112"/>
      <c r="AE102" s="113" t="str">
        <f aca="false">IF(AC102&gt;0,P102,"")</f>
        <v/>
      </c>
      <c r="AF102" s="114" t="str">
        <f aca="false">IF(AE102=6,AA102*AB102*AC102*AD102*(AE102/1000)*0.222*1,IF(AE102&gt;6,"",IF(AE102&lt;6,"")))</f>
        <v/>
      </c>
      <c r="AG102" s="107" t="str">
        <f aca="false">IF(AE102=8,AA102*AB102*AC102*AD102*(AE102/1000)*0.395*1,IF(AE102&gt;8,"",IF(AE102&lt;8,"")))</f>
        <v/>
      </c>
      <c r="AH102" s="107" t="str">
        <f aca="false">IF(AE102=10,AA102*AB102*AC102*AD102*(AE102/1000)*0.617*1,IF(AE102&gt;10,"",IF(AE102&lt;10,"")))</f>
        <v/>
      </c>
      <c r="AI102" s="107" t="str">
        <f aca="false">IF(AE102=12,AA102*AB102*AC102*AD102*(AE102/1000)*0.888*1,IF(AE102&gt;12,"",IF(AE102&lt;12,"")))</f>
        <v/>
      </c>
      <c r="AJ102" s="107" t="str">
        <f aca="false">IF(AE102=16,AA102*AB102*AC102*AD102*(AE102/1000)*1.578*1,IF(AE102&gt;16,"",IF(AE102&lt;16,"")))</f>
        <v/>
      </c>
      <c r="AK102" s="107" t="str">
        <f aca="false">IF(AE102=20,AA102*AB102*AC102*AD102*(AE102/1000)*2.466*1,IF(AE102&gt;20,"",IF(AE102&lt;20,"")))</f>
        <v/>
      </c>
      <c r="AL102" s="107" t="str">
        <f aca="false">IF(AE102=25,AA102*AB102*AC102*AD102*(AE102/1000)*3.853*1,IF(AE102&gt;25,"",IF(AE102&lt;25,"")))</f>
        <v/>
      </c>
      <c r="AM102" s="115" t="str">
        <f aca="false">IF(AE102=32,AA102*AB102*AC102*AD102*(AE102/1000)*6.313*1,IF(AE102&gt;32,"",IF(AE102&lt;32,"")))</f>
        <v/>
      </c>
      <c r="AN102" s="128"/>
      <c r="AO102" s="117" t="s">
        <v>160</v>
      </c>
      <c r="AP102" s="118" t="n">
        <f aca="false">SUM(R102:Y102)+SUM(AN102)</f>
        <v>29.58372</v>
      </c>
      <c r="AQ102" s="118" t="n">
        <f aca="false">SUM(AF102:AM102)</f>
        <v>0</v>
      </c>
      <c r="AR102" s="118"/>
      <c r="AS102" s="119" t="s">
        <v>482</v>
      </c>
      <c r="AT102" s="119" t="s">
        <v>162</v>
      </c>
    </row>
    <row r="103" customFormat="false" ht="13.5" hidden="false" customHeight="false" outlineLevel="0" collapsed="false">
      <c r="A103" s="129"/>
      <c r="B103" s="172"/>
      <c r="C103" s="110"/>
      <c r="D103" s="122"/>
      <c r="E103" s="122"/>
      <c r="F103" s="173"/>
      <c r="G103" s="123"/>
      <c r="H103" s="101"/>
      <c r="I103" s="123"/>
      <c r="J103" s="101"/>
      <c r="K103" s="124" t="s">
        <v>527</v>
      </c>
      <c r="L103" s="125" t="n">
        <f aca="false">$F$100</f>
        <v>9.1552</v>
      </c>
      <c r="M103" s="125" t="n">
        <v>0.2</v>
      </c>
      <c r="N103" s="126" t="n">
        <f aca="false">$C$100</f>
        <v>1</v>
      </c>
      <c r="O103" s="126" t="n">
        <f aca="false">CEILING(L103/M103,1)+1</f>
        <v>47</v>
      </c>
      <c r="P103" s="126" t="n">
        <v>8</v>
      </c>
      <c r="Q103" s="127" t="n">
        <f aca="false">2*($D$100-2*0.035)+2*($E$100-2*0.035)+20*8/1000</f>
        <v>0.88</v>
      </c>
      <c r="R103" s="105" t="str">
        <f aca="false">IF(P103=6,N103*O103*Q103*0.222*1,IF(P103&gt;6,"",IF(P103&lt;6,"")))</f>
        <v/>
      </c>
      <c r="S103" s="106" t="n">
        <f aca="false">IF(P103=8,N103*O103*Q103*0.395*1,IF(P103&gt;8,"",IF(P103&lt;8,"")))</f>
        <v>16.3372</v>
      </c>
      <c r="T103" s="106" t="str">
        <f aca="false">IF(P103=10,N103*O103*Q103*0.617*1,IF(P103&gt;10,"",IF(P103&lt;10,"")))</f>
        <v/>
      </c>
      <c r="U103" s="106" t="str">
        <f aca="false">IF(P103=12,N103*O103*Q103*0.888*1,IF(P103&gt;12,"",IF(P103&lt;12,"")))</f>
        <v/>
      </c>
      <c r="V103" s="107" t="str">
        <f aca="false">IF(P103=16,N103*O103*Q103*1.578*1,IF(P103&gt;16,"",IF(P103&lt;16,"")))</f>
        <v/>
      </c>
      <c r="W103" s="106" t="str">
        <f aca="false">IF(P103=20,N103*O103*Q103*2.466*1,IF(P103&gt;20,"",IF(P103&lt;20,"")))</f>
        <v/>
      </c>
      <c r="X103" s="106" t="str">
        <f aca="false">IF(P103=25,N103*O103*Q103*3.853*1,IF(P103&gt;25,"",IF(P103&lt;25,"")))</f>
        <v/>
      </c>
      <c r="Y103" s="108" t="str">
        <f aca="false">IF(P103=32,N103*O103*Q103*6.313*1,IF(P103&gt;32,"",IF(P103&lt;32,"")))</f>
        <v/>
      </c>
      <c r="Z103" s="109"/>
      <c r="AA103" s="110" t="str">
        <f aca="false">IF(AC103&gt;0,N103,"")</f>
        <v/>
      </c>
      <c r="AB103" s="111" t="str">
        <f aca="false">IF(AC103&gt;0,O103,"")</f>
        <v/>
      </c>
      <c r="AC103" s="112"/>
      <c r="AD103" s="112"/>
      <c r="AE103" s="113" t="str">
        <f aca="false">IF(AC103&gt;0,P103,"")</f>
        <v/>
      </c>
      <c r="AF103" s="114" t="str">
        <f aca="false">IF(AE103=6,AA103*AB103*AC103*AD103*(AE103/1000)*0.222*1,IF(AE103&gt;6,"",IF(AE103&lt;6,"")))</f>
        <v/>
      </c>
      <c r="AG103" s="107" t="str">
        <f aca="false">IF(AE103=8,AA103*AB103*AC103*AD103*(AE103/1000)*0.395*1,IF(AE103&gt;8,"",IF(AE103&lt;8,"")))</f>
        <v/>
      </c>
      <c r="AH103" s="107" t="str">
        <f aca="false">IF(AE103=10,AA103*AB103*AC103*AD103*(AE103/1000)*0.617*1,IF(AE103&gt;10,"",IF(AE103&lt;10,"")))</f>
        <v/>
      </c>
      <c r="AI103" s="107" t="str">
        <f aca="false">IF(AE103=12,AA103*AB103*AC103*AD103*(AE103/1000)*0.888*1,IF(AE103&gt;12,"",IF(AE103&lt;12,"")))</f>
        <v/>
      </c>
      <c r="AJ103" s="107" t="str">
        <f aca="false">IF(AE103=16,AA103*AB103*AC103*AD103*(AE103/1000)*1.578*1,IF(AE103&gt;16,"",IF(AE103&lt;16,"")))</f>
        <v/>
      </c>
      <c r="AK103" s="107" t="str">
        <f aca="false">IF(AE103=20,AA103*AB103*AC103*AD103*(AE103/1000)*2.466*1,IF(AE103&gt;20,"",IF(AE103&lt;20,"")))</f>
        <v/>
      </c>
      <c r="AL103" s="107" t="str">
        <f aca="false">IF(AE103=25,AA103*AB103*AC103*AD103*(AE103/1000)*3.853*1,IF(AE103&gt;25,"",IF(AE103&lt;25,"")))</f>
        <v/>
      </c>
      <c r="AM103" s="115" t="str">
        <f aca="false">IF(AE103=32,AA103*AB103*AC103*AD103*(AE103/1000)*6.313*1,IF(AE103&gt;32,"",IF(AE103&lt;32,"")))</f>
        <v/>
      </c>
      <c r="AN103" s="128"/>
      <c r="AO103" s="117" t="s">
        <v>160</v>
      </c>
      <c r="AP103" s="118" t="n">
        <f aca="false">SUM(R103:Y103)+SUM(AN103)</f>
        <v>16.3372</v>
      </c>
      <c r="AQ103" s="118" t="n">
        <f aca="false">SUM(AF103:AM103)</f>
        <v>0</v>
      </c>
      <c r="AR103" s="118"/>
      <c r="AS103" s="119"/>
      <c r="AT103" s="119" t="s">
        <v>162</v>
      </c>
    </row>
    <row r="104" customFormat="false" ht="13.5" hidden="false" customHeight="false" outlineLevel="0" collapsed="false">
      <c r="A104" s="129"/>
      <c r="B104" s="130"/>
      <c r="C104" s="110"/>
      <c r="D104" s="122"/>
      <c r="E104" s="122"/>
      <c r="F104" s="122"/>
      <c r="G104" s="123"/>
      <c r="H104" s="101"/>
      <c r="I104" s="123"/>
      <c r="J104" s="101"/>
      <c r="K104" s="124"/>
      <c r="L104" s="125"/>
      <c r="M104" s="125"/>
      <c r="N104" s="126"/>
      <c r="O104" s="126"/>
      <c r="P104" s="126"/>
      <c r="Q104" s="127"/>
      <c r="R104" s="105"/>
      <c r="S104" s="106"/>
      <c r="T104" s="106"/>
      <c r="U104" s="106"/>
      <c r="V104" s="107"/>
      <c r="W104" s="106"/>
      <c r="X104" s="106"/>
      <c r="Y104" s="108"/>
      <c r="Z104" s="109"/>
      <c r="AA104" s="110"/>
      <c r="AB104" s="111"/>
      <c r="AC104" s="112"/>
      <c r="AD104" s="112"/>
      <c r="AE104" s="113"/>
      <c r="AF104" s="114"/>
      <c r="AG104" s="107"/>
      <c r="AH104" s="107"/>
      <c r="AI104" s="107"/>
      <c r="AJ104" s="107"/>
      <c r="AK104" s="107"/>
      <c r="AL104" s="107"/>
      <c r="AM104" s="115"/>
      <c r="AO104" s="117"/>
      <c r="AP104" s="118"/>
      <c r="AQ104" s="118"/>
      <c r="AR104" s="118"/>
      <c r="AS104" s="119"/>
      <c r="AT104" s="119"/>
    </row>
    <row r="105" customFormat="false" ht="13.5" hidden="false" customHeight="false" outlineLevel="0" collapsed="false">
      <c r="A105" s="96"/>
      <c r="B105" s="97" t="s">
        <v>528</v>
      </c>
      <c r="C105" s="98"/>
      <c r="D105" s="99"/>
      <c r="E105" s="99"/>
      <c r="F105" s="99"/>
      <c r="G105" s="100"/>
      <c r="H105" s="101"/>
      <c r="I105" s="100"/>
      <c r="J105" s="101"/>
      <c r="K105" s="102"/>
      <c r="L105" s="103"/>
      <c r="M105" s="103"/>
      <c r="N105" s="104"/>
      <c r="O105" s="104"/>
      <c r="P105" s="104"/>
      <c r="Q105" s="100"/>
      <c r="R105" s="105"/>
      <c r="S105" s="106"/>
      <c r="T105" s="106"/>
      <c r="U105" s="106"/>
      <c r="V105" s="107"/>
      <c r="W105" s="106"/>
      <c r="X105" s="106"/>
      <c r="Y105" s="108"/>
      <c r="Z105" s="109"/>
      <c r="AA105" s="110"/>
      <c r="AB105" s="111"/>
      <c r="AC105" s="112"/>
      <c r="AD105" s="112"/>
      <c r="AE105" s="113"/>
      <c r="AF105" s="114"/>
      <c r="AG105" s="107"/>
      <c r="AH105" s="107"/>
      <c r="AI105" s="107"/>
      <c r="AJ105" s="107"/>
      <c r="AK105" s="107"/>
      <c r="AL105" s="107"/>
      <c r="AM105" s="115"/>
      <c r="AO105" s="117"/>
      <c r="AP105" s="118"/>
      <c r="AQ105" s="118"/>
      <c r="AR105" s="118"/>
      <c r="AS105" s="119"/>
      <c r="AT105" s="119"/>
    </row>
    <row r="106" customFormat="false" ht="13.5" hidden="false" customHeight="false" outlineLevel="0" collapsed="false">
      <c r="A106" s="120"/>
      <c r="B106" s="121" t="s">
        <v>529</v>
      </c>
      <c r="C106" s="110" t="n">
        <v>1</v>
      </c>
      <c r="D106" s="122" t="n">
        <v>0.25</v>
      </c>
      <c r="E106" s="122" t="n">
        <v>0.5</v>
      </c>
      <c r="F106" s="122" t="n">
        <f aca="false">0.7925/(0.25*0.5)</f>
        <v>6.34</v>
      </c>
      <c r="G106" s="123" t="n">
        <f aca="false">C106*D106*E106*F106</f>
        <v>0.7925</v>
      </c>
      <c r="H106" s="101"/>
      <c r="I106" s="123" t="n">
        <f aca="false">C106*F106*(D106+(E106-0.2)+(E106-0.2))</f>
        <v>5.389</v>
      </c>
      <c r="J106" s="101"/>
      <c r="K106" s="124"/>
      <c r="L106" s="125"/>
      <c r="M106" s="125"/>
      <c r="N106" s="126"/>
      <c r="O106" s="126"/>
      <c r="P106" s="126"/>
      <c r="Q106" s="127"/>
      <c r="R106" s="105" t="str">
        <f aca="false">IF(P106=6,N106*O106*Q106*0.222*1,IF(P106&gt;6,"",IF(P106&lt;6,"")))</f>
        <v/>
      </c>
      <c r="S106" s="106" t="str">
        <f aca="false">IF(P106=8,N106*O106*Q106*0.395*1,IF(P106&gt;8,"",IF(P106&lt;8,"")))</f>
        <v/>
      </c>
      <c r="T106" s="106" t="str">
        <f aca="false">IF(P106=10,N106*O106*Q106*0.617*1,IF(P106&gt;10,"",IF(P106&lt;10,"")))</f>
        <v/>
      </c>
      <c r="U106" s="106" t="str">
        <f aca="false">IF(P106=12,N106*O106*Q106*0.888*1,IF(P106&gt;12,"",IF(P106&lt;12,"")))</f>
        <v/>
      </c>
      <c r="V106" s="107" t="str">
        <f aca="false">IF(P106=16,N106*O106*Q106*1.578*1,IF(P106&gt;16,"",IF(P106&lt;16,"")))</f>
        <v/>
      </c>
      <c r="W106" s="106" t="str">
        <f aca="false">IF(P106=20,N106*O106*Q106*2.466*1,IF(P106&gt;20,"",IF(P106&lt;20,"")))</f>
        <v/>
      </c>
      <c r="X106" s="106" t="str">
        <f aca="false">IF(P106=25,N106*O106*Q106*3.853*1,IF(P106&gt;25,"",IF(P106&lt;25,"")))</f>
        <v/>
      </c>
      <c r="Y106" s="108" t="str">
        <f aca="false">IF(P106=32,N106*O106*Q106*6.313*1,IF(P106&gt;32,"",IF(P106&lt;32,"")))</f>
        <v/>
      </c>
      <c r="Z106" s="109"/>
      <c r="AA106" s="110" t="str">
        <f aca="false">IF(AC106&gt;0,N106,"")</f>
        <v/>
      </c>
      <c r="AB106" s="111" t="str">
        <f aca="false">IF(AC106&gt;0,O106,"")</f>
        <v/>
      </c>
      <c r="AC106" s="112"/>
      <c r="AD106" s="112"/>
      <c r="AE106" s="113" t="str">
        <f aca="false">IF(AC106&gt;0,P106,"")</f>
        <v/>
      </c>
      <c r="AF106" s="114" t="str">
        <f aca="false">IF(AE106=6,AA106*AB106*AC106*AD106*(AE106/1000)*0.222*1,IF(AE106&gt;6,"",IF(AE106&lt;6,"")))</f>
        <v/>
      </c>
      <c r="AG106" s="107" t="str">
        <f aca="false">IF(AE106=8,AA106*AB106*AC106*AD106*(AE106/1000)*0.395*1,IF(AE106&gt;8,"",IF(AE106&lt;8,"")))</f>
        <v/>
      </c>
      <c r="AH106" s="107" t="str">
        <f aca="false">IF(AE106=10,AA106*AB106*AC106*AD106*(AE106/1000)*0.617*1,IF(AE106&gt;10,"",IF(AE106&lt;10,"")))</f>
        <v/>
      </c>
      <c r="AI106" s="107" t="str">
        <f aca="false">IF(AE106=12,AA106*AB106*AC106*AD106*(AE106/1000)*0.888*1,IF(AE106&gt;12,"",IF(AE106&lt;12,"")))</f>
        <v/>
      </c>
      <c r="AJ106" s="107" t="str">
        <f aca="false">IF(AE106=16,AA106*AB106*AC106*AD106*(AE106/1000)*1.578*1,IF(AE106&gt;16,"",IF(AE106&lt;16,"")))</f>
        <v/>
      </c>
      <c r="AK106" s="107" t="str">
        <f aca="false">IF(AE106=20,AA106*AB106*AC106*AD106*(AE106/1000)*2.466*1,IF(AE106&gt;20,"",IF(AE106&lt;20,"")))</f>
        <v/>
      </c>
      <c r="AL106" s="107" t="str">
        <f aca="false">IF(AE106=25,AA106*AB106*AC106*AD106*(AE106/1000)*3.853*1,IF(AE106&gt;25,"",IF(AE106&lt;25,"")))</f>
        <v/>
      </c>
      <c r="AM106" s="115" t="str">
        <f aca="false">IF(AE106=32,AA106*AB106*AC106*AD106*(AE106/1000)*6.313*1,IF(AE106&gt;32,"",IF(AE106&lt;32,"")))</f>
        <v/>
      </c>
      <c r="AN106" s="128"/>
      <c r="AO106" s="117" t="s">
        <v>170</v>
      </c>
      <c r="AP106" s="118" t="n">
        <f aca="false">SUM(R106:Y106)+SUM(AN106)</f>
        <v>0</v>
      </c>
      <c r="AQ106" s="118" t="n">
        <f aca="false">SUM(AF106:AM106)</f>
        <v>0</v>
      </c>
      <c r="AR106" s="118" t="n">
        <v>0.7925</v>
      </c>
      <c r="AS106" s="119" t="s">
        <v>530</v>
      </c>
      <c r="AT106" s="119" t="s">
        <v>209</v>
      </c>
    </row>
    <row r="107" customFormat="false" ht="13.5" hidden="false" customHeight="false" outlineLevel="0" collapsed="false">
      <c r="A107" s="129"/>
      <c r="B107" s="172"/>
      <c r="C107" s="110"/>
      <c r="D107" s="122"/>
      <c r="E107" s="122"/>
      <c r="F107" s="173"/>
      <c r="G107" s="123"/>
      <c r="H107" s="101"/>
      <c r="I107" s="123"/>
      <c r="J107" s="101"/>
      <c r="K107" s="124" t="s">
        <v>483</v>
      </c>
      <c r="L107" s="125"/>
      <c r="M107" s="125"/>
      <c r="N107" s="126" t="n">
        <f aca="false">$C$106</f>
        <v>1</v>
      </c>
      <c r="O107" s="126" t="n">
        <v>2</v>
      </c>
      <c r="P107" s="126" t="n">
        <v>20</v>
      </c>
      <c r="Q107" s="127" t="n">
        <f aca="false">6.34+2*50*20/1000</f>
        <v>8.34</v>
      </c>
      <c r="R107" s="105" t="str">
        <f aca="false">IF(P107=6,N107*O107*Q107*0.222*1,IF(P107&gt;6,"",IF(P107&lt;6,"")))</f>
        <v/>
      </c>
      <c r="S107" s="106" t="str">
        <f aca="false">IF(P107=8,N107*O107*Q107*0.395*1,IF(P107&gt;8,"",IF(P107&lt;8,"")))</f>
        <v/>
      </c>
      <c r="T107" s="106" t="str">
        <f aca="false">IF(P107=10,N107*O107*Q107*0.617*1,IF(P107&gt;10,"",IF(P107&lt;10,"")))</f>
        <v/>
      </c>
      <c r="U107" s="106" t="str">
        <f aca="false">IF(P107=12,N107*O107*Q107*0.888*1,IF(P107&gt;12,"",IF(P107&lt;12,"")))</f>
        <v/>
      </c>
      <c r="V107" s="107" t="str">
        <f aca="false">IF(P107=16,N107*O107*Q107*1.578*1,IF(P107&gt;16,"",IF(P107&lt;16,"")))</f>
        <v/>
      </c>
      <c r="W107" s="106" t="n">
        <f aca="false">IF(P107=20,N107*O107*Q107*2.466*1,IF(P107&gt;20,"",IF(P107&lt;20,"")))</f>
        <v>41.13288</v>
      </c>
      <c r="X107" s="106" t="str">
        <f aca="false">IF(P107=25,N107*O107*Q107*3.853*1,IF(P107&gt;25,"",IF(P107&lt;25,"")))</f>
        <v/>
      </c>
      <c r="Y107" s="108" t="str">
        <f aca="false">IF(P107=32,N107*O107*Q107*6.313*1,IF(P107&gt;32,"",IF(P107&lt;32,"")))</f>
        <v/>
      </c>
      <c r="Z107" s="109"/>
      <c r="AA107" s="110" t="str">
        <f aca="false">IF(AC107&gt;0,N107,"")</f>
        <v/>
      </c>
      <c r="AB107" s="111" t="str">
        <f aca="false">IF(AC107&gt;0,O107,"")</f>
        <v/>
      </c>
      <c r="AC107" s="112"/>
      <c r="AD107" s="112"/>
      <c r="AE107" s="113" t="str">
        <f aca="false">IF(AC107&gt;0,P107,"")</f>
        <v/>
      </c>
      <c r="AF107" s="114" t="str">
        <f aca="false">IF(AE107=6,AA107*AB107*AC107*AD107*(AE107/1000)*0.222*1,IF(AE107&gt;6,"",IF(AE107&lt;6,"")))</f>
        <v/>
      </c>
      <c r="AG107" s="107" t="str">
        <f aca="false">IF(AE107=8,AA107*AB107*AC107*AD107*(AE107/1000)*0.395*1,IF(AE107&gt;8,"",IF(AE107&lt;8,"")))</f>
        <v/>
      </c>
      <c r="AH107" s="107" t="str">
        <f aca="false">IF(AE107=10,AA107*AB107*AC107*AD107*(AE107/1000)*0.617*1,IF(AE107&gt;10,"",IF(AE107&lt;10,"")))</f>
        <v/>
      </c>
      <c r="AI107" s="107" t="str">
        <f aca="false">IF(AE107=12,AA107*AB107*AC107*AD107*(AE107/1000)*0.888*1,IF(AE107&gt;12,"",IF(AE107&lt;12,"")))</f>
        <v/>
      </c>
      <c r="AJ107" s="107" t="str">
        <f aca="false">IF(AE107=16,AA107*AB107*AC107*AD107*(AE107/1000)*1.578*1,IF(AE107&gt;16,"",IF(AE107&lt;16,"")))</f>
        <v/>
      </c>
      <c r="AK107" s="107" t="str">
        <f aca="false">IF(AE107=20,AA107*AB107*AC107*AD107*(AE107/1000)*2.466*1,IF(AE107&gt;20,"",IF(AE107&lt;20,"")))</f>
        <v/>
      </c>
      <c r="AL107" s="107" t="str">
        <f aca="false">IF(AE107=25,AA107*AB107*AC107*AD107*(AE107/1000)*3.853*1,IF(AE107&gt;25,"",IF(AE107&lt;25,"")))</f>
        <v/>
      </c>
      <c r="AM107" s="115" t="str">
        <f aca="false">IF(AE107=32,AA107*AB107*AC107*AD107*(AE107/1000)*6.313*1,IF(AE107&gt;32,"",IF(AE107&lt;32,"")))</f>
        <v/>
      </c>
      <c r="AN107" s="128"/>
      <c r="AO107" s="117" t="s">
        <v>170</v>
      </c>
      <c r="AP107" s="118" t="n">
        <f aca="false">SUM(R107:Y107)+SUM(AN107)</f>
        <v>41.13288</v>
      </c>
      <c r="AQ107" s="118" t="n">
        <f aca="false">SUM(AF107:AM107)</f>
        <v>0</v>
      </c>
      <c r="AR107" s="118"/>
      <c r="AS107" s="119" t="s">
        <v>482</v>
      </c>
      <c r="AT107" s="119" t="s">
        <v>162</v>
      </c>
    </row>
    <row r="108" customFormat="false" ht="13.5" hidden="false" customHeight="false" outlineLevel="0" collapsed="false">
      <c r="A108" s="129"/>
      <c r="B108" s="172"/>
      <c r="C108" s="110"/>
      <c r="D108" s="122"/>
      <c r="E108" s="122"/>
      <c r="F108" s="173"/>
      <c r="G108" s="123"/>
      <c r="H108" s="101"/>
      <c r="I108" s="123"/>
      <c r="J108" s="101"/>
      <c r="K108" s="124" t="s">
        <v>531</v>
      </c>
      <c r="L108" s="125"/>
      <c r="M108" s="125"/>
      <c r="N108" s="126" t="n">
        <f aca="false">$C$106</f>
        <v>1</v>
      </c>
      <c r="O108" s="126" t="n">
        <v>1</v>
      </c>
      <c r="P108" s="126" t="n">
        <v>16</v>
      </c>
      <c r="Q108" s="127" t="n">
        <f aca="false">6.34+2*50*16/1000</f>
        <v>7.94</v>
      </c>
      <c r="R108" s="105" t="str">
        <f aca="false">IF(P108=6,N108*O108*Q108*0.222*1,IF(P108&gt;6,"",IF(P108&lt;6,"")))</f>
        <v/>
      </c>
      <c r="S108" s="106" t="str">
        <f aca="false">IF(P108=8,N108*O108*Q108*0.395*1,IF(P108&gt;8,"",IF(P108&lt;8,"")))</f>
        <v/>
      </c>
      <c r="T108" s="106" t="str">
        <f aca="false">IF(P108=10,N108*O108*Q108*0.617*1,IF(P108&gt;10,"",IF(P108&lt;10,"")))</f>
        <v/>
      </c>
      <c r="U108" s="106" t="str">
        <f aca="false">IF(P108=12,N108*O108*Q108*0.888*1,IF(P108&gt;12,"",IF(P108&lt;12,"")))</f>
        <v/>
      </c>
      <c r="V108" s="107" t="n">
        <f aca="false">IF(P108=16,N108*O108*Q108*1.578*1,IF(P108&gt;16,"",IF(P108&lt;16,"")))</f>
        <v>12.52932</v>
      </c>
      <c r="W108" s="106" t="str">
        <f aca="false">IF(P108=20,N108*O108*Q108*2.466*1,IF(P108&gt;20,"",IF(P108&lt;20,"")))</f>
        <v/>
      </c>
      <c r="X108" s="106" t="str">
        <f aca="false">IF(P108=25,N108*O108*Q108*3.853*1,IF(P108&gt;25,"",IF(P108&lt;25,"")))</f>
        <v/>
      </c>
      <c r="Y108" s="108" t="str">
        <f aca="false">IF(P108=32,N108*O108*Q108*6.313*1,IF(P108&gt;32,"",IF(P108&lt;32,"")))</f>
        <v/>
      </c>
      <c r="Z108" s="109"/>
      <c r="AA108" s="110" t="str">
        <f aca="false">IF(AC108&gt;0,N108,"")</f>
        <v/>
      </c>
      <c r="AB108" s="111" t="str">
        <f aca="false">IF(AC108&gt;0,O108,"")</f>
        <v/>
      </c>
      <c r="AC108" s="112"/>
      <c r="AD108" s="112"/>
      <c r="AE108" s="113" t="str">
        <f aca="false">IF(AC108&gt;0,P108,"")</f>
        <v/>
      </c>
      <c r="AF108" s="114" t="str">
        <f aca="false">IF(AE108=6,AA108*AB108*AC108*AD108*(AE108/1000)*0.222*1,IF(AE108&gt;6,"",IF(AE108&lt;6,"")))</f>
        <v/>
      </c>
      <c r="AG108" s="107" t="str">
        <f aca="false">IF(AE108=8,AA108*AB108*AC108*AD108*(AE108/1000)*0.395*1,IF(AE108&gt;8,"",IF(AE108&lt;8,"")))</f>
        <v/>
      </c>
      <c r="AH108" s="107" t="str">
        <f aca="false">IF(AE108=10,AA108*AB108*AC108*AD108*(AE108/1000)*0.617*1,IF(AE108&gt;10,"",IF(AE108&lt;10,"")))</f>
        <v/>
      </c>
      <c r="AI108" s="107" t="str">
        <f aca="false">IF(AE108=12,AA108*AB108*AC108*AD108*(AE108/1000)*0.888*1,IF(AE108&gt;12,"",IF(AE108&lt;12,"")))</f>
        <v/>
      </c>
      <c r="AJ108" s="107" t="str">
        <f aca="false">IF(AE108=16,AA108*AB108*AC108*AD108*(AE108/1000)*1.578*1,IF(AE108&gt;16,"",IF(AE108&lt;16,"")))</f>
        <v/>
      </c>
      <c r="AK108" s="107" t="str">
        <f aca="false">IF(AE108=20,AA108*AB108*AC108*AD108*(AE108/1000)*2.466*1,IF(AE108&gt;20,"",IF(AE108&lt;20,"")))</f>
        <v/>
      </c>
      <c r="AL108" s="107" t="str">
        <f aca="false">IF(AE108=25,AA108*AB108*AC108*AD108*(AE108/1000)*3.853*1,IF(AE108&gt;25,"",IF(AE108&lt;25,"")))</f>
        <v/>
      </c>
      <c r="AM108" s="115" t="str">
        <f aca="false">IF(AE108=32,AA108*AB108*AC108*AD108*(AE108/1000)*6.313*1,IF(AE108&gt;32,"",IF(AE108&lt;32,"")))</f>
        <v/>
      </c>
      <c r="AN108" s="128"/>
      <c r="AO108" s="117" t="s">
        <v>170</v>
      </c>
      <c r="AP108" s="118" t="n">
        <f aca="false">SUM(R108:Y108)+SUM(AN108)</f>
        <v>12.52932</v>
      </c>
      <c r="AQ108" s="118" t="n">
        <f aca="false">SUM(AF108:AM108)</f>
        <v>0</v>
      </c>
      <c r="AR108" s="118"/>
      <c r="AS108" s="119" t="s">
        <v>482</v>
      </c>
      <c r="AT108" s="119" t="s">
        <v>162</v>
      </c>
    </row>
    <row r="109" customFormat="false" ht="13.5" hidden="false" customHeight="false" outlineLevel="0" collapsed="false">
      <c r="A109" s="129"/>
      <c r="B109" s="172"/>
      <c r="C109" s="110"/>
      <c r="D109" s="122"/>
      <c r="E109" s="122"/>
      <c r="F109" s="173"/>
      <c r="G109" s="123"/>
      <c r="H109" s="101"/>
      <c r="I109" s="123"/>
      <c r="J109" s="101"/>
      <c r="K109" s="124" t="s">
        <v>484</v>
      </c>
      <c r="L109" s="125"/>
      <c r="M109" s="125"/>
      <c r="N109" s="126" t="n">
        <f aca="false">$C$106</f>
        <v>1</v>
      </c>
      <c r="O109" s="126" t="n">
        <v>3</v>
      </c>
      <c r="P109" s="126" t="n">
        <v>20</v>
      </c>
      <c r="Q109" s="127" t="n">
        <f aca="false">6.34+2*50*20/1000</f>
        <v>8.34</v>
      </c>
      <c r="R109" s="105" t="str">
        <f aca="false">IF(P109=6,N109*O109*Q109*0.222*1,IF(P109&gt;6,"",IF(P109&lt;6,"")))</f>
        <v/>
      </c>
      <c r="S109" s="106" t="str">
        <f aca="false">IF(P109=8,N109*O109*Q109*0.395*1,IF(P109&gt;8,"",IF(P109&lt;8,"")))</f>
        <v/>
      </c>
      <c r="T109" s="106" t="str">
        <f aca="false">IF(P109=10,N109*O109*Q109*0.617*1,IF(P109&gt;10,"",IF(P109&lt;10,"")))</f>
        <v/>
      </c>
      <c r="U109" s="106" t="str">
        <f aca="false">IF(P109=12,N109*O109*Q109*0.888*1,IF(P109&gt;12,"",IF(P109&lt;12,"")))</f>
        <v/>
      </c>
      <c r="V109" s="107" t="str">
        <f aca="false">IF(P109=16,N109*O109*Q109*1.578*1,IF(P109&gt;16,"",IF(P109&lt;16,"")))</f>
        <v/>
      </c>
      <c r="W109" s="106" t="n">
        <f aca="false">IF(P109=20,N109*O109*Q109*2.466*1,IF(P109&gt;20,"",IF(P109&lt;20,"")))</f>
        <v>61.69932</v>
      </c>
      <c r="X109" s="106" t="str">
        <f aca="false">IF(P109=25,N109*O109*Q109*3.853*1,IF(P109&gt;25,"",IF(P109&lt;25,"")))</f>
        <v/>
      </c>
      <c r="Y109" s="108" t="str">
        <f aca="false">IF(P109=32,N109*O109*Q109*6.313*1,IF(P109&gt;32,"",IF(P109&lt;32,"")))</f>
        <v/>
      </c>
      <c r="Z109" s="109"/>
      <c r="AA109" s="110" t="str">
        <f aca="false">IF(AC109&gt;0,N109,"")</f>
        <v/>
      </c>
      <c r="AB109" s="111" t="str">
        <f aca="false">IF(AC109&gt;0,O109,"")</f>
        <v/>
      </c>
      <c r="AC109" s="112"/>
      <c r="AD109" s="112"/>
      <c r="AE109" s="113" t="str">
        <f aca="false">IF(AC109&gt;0,P109,"")</f>
        <v/>
      </c>
      <c r="AF109" s="114" t="str">
        <f aca="false">IF(AE109=6,AA109*AB109*AC109*AD109*(AE109/1000)*0.222*1,IF(AE109&gt;6,"",IF(AE109&lt;6,"")))</f>
        <v/>
      </c>
      <c r="AG109" s="107" t="str">
        <f aca="false">IF(AE109=8,AA109*AB109*AC109*AD109*(AE109/1000)*0.395*1,IF(AE109&gt;8,"",IF(AE109&lt;8,"")))</f>
        <v/>
      </c>
      <c r="AH109" s="107" t="str">
        <f aca="false">IF(AE109=10,AA109*AB109*AC109*AD109*(AE109/1000)*0.617*1,IF(AE109&gt;10,"",IF(AE109&lt;10,"")))</f>
        <v/>
      </c>
      <c r="AI109" s="107" t="str">
        <f aca="false">IF(AE109=12,AA109*AB109*AC109*AD109*(AE109/1000)*0.888*1,IF(AE109&gt;12,"",IF(AE109&lt;12,"")))</f>
        <v/>
      </c>
      <c r="AJ109" s="107" t="str">
        <f aca="false">IF(AE109=16,AA109*AB109*AC109*AD109*(AE109/1000)*1.578*1,IF(AE109&gt;16,"",IF(AE109&lt;16,"")))</f>
        <v/>
      </c>
      <c r="AK109" s="107" t="str">
        <f aca="false">IF(AE109=20,AA109*AB109*AC109*AD109*(AE109/1000)*2.466*1,IF(AE109&gt;20,"",IF(AE109&lt;20,"")))</f>
        <v/>
      </c>
      <c r="AL109" s="107" t="str">
        <f aca="false">IF(AE109=25,AA109*AB109*AC109*AD109*(AE109/1000)*3.853*1,IF(AE109&gt;25,"",IF(AE109&lt;25,"")))</f>
        <v/>
      </c>
      <c r="AM109" s="115" t="str">
        <f aca="false">IF(AE109=32,AA109*AB109*AC109*AD109*(AE109/1000)*6.313*1,IF(AE109&gt;32,"",IF(AE109&lt;32,"")))</f>
        <v/>
      </c>
      <c r="AN109" s="128"/>
      <c r="AO109" s="117" t="s">
        <v>170</v>
      </c>
      <c r="AP109" s="118" t="n">
        <f aca="false">SUM(R109:Y109)+SUM(AN109)</f>
        <v>61.69932</v>
      </c>
      <c r="AQ109" s="118" t="n">
        <f aca="false">SUM(AF109:AM109)</f>
        <v>0</v>
      </c>
      <c r="AR109" s="118"/>
      <c r="AS109" s="119" t="s">
        <v>482</v>
      </c>
      <c r="AT109" s="119" t="s">
        <v>162</v>
      </c>
    </row>
    <row r="110" customFormat="false" ht="13.5" hidden="false" customHeight="false" outlineLevel="0" collapsed="false">
      <c r="A110" s="129"/>
      <c r="B110" s="172"/>
      <c r="C110" s="110"/>
      <c r="D110" s="122"/>
      <c r="E110" s="122"/>
      <c r="F110" s="173"/>
      <c r="G110" s="123"/>
      <c r="H110" s="101"/>
      <c r="I110" s="123"/>
      <c r="J110" s="101"/>
      <c r="K110" s="124" t="s">
        <v>486</v>
      </c>
      <c r="L110" s="125" t="n">
        <f aca="false">$F$106</f>
        <v>6.34</v>
      </c>
      <c r="M110" s="125" t="n">
        <v>0.125</v>
      </c>
      <c r="N110" s="126" t="n">
        <f aca="false">$C$106</f>
        <v>1</v>
      </c>
      <c r="O110" s="126" t="n">
        <f aca="false">CEILING(L110/M110,1)+1</f>
        <v>52</v>
      </c>
      <c r="P110" s="126" t="n">
        <v>8</v>
      </c>
      <c r="Q110" s="127" t="n">
        <f aca="false">2*($D$106-2*0.035)+2*($E$106-2*0.035)+20*8/1000</f>
        <v>1.38</v>
      </c>
      <c r="R110" s="105" t="str">
        <f aca="false">IF(P110=6,N110*O110*Q110*0.222*1,IF(P110&gt;6,"",IF(P110&lt;6,"")))</f>
        <v/>
      </c>
      <c r="S110" s="106" t="n">
        <f aca="false">IF(P110=8,N110*O110*Q110*0.395*1,IF(P110&gt;8,"",IF(P110&lt;8,"")))</f>
        <v>28.3452</v>
      </c>
      <c r="T110" s="106" t="str">
        <f aca="false">IF(P110=10,N110*O110*Q110*0.617*1,IF(P110&gt;10,"",IF(P110&lt;10,"")))</f>
        <v/>
      </c>
      <c r="U110" s="106" t="str">
        <f aca="false">IF(P110=12,N110*O110*Q110*0.888*1,IF(P110&gt;12,"",IF(P110&lt;12,"")))</f>
        <v/>
      </c>
      <c r="V110" s="107" t="str">
        <f aca="false">IF(P110=16,N110*O110*Q110*1.578*1,IF(P110&gt;16,"",IF(P110&lt;16,"")))</f>
        <v/>
      </c>
      <c r="W110" s="106" t="str">
        <f aca="false">IF(P110=20,N110*O110*Q110*2.466*1,IF(P110&gt;20,"",IF(P110&lt;20,"")))</f>
        <v/>
      </c>
      <c r="X110" s="106" t="str">
        <f aca="false">IF(P110=25,N110*O110*Q110*3.853*1,IF(P110&gt;25,"",IF(P110&lt;25,"")))</f>
        <v/>
      </c>
      <c r="Y110" s="108" t="str">
        <f aca="false">IF(P110=32,N110*O110*Q110*6.313*1,IF(P110&gt;32,"",IF(P110&lt;32,"")))</f>
        <v/>
      </c>
      <c r="Z110" s="109"/>
      <c r="AA110" s="110" t="str">
        <f aca="false">IF(AC110&gt;0,N110,"")</f>
        <v/>
      </c>
      <c r="AB110" s="111" t="str">
        <f aca="false">IF(AC110&gt;0,O110,"")</f>
        <v/>
      </c>
      <c r="AC110" s="112"/>
      <c r="AD110" s="112"/>
      <c r="AE110" s="113" t="str">
        <f aca="false">IF(AC110&gt;0,P110,"")</f>
        <v/>
      </c>
      <c r="AF110" s="114" t="str">
        <f aca="false">IF(AE110=6,AA110*AB110*AC110*AD110*(AE110/1000)*0.222*1,IF(AE110&gt;6,"",IF(AE110&lt;6,"")))</f>
        <v/>
      </c>
      <c r="AG110" s="107" t="str">
        <f aca="false">IF(AE110=8,AA110*AB110*AC110*AD110*(AE110/1000)*0.395*1,IF(AE110&gt;8,"",IF(AE110&lt;8,"")))</f>
        <v/>
      </c>
      <c r="AH110" s="107" t="str">
        <f aca="false">IF(AE110=10,AA110*AB110*AC110*AD110*(AE110/1000)*0.617*1,IF(AE110&gt;10,"",IF(AE110&lt;10,"")))</f>
        <v/>
      </c>
      <c r="AI110" s="107" t="str">
        <f aca="false">IF(AE110=12,AA110*AB110*AC110*AD110*(AE110/1000)*0.888*1,IF(AE110&gt;12,"",IF(AE110&lt;12,"")))</f>
        <v/>
      </c>
      <c r="AJ110" s="107" t="str">
        <f aca="false">IF(AE110=16,AA110*AB110*AC110*AD110*(AE110/1000)*1.578*1,IF(AE110&gt;16,"",IF(AE110&lt;16,"")))</f>
        <v/>
      </c>
      <c r="AK110" s="107" t="str">
        <f aca="false">IF(AE110=20,AA110*AB110*AC110*AD110*(AE110/1000)*2.466*1,IF(AE110&gt;20,"",IF(AE110&lt;20,"")))</f>
        <v/>
      </c>
      <c r="AL110" s="107" t="str">
        <f aca="false">IF(AE110=25,AA110*AB110*AC110*AD110*(AE110/1000)*3.853*1,IF(AE110&gt;25,"",IF(AE110&lt;25,"")))</f>
        <v/>
      </c>
      <c r="AM110" s="115" t="str">
        <f aca="false">IF(AE110=32,AA110*AB110*AC110*AD110*(AE110/1000)*6.313*1,IF(AE110&gt;32,"",IF(AE110&lt;32,"")))</f>
        <v/>
      </c>
      <c r="AN110" s="128"/>
      <c r="AO110" s="117" t="s">
        <v>170</v>
      </c>
      <c r="AP110" s="118" t="n">
        <f aca="false">SUM(R110:Y110)+SUM(AN110)</f>
        <v>28.3452</v>
      </c>
      <c r="AQ110" s="118" t="n">
        <f aca="false">SUM(AF110:AM110)</f>
        <v>0</v>
      </c>
      <c r="AR110" s="118"/>
      <c r="AS110" s="119"/>
      <c r="AT110" s="119" t="s">
        <v>162</v>
      </c>
    </row>
    <row r="111" customFormat="false" ht="13.5" hidden="false" customHeight="false" outlineLevel="0" collapsed="false">
      <c r="A111" s="129"/>
      <c r="B111" s="130"/>
      <c r="C111" s="110"/>
      <c r="D111" s="122"/>
      <c r="E111" s="122"/>
      <c r="F111" s="122"/>
      <c r="G111" s="123"/>
      <c r="H111" s="101"/>
      <c r="I111" s="123"/>
      <c r="J111" s="101"/>
      <c r="K111" s="124"/>
      <c r="L111" s="125"/>
      <c r="M111" s="125"/>
      <c r="N111" s="126"/>
      <c r="O111" s="126"/>
      <c r="P111" s="126"/>
      <c r="Q111" s="127"/>
      <c r="R111" s="105"/>
      <c r="S111" s="106"/>
      <c r="T111" s="106"/>
      <c r="U111" s="106"/>
      <c r="V111" s="107"/>
      <c r="W111" s="106"/>
      <c r="X111" s="106"/>
      <c r="Y111" s="108"/>
      <c r="Z111" s="109"/>
      <c r="AA111" s="110"/>
      <c r="AB111" s="111"/>
      <c r="AC111" s="112"/>
      <c r="AD111" s="112"/>
      <c r="AE111" s="113"/>
      <c r="AF111" s="114"/>
      <c r="AG111" s="107"/>
      <c r="AH111" s="107"/>
      <c r="AI111" s="107"/>
      <c r="AJ111" s="107"/>
      <c r="AK111" s="107"/>
      <c r="AL111" s="107"/>
      <c r="AM111" s="115"/>
      <c r="AO111" s="117"/>
      <c r="AP111" s="118"/>
      <c r="AQ111" s="118"/>
      <c r="AR111" s="118"/>
      <c r="AS111" s="119"/>
      <c r="AT111" s="119"/>
    </row>
    <row r="112" customFormat="false" ht="13.5" hidden="false" customHeight="false" outlineLevel="0" collapsed="false">
      <c r="A112" s="120"/>
      <c r="B112" s="121" t="s">
        <v>532</v>
      </c>
      <c r="C112" s="110" t="n">
        <v>1</v>
      </c>
      <c r="D112" s="122" t="n">
        <v>0.25</v>
      </c>
      <c r="E112" s="122" t="n">
        <v>0.5</v>
      </c>
      <c r="F112" s="122" t="n">
        <f aca="false">0.7925/(0.25*0.5)</f>
        <v>6.34</v>
      </c>
      <c r="G112" s="123" t="n">
        <f aca="false">C112*D112*E112*F112</f>
        <v>0.7925</v>
      </c>
      <c r="H112" s="101"/>
      <c r="I112" s="123" t="n">
        <f aca="false">C112*F112*(D112+(E112-0.2)+(E112))</f>
        <v>6.657</v>
      </c>
      <c r="J112" s="101"/>
      <c r="K112" s="124"/>
      <c r="L112" s="125"/>
      <c r="M112" s="125"/>
      <c r="N112" s="126"/>
      <c r="O112" s="126"/>
      <c r="P112" s="126"/>
      <c r="Q112" s="127"/>
      <c r="R112" s="105" t="str">
        <f aca="false">IF(P112=6,N112*O112*Q112*0.222*1,IF(P112&gt;6,"",IF(P112&lt;6,"")))</f>
        <v/>
      </c>
      <c r="S112" s="106" t="str">
        <f aca="false">IF(P112=8,N112*O112*Q112*0.395*1,IF(P112&gt;8,"",IF(P112&lt;8,"")))</f>
        <v/>
      </c>
      <c r="T112" s="106" t="str">
        <f aca="false">IF(P112=10,N112*O112*Q112*0.617*1,IF(P112&gt;10,"",IF(P112&lt;10,"")))</f>
        <v/>
      </c>
      <c r="U112" s="106" t="str">
        <f aca="false">IF(P112=12,N112*O112*Q112*0.888*1,IF(P112&gt;12,"",IF(P112&lt;12,"")))</f>
        <v/>
      </c>
      <c r="V112" s="107" t="str">
        <f aca="false">IF(P112=16,N112*O112*Q112*1.578*1,IF(P112&gt;16,"",IF(P112&lt;16,"")))</f>
        <v/>
      </c>
      <c r="W112" s="106" t="str">
        <f aca="false">IF(P112=20,N112*O112*Q112*2.466*1,IF(P112&gt;20,"",IF(P112&lt;20,"")))</f>
        <v/>
      </c>
      <c r="X112" s="106" t="str">
        <f aca="false">IF(P112=25,N112*O112*Q112*3.853*1,IF(P112&gt;25,"",IF(P112&lt;25,"")))</f>
        <v/>
      </c>
      <c r="Y112" s="108" t="str">
        <f aca="false">IF(P112=32,N112*O112*Q112*6.313*1,IF(P112&gt;32,"",IF(P112&lt;32,"")))</f>
        <v/>
      </c>
      <c r="Z112" s="109"/>
      <c r="AA112" s="110" t="str">
        <f aca="false">IF(AC112&gt;0,N112,"")</f>
        <v/>
      </c>
      <c r="AB112" s="111" t="str">
        <f aca="false">IF(AC112&gt;0,O112,"")</f>
        <v/>
      </c>
      <c r="AC112" s="112"/>
      <c r="AD112" s="112"/>
      <c r="AE112" s="113" t="str">
        <f aca="false">IF(AC112&gt;0,P112,"")</f>
        <v/>
      </c>
      <c r="AF112" s="114" t="str">
        <f aca="false">IF(AE112=6,AA112*AB112*AC112*AD112*(AE112/1000)*0.222*1,IF(AE112&gt;6,"",IF(AE112&lt;6,"")))</f>
        <v/>
      </c>
      <c r="AG112" s="107" t="str">
        <f aca="false">IF(AE112=8,AA112*AB112*AC112*AD112*(AE112/1000)*0.395*1,IF(AE112&gt;8,"",IF(AE112&lt;8,"")))</f>
        <v/>
      </c>
      <c r="AH112" s="107" t="str">
        <f aca="false">IF(AE112=10,AA112*AB112*AC112*AD112*(AE112/1000)*0.617*1,IF(AE112&gt;10,"",IF(AE112&lt;10,"")))</f>
        <v/>
      </c>
      <c r="AI112" s="107" t="str">
        <f aca="false">IF(AE112=12,AA112*AB112*AC112*AD112*(AE112/1000)*0.888*1,IF(AE112&gt;12,"",IF(AE112&lt;12,"")))</f>
        <v/>
      </c>
      <c r="AJ112" s="107" t="str">
        <f aca="false">IF(AE112=16,AA112*AB112*AC112*AD112*(AE112/1000)*1.578*1,IF(AE112&gt;16,"",IF(AE112&lt;16,"")))</f>
        <v/>
      </c>
      <c r="AK112" s="107" t="str">
        <f aca="false">IF(AE112=20,AA112*AB112*AC112*AD112*(AE112/1000)*2.466*1,IF(AE112&gt;20,"",IF(AE112&lt;20,"")))</f>
        <v/>
      </c>
      <c r="AL112" s="107" t="str">
        <f aca="false">IF(AE112=25,AA112*AB112*AC112*AD112*(AE112/1000)*3.853*1,IF(AE112&gt;25,"",IF(AE112&lt;25,"")))</f>
        <v/>
      </c>
      <c r="AM112" s="115" t="str">
        <f aca="false">IF(AE112=32,AA112*AB112*AC112*AD112*(AE112/1000)*6.313*1,IF(AE112&gt;32,"",IF(AE112&lt;32,"")))</f>
        <v/>
      </c>
      <c r="AN112" s="128"/>
      <c r="AO112" s="117" t="s">
        <v>170</v>
      </c>
      <c r="AP112" s="118" t="n">
        <f aca="false">SUM(R112:Y112)+SUM(AN112)</f>
        <v>0</v>
      </c>
      <c r="AQ112" s="118" t="n">
        <f aca="false">SUM(AF112:AM112)</f>
        <v>0</v>
      </c>
      <c r="AR112" s="118" t="n">
        <v>0.7925</v>
      </c>
      <c r="AS112" s="119" t="s">
        <v>533</v>
      </c>
      <c r="AT112" s="119" t="s">
        <v>209</v>
      </c>
    </row>
    <row r="113" customFormat="false" ht="13.5" hidden="false" customHeight="false" outlineLevel="0" collapsed="false">
      <c r="A113" s="129"/>
      <c r="B113" s="172"/>
      <c r="C113" s="110"/>
      <c r="D113" s="122"/>
      <c r="E113" s="122"/>
      <c r="F113" s="173"/>
      <c r="G113" s="123"/>
      <c r="H113" s="101"/>
      <c r="I113" s="123"/>
      <c r="J113" s="101"/>
      <c r="K113" s="124" t="s">
        <v>483</v>
      </c>
      <c r="L113" s="125"/>
      <c r="M113" s="125"/>
      <c r="N113" s="126" t="n">
        <f aca="false">$C$112</f>
        <v>1</v>
      </c>
      <c r="O113" s="126" t="n">
        <v>2</v>
      </c>
      <c r="P113" s="126" t="n">
        <v>20</v>
      </c>
      <c r="Q113" s="127" t="n">
        <f aca="false">6.34+2*50*20/1000</f>
        <v>8.34</v>
      </c>
      <c r="R113" s="105" t="str">
        <f aca="false">IF(P113=6,N113*O113*Q113*0.222*1,IF(P113&gt;6,"",IF(P113&lt;6,"")))</f>
        <v/>
      </c>
      <c r="S113" s="106" t="str">
        <f aca="false">IF(P113=8,N113*O113*Q113*0.395*1,IF(P113&gt;8,"",IF(P113&lt;8,"")))</f>
        <v/>
      </c>
      <c r="T113" s="106" t="str">
        <f aca="false">IF(P113=10,N113*O113*Q113*0.617*1,IF(P113&gt;10,"",IF(P113&lt;10,"")))</f>
        <v/>
      </c>
      <c r="U113" s="106" t="str">
        <f aca="false">IF(P113=12,N113*O113*Q113*0.888*1,IF(P113&gt;12,"",IF(P113&lt;12,"")))</f>
        <v/>
      </c>
      <c r="V113" s="107" t="str">
        <f aca="false">IF(P113=16,N113*O113*Q113*1.578*1,IF(P113&gt;16,"",IF(P113&lt;16,"")))</f>
        <v/>
      </c>
      <c r="W113" s="106" t="n">
        <f aca="false">IF(P113=20,N113*O113*Q113*2.466*1,IF(P113&gt;20,"",IF(P113&lt;20,"")))</f>
        <v>41.13288</v>
      </c>
      <c r="X113" s="106" t="str">
        <f aca="false">IF(P113=25,N113*O113*Q113*3.853*1,IF(P113&gt;25,"",IF(P113&lt;25,"")))</f>
        <v/>
      </c>
      <c r="Y113" s="108" t="str">
        <f aca="false">IF(P113=32,N113*O113*Q113*6.313*1,IF(P113&gt;32,"",IF(P113&lt;32,"")))</f>
        <v/>
      </c>
      <c r="Z113" s="109"/>
      <c r="AA113" s="110" t="str">
        <f aca="false">IF(AC113&gt;0,N113,"")</f>
        <v/>
      </c>
      <c r="AB113" s="111" t="str">
        <f aca="false">IF(AC113&gt;0,O113,"")</f>
        <v/>
      </c>
      <c r="AC113" s="112"/>
      <c r="AD113" s="112"/>
      <c r="AE113" s="113" t="str">
        <f aca="false">IF(AC113&gt;0,P113,"")</f>
        <v/>
      </c>
      <c r="AF113" s="114" t="str">
        <f aca="false">IF(AE113=6,AA113*AB113*AC113*AD113*(AE113/1000)*0.222*1,IF(AE113&gt;6,"",IF(AE113&lt;6,"")))</f>
        <v/>
      </c>
      <c r="AG113" s="107" t="str">
        <f aca="false">IF(AE113=8,AA113*AB113*AC113*AD113*(AE113/1000)*0.395*1,IF(AE113&gt;8,"",IF(AE113&lt;8,"")))</f>
        <v/>
      </c>
      <c r="AH113" s="107" t="str">
        <f aca="false">IF(AE113=10,AA113*AB113*AC113*AD113*(AE113/1000)*0.617*1,IF(AE113&gt;10,"",IF(AE113&lt;10,"")))</f>
        <v/>
      </c>
      <c r="AI113" s="107" t="str">
        <f aca="false">IF(AE113=12,AA113*AB113*AC113*AD113*(AE113/1000)*0.888*1,IF(AE113&gt;12,"",IF(AE113&lt;12,"")))</f>
        <v/>
      </c>
      <c r="AJ113" s="107" t="str">
        <f aca="false">IF(AE113=16,AA113*AB113*AC113*AD113*(AE113/1000)*1.578*1,IF(AE113&gt;16,"",IF(AE113&lt;16,"")))</f>
        <v/>
      </c>
      <c r="AK113" s="107" t="str">
        <f aca="false">IF(AE113=20,AA113*AB113*AC113*AD113*(AE113/1000)*2.466*1,IF(AE113&gt;20,"",IF(AE113&lt;20,"")))</f>
        <v/>
      </c>
      <c r="AL113" s="107" t="str">
        <f aca="false">IF(AE113=25,AA113*AB113*AC113*AD113*(AE113/1000)*3.853*1,IF(AE113&gt;25,"",IF(AE113&lt;25,"")))</f>
        <v/>
      </c>
      <c r="AM113" s="115" t="str">
        <f aca="false">IF(AE113=32,AA113*AB113*AC113*AD113*(AE113/1000)*6.313*1,IF(AE113&gt;32,"",IF(AE113&lt;32,"")))</f>
        <v/>
      </c>
      <c r="AN113" s="128"/>
      <c r="AO113" s="117" t="s">
        <v>170</v>
      </c>
      <c r="AP113" s="118" t="n">
        <f aca="false">SUM(R113:Y113)+SUM(AN113)</f>
        <v>41.13288</v>
      </c>
      <c r="AQ113" s="118" t="n">
        <f aca="false">SUM(AF113:AM113)</f>
        <v>0</v>
      </c>
      <c r="AR113" s="118"/>
      <c r="AS113" s="119" t="s">
        <v>482</v>
      </c>
      <c r="AT113" s="119" t="s">
        <v>162</v>
      </c>
    </row>
    <row r="114" customFormat="false" ht="13.5" hidden="false" customHeight="false" outlineLevel="0" collapsed="false">
      <c r="A114" s="129"/>
      <c r="B114" s="172"/>
      <c r="C114" s="110"/>
      <c r="D114" s="122"/>
      <c r="E114" s="122"/>
      <c r="F114" s="173"/>
      <c r="G114" s="123"/>
      <c r="H114" s="101"/>
      <c r="I114" s="123"/>
      <c r="J114" s="101"/>
      <c r="K114" s="124" t="s">
        <v>531</v>
      </c>
      <c r="L114" s="125"/>
      <c r="M114" s="125"/>
      <c r="N114" s="126" t="n">
        <f aca="false">$C$112</f>
        <v>1</v>
      </c>
      <c r="O114" s="126" t="n">
        <v>1</v>
      </c>
      <c r="P114" s="126" t="n">
        <v>16</v>
      </c>
      <c r="Q114" s="127" t="n">
        <f aca="false">6.34+2*50*16/1000</f>
        <v>7.94</v>
      </c>
      <c r="R114" s="105" t="str">
        <f aca="false">IF(P114=6,N114*O114*Q114*0.222*1,IF(P114&gt;6,"",IF(P114&lt;6,"")))</f>
        <v/>
      </c>
      <c r="S114" s="106" t="str">
        <f aca="false">IF(P114=8,N114*O114*Q114*0.395*1,IF(P114&gt;8,"",IF(P114&lt;8,"")))</f>
        <v/>
      </c>
      <c r="T114" s="106" t="str">
        <f aca="false">IF(P114=10,N114*O114*Q114*0.617*1,IF(P114&gt;10,"",IF(P114&lt;10,"")))</f>
        <v/>
      </c>
      <c r="U114" s="106" t="str">
        <f aca="false">IF(P114=12,N114*O114*Q114*0.888*1,IF(P114&gt;12,"",IF(P114&lt;12,"")))</f>
        <v/>
      </c>
      <c r="V114" s="107" t="n">
        <f aca="false">IF(P114=16,N114*O114*Q114*1.578*1,IF(P114&gt;16,"",IF(P114&lt;16,"")))</f>
        <v>12.52932</v>
      </c>
      <c r="W114" s="106" t="str">
        <f aca="false">IF(P114=20,N114*O114*Q114*2.466*1,IF(P114&gt;20,"",IF(P114&lt;20,"")))</f>
        <v/>
      </c>
      <c r="X114" s="106" t="str">
        <f aca="false">IF(P114=25,N114*O114*Q114*3.853*1,IF(P114&gt;25,"",IF(P114&lt;25,"")))</f>
        <v/>
      </c>
      <c r="Y114" s="108" t="str">
        <f aca="false">IF(P114=32,N114*O114*Q114*6.313*1,IF(P114&gt;32,"",IF(P114&lt;32,"")))</f>
        <v/>
      </c>
      <c r="Z114" s="109"/>
      <c r="AA114" s="110" t="str">
        <f aca="false">IF(AC114&gt;0,N114,"")</f>
        <v/>
      </c>
      <c r="AB114" s="111" t="str">
        <f aca="false">IF(AC114&gt;0,O114,"")</f>
        <v/>
      </c>
      <c r="AC114" s="112"/>
      <c r="AD114" s="112"/>
      <c r="AE114" s="113" t="str">
        <f aca="false">IF(AC114&gt;0,P114,"")</f>
        <v/>
      </c>
      <c r="AF114" s="114" t="str">
        <f aca="false">IF(AE114=6,AA114*AB114*AC114*AD114*(AE114/1000)*0.222*1,IF(AE114&gt;6,"",IF(AE114&lt;6,"")))</f>
        <v/>
      </c>
      <c r="AG114" s="107" t="str">
        <f aca="false">IF(AE114=8,AA114*AB114*AC114*AD114*(AE114/1000)*0.395*1,IF(AE114&gt;8,"",IF(AE114&lt;8,"")))</f>
        <v/>
      </c>
      <c r="AH114" s="107" t="str">
        <f aca="false">IF(AE114=10,AA114*AB114*AC114*AD114*(AE114/1000)*0.617*1,IF(AE114&gt;10,"",IF(AE114&lt;10,"")))</f>
        <v/>
      </c>
      <c r="AI114" s="107" t="str">
        <f aca="false">IF(AE114=12,AA114*AB114*AC114*AD114*(AE114/1000)*0.888*1,IF(AE114&gt;12,"",IF(AE114&lt;12,"")))</f>
        <v/>
      </c>
      <c r="AJ114" s="107" t="str">
        <f aca="false">IF(AE114=16,AA114*AB114*AC114*AD114*(AE114/1000)*1.578*1,IF(AE114&gt;16,"",IF(AE114&lt;16,"")))</f>
        <v/>
      </c>
      <c r="AK114" s="107" t="str">
        <f aca="false">IF(AE114=20,AA114*AB114*AC114*AD114*(AE114/1000)*2.466*1,IF(AE114&gt;20,"",IF(AE114&lt;20,"")))</f>
        <v/>
      </c>
      <c r="AL114" s="107" t="str">
        <f aca="false">IF(AE114=25,AA114*AB114*AC114*AD114*(AE114/1000)*3.853*1,IF(AE114&gt;25,"",IF(AE114&lt;25,"")))</f>
        <v/>
      </c>
      <c r="AM114" s="115" t="str">
        <f aca="false">IF(AE114=32,AA114*AB114*AC114*AD114*(AE114/1000)*6.313*1,IF(AE114&gt;32,"",IF(AE114&lt;32,"")))</f>
        <v/>
      </c>
      <c r="AN114" s="128"/>
      <c r="AO114" s="117" t="s">
        <v>170</v>
      </c>
      <c r="AP114" s="118" t="n">
        <f aca="false">SUM(R114:Y114)+SUM(AN114)</f>
        <v>12.52932</v>
      </c>
      <c r="AQ114" s="118" t="n">
        <f aca="false">SUM(AF114:AM114)</f>
        <v>0</v>
      </c>
      <c r="AR114" s="118"/>
      <c r="AS114" s="119" t="s">
        <v>482</v>
      </c>
      <c r="AT114" s="119" t="s">
        <v>162</v>
      </c>
    </row>
    <row r="115" customFormat="false" ht="13.5" hidden="false" customHeight="false" outlineLevel="0" collapsed="false">
      <c r="A115" s="129"/>
      <c r="B115" s="172"/>
      <c r="C115" s="110"/>
      <c r="D115" s="122"/>
      <c r="E115" s="122"/>
      <c r="F115" s="173"/>
      <c r="G115" s="123"/>
      <c r="H115" s="101"/>
      <c r="I115" s="123"/>
      <c r="J115" s="101"/>
      <c r="K115" s="124" t="s">
        <v>484</v>
      </c>
      <c r="L115" s="125"/>
      <c r="M115" s="125"/>
      <c r="N115" s="126" t="n">
        <f aca="false">$C$112</f>
        <v>1</v>
      </c>
      <c r="O115" s="126" t="n">
        <v>3</v>
      </c>
      <c r="P115" s="126" t="n">
        <v>20</v>
      </c>
      <c r="Q115" s="127" t="n">
        <f aca="false">6.34+2*50*20/1000</f>
        <v>8.34</v>
      </c>
      <c r="R115" s="105" t="str">
        <f aca="false">IF(P115=6,N115*O115*Q115*0.222*1,IF(P115&gt;6,"",IF(P115&lt;6,"")))</f>
        <v/>
      </c>
      <c r="S115" s="106" t="str">
        <f aca="false">IF(P115=8,N115*O115*Q115*0.395*1,IF(P115&gt;8,"",IF(P115&lt;8,"")))</f>
        <v/>
      </c>
      <c r="T115" s="106" t="str">
        <f aca="false">IF(P115=10,N115*O115*Q115*0.617*1,IF(P115&gt;10,"",IF(P115&lt;10,"")))</f>
        <v/>
      </c>
      <c r="U115" s="106" t="str">
        <f aca="false">IF(P115=12,N115*O115*Q115*0.888*1,IF(P115&gt;12,"",IF(P115&lt;12,"")))</f>
        <v/>
      </c>
      <c r="V115" s="107" t="str">
        <f aca="false">IF(P115=16,N115*O115*Q115*1.578*1,IF(P115&gt;16,"",IF(P115&lt;16,"")))</f>
        <v/>
      </c>
      <c r="W115" s="106" t="n">
        <f aca="false">IF(P115=20,N115*O115*Q115*2.466*1,IF(P115&gt;20,"",IF(P115&lt;20,"")))</f>
        <v>61.69932</v>
      </c>
      <c r="X115" s="106" t="str">
        <f aca="false">IF(P115=25,N115*O115*Q115*3.853*1,IF(P115&gt;25,"",IF(P115&lt;25,"")))</f>
        <v/>
      </c>
      <c r="Y115" s="108" t="str">
        <f aca="false">IF(P115=32,N115*O115*Q115*6.313*1,IF(P115&gt;32,"",IF(P115&lt;32,"")))</f>
        <v/>
      </c>
      <c r="Z115" s="109"/>
      <c r="AA115" s="110" t="str">
        <f aca="false">IF(AC115&gt;0,N115,"")</f>
        <v/>
      </c>
      <c r="AB115" s="111" t="str">
        <f aca="false">IF(AC115&gt;0,O115,"")</f>
        <v/>
      </c>
      <c r="AC115" s="112"/>
      <c r="AD115" s="112"/>
      <c r="AE115" s="113" t="str">
        <f aca="false">IF(AC115&gt;0,P115,"")</f>
        <v/>
      </c>
      <c r="AF115" s="114" t="str">
        <f aca="false">IF(AE115=6,AA115*AB115*AC115*AD115*(AE115/1000)*0.222*1,IF(AE115&gt;6,"",IF(AE115&lt;6,"")))</f>
        <v/>
      </c>
      <c r="AG115" s="107" t="str">
        <f aca="false">IF(AE115=8,AA115*AB115*AC115*AD115*(AE115/1000)*0.395*1,IF(AE115&gt;8,"",IF(AE115&lt;8,"")))</f>
        <v/>
      </c>
      <c r="AH115" s="107" t="str">
        <f aca="false">IF(AE115=10,AA115*AB115*AC115*AD115*(AE115/1000)*0.617*1,IF(AE115&gt;10,"",IF(AE115&lt;10,"")))</f>
        <v/>
      </c>
      <c r="AI115" s="107" t="str">
        <f aca="false">IF(AE115=12,AA115*AB115*AC115*AD115*(AE115/1000)*0.888*1,IF(AE115&gt;12,"",IF(AE115&lt;12,"")))</f>
        <v/>
      </c>
      <c r="AJ115" s="107" t="str">
        <f aca="false">IF(AE115=16,AA115*AB115*AC115*AD115*(AE115/1000)*1.578*1,IF(AE115&gt;16,"",IF(AE115&lt;16,"")))</f>
        <v/>
      </c>
      <c r="AK115" s="107" t="str">
        <f aca="false">IF(AE115=20,AA115*AB115*AC115*AD115*(AE115/1000)*2.466*1,IF(AE115&gt;20,"",IF(AE115&lt;20,"")))</f>
        <v/>
      </c>
      <c r="AL115" s="107" t="str">
        <f aca="false">IF(AE115=25,AA115*AB115*AC115*AD115*(AE115/1000)*3.853*1,IF(AE115&gt;25,"",IF(AE115&lt;25,"")))</f>
        <v/>
      </c>
      <c r="AM115" s="115" t="str">
        <f aca="false">IF(AE115=32,AA115*AB115*AC115*AD115*(AE115/1000)*6.313*1,IF(AE115&gt;32,"",IF(AE115&lt;32,"")))</f>
        <v/>
      </c>
      <c r="AN115" s="128"/>
      <c r="AO115" s="117" t="s">
        <v>170</v>
      </c>
      <c r="AP115" s="118" t="n">
        <f aca="false">SUM(R115:Y115)+SUM(AN115)</f>
        <v>61.69932</v>
      </c>
      <c r="AQ115" s="118" t="n">
        <f aca="false">SUM(AF115:AM115)</f>
        <v>0</v>
      </c>
      <c r="AR115" s="118"/>
      <c r="AS115" s="119" t="s">
        <v>482</v>
      </c>
      <c r="AT115" s="119" t="s">
        <v>162</v>
      </c>
    </row>
    <row r="116" customFormat="false" ht="13.5" hidden="false" customHeight="false" outlineLevel="0" collapsed="false">
      <c r="A116" s="129"/>
      <c r="B116" s="172"/>
      <c r="C116" s="110"/>
      <c r="D116" s="122"/>
      <c r="E116" s="122"/>
      <c r="F116" s="173"/>
      <c r="G116" s="123"/>
      <c r="H116" s="101"/>
      <c r="I116" s="123"/>
      <c r="J116" s="101"/>
      <c r="K116" s="124" t="s">
        <v>486</v>
      </c>
      <c r="L116" s="125" t="n">
        <f aca="false">$F$112</f>
        <v>6.34</v>
      </c>
      <c r="M116" s="125" t="n">
        <v>0.125</v>
      </c>
      <c r="N116" s="126" t="n">
        <f aca="false">$C$112</f>
        <v>1</v>
      </c>
      <c r="O116" s="126" t="n">
        <f aca="false">CEILING(L116/M116,1)+1</f>
        <v>52</v>
      </c>
      <c r="P116" s="126" t="n">
        <v>8</v>
      </c>
      <c r="Q116" s="127" t="n">
        <f aca="false">2*($D$112-2*0.035)+2*($E$112-2*0.035)+20*8/1000</f>
        <v>1.38</v>
      </c>
      <c r="R116" s="105" t="str">
        <f aca="false">IF(P116=6,N116*O116*Q116*0.222*1,IF(P116&gt;6,"",IF(P116&lt;6,"")))</f>
        <v/>
      </c>
      <c r="S116" s="106" t="n">
        <f aca="false">IF(P116=8,N116*O116*Q116*0.395*1,IF(P116&gt;8,"",IF(P116&lt;8,"")))</f>
        <v>28.3452</v>
      </c>
      <c r="T116" s="106" t="str">
        <f aca="false">IF(P116=10,N116*O116*Q116*0.617*1,IF(P116&gt;10,"",IF(P116&lt;10,"")))</f>
        <v/>
      </c>
      <c r="U116" s="106" t="str">
        <f aca="false">IF(P116=12,N116*O116*Q116*0.888*1,IF(P116&gt;12,"",IF(P116&lt;12,"")))</f>
        <v/>
      </c>
      <c r="V116" s="107" t="str">
        <f aca="false">IF(P116=16,N116*O116*Q116*1.578*1,IF(P116&gt;16,"",IF(P116&lt;16,"")))</f>
        <v/>
      </c>
      <c r="W116" s="106" t="str">
        <f aca="false">IF(P116=20,N116*O116*Q116*2.466*1,IF(P116&gt;20,"",IF(P116&lt;20,"")))</f>
        <v/>
      </c>
      <c r="X116" s="106" t="str">
        <f aca="false">IF(P116=25,N116*O116*Q116*3.853*1,IF(P116&gt;25,"",IF(P116&lt;25,"")))</f>
        <v/>
      </c>
      <c r="Y116" s="108" t="str">
        <f aca="false">IF(P116=32,N116*O116*Q116*6.313*1,IF(P116&gt;32,"",IF(P116&lt;32,"")))</f>
        <v/>
      </c>
      <c r="Z116" s="109"/>
      <c r="AA116" s="110" t="str">
        <f aca="false">IF(AC116&gt;0,N116,"")</f>
        <v/>
      </c>
      <c r="AB116" s="111" t="str">
        <f aca="false">IF(AC116&gt;0,O116,"")</f>
        <v/>
      </c>
      <c r="AC116" s="112"/>
      <c r="AD116" s="112"/>
      <c r="AE116" s="113" t="str">
        <f aca="false">IF(AC116&gt;0,P116,"")</f>
        <v/>
      </c>
      <c r="AF116" s="114" t="str">
        <f aca="false">IF(AE116=6,AA116*AB116*AC116*AD116*(AE116/1000)*0.222*1,IF(AE116&gt;6,"",IF(AE116&lt;6,"")))</f>
        <v/>
      </c>
      <c r="AG116" s="107" t="str">
        <f aca="false">IF(AE116=8,AA116*AB116*AC116*AD116*(AE116/1000)*0.395*1,IF(AE116&gt;8,"",IF(AE116&lt;8,"")))</f>
        <v/>
      </c>
      <c r="AH116" s="107" t="str">
        <f aca="false">IF(AE116=10,AA116*AB116*AC116*AD116*(AE116/1000)*0.617*1,IF(AE116&gt;10,"",IF(AE116&lt;10,"")))</f>
        <v/>
      </c>
      <c r="AI116" s="107" t="str">
        <f aca="false">IF(AE116=12,AA116*AB116*AC116*AD116*(AE116/1000)*0.888*1,IF(AE116&gt;12,"",IF(AE116&lt;12,"")))</f>
        <v/>
      </c>
      <c r="AJ116" s="107" t="str">
        <f aca="false">IF(AE116=16,AA116*AB116*AC116*AD116*(AE116/1000)*1.578*1,IF(AE116&gt;16,"",IF(AE116&lt;16,"")))</f>
        <v/>
      </c>
      <c r="AK116" s="107" t="str">
        <f aca="false">IF(AE116=20,AA116*AB116*AC116*AD116*(AE116/1000)*2.466*1,IF(AE116&gt;20,"",IF(AE116&lt;20,"")))</f>
        <v/>
      </c>
      <c r="AL116" s="107" t="str">
        <f aca="false">IF(AE116=25,AA116*AB116*AC116*AD116*(AE116/1000)*3.853*1,IF(AE116&gt;25,"",IF(AE116&lt;25,"")))</f>
        <v/>
      </c>
      <c r="AM116" s="115" t="str">
        <f aca="false">IF(AE116=32,AA116*AB116*AC116*AD116*(AE116/1000)*6.313*1,IF(AE116&gt;32,"",IF(AE116&lt;32,"")))</f>
        <v/>
      </c>
      <c r="AN116" s="128"/>
      <c r="AO116" s="117" t="s">
        <v>170</v>
      </c>
      <c r="AP116" s="118" t="n">
        <f aca="false">SUM(R116:Y116)+SUM(AN116)</f>
        <v>28.3452</v>
      </c>
      <c r="AQ116" s="118" t="n">
        <f aca="false">SUM(AF116:AM116)</f>
        <v>0</v>
      </c>
      <c r="AR116" s="118"/>
      <c r="AS116" s="119"/>
      <c r="AT116" s="119" t="s">
        <v>162</v>
      </c>
    </row>
    <row r="117" customFormat="false" ht="13.5" hidden="false" customHeight="false" outlineLevel="0" collapsed="false">
      <c r="A117" s="129"/>
      <c r="B117" s="130"/>
      <c r="C117" s="110"/>
      <c r="D117" s="122"/>
      <c r="E117" s="122"/>
      <c r="F117" s="122"/>
      <c r="G117" s="123"/>
      <c r="H117" s="101"/>
      <c r="I117" s="123"/>
      <c r="J117" s="101"/>
      <c r="K117" s="124"/>
      <c r="L117" s="125"/>
      <c r="M117" s="125"/>
      <c r="N117" s="126"/>
      <c r="O117" s="126"/>
      <c r="P117" s="126"/>
      <c r="Q117" s="127"/>
      <c r="R117" s="105"/>
      <c r="S117" s="106"/>
      <c r="T117" s="106"/>
      <c r="U117" s="106"/>
      <c r="V117" s="107"/>
      <c r="W117" s="106"/>
      <c r="X117" s="106"/>
      <c r="Y117" s="108"/>
      <c r="Z117" s="109"/>
      <c r="AA117" s="110"/>
      <c r="AB117" s="111"/>
      <c r="AC117" s="112"/>
      <c r="AD117" s="112"/>
      <c r="AE117" s="113"/>
      <c r="AF117" s="114"/>
      <c r="AG117" s="107"/>
      <c r="AH117" s="107"/>
      <c r="AI117" s="107"/>
      <c r="AJ117" s="107"/>
      <c r="AK117" s="107"/>
      <c r="AL117" s="107"/>
      <c r="AM117" s="115"/>
      <c r="AO117" s="117"/>
      <c r="AP117" s="118"/>
      <c r="AQ117" s="118"/>
      <c r="AR117" s="118"/>
      <c r="AS117" s="119"/>
      <c r="AT117" s="119"/>
    </row>
    <row r="118" customFormat="false" ht="13.5" hidden="false" customHeight="false" outlineLevel="0" collapsed="false">
      <c r="A118" s="120"/>
      <c r="B118" s="121" t="s">
        <v>534</v>
      </c>
      <c r="C118" s="110" t="n">
        <v>1</v>
      </c>
      <c r="D118" s="122" t="n">
        <v>0.25</v>
      </c>
      <c r="E118" s="122" t="n">
        <v>0.5</v>
      </c>
      <c r="F118" s="122" t="n">
        <f aca="false">0.4975/(0.25*0.5)</f>
        <v>3.98</v>
      </c>
      <c r="G118" s="123" t="n">
        <f aca="false">C118*D118*E118*F118</f>
        <v>0.4975</v>
      </c>
      <c r="H118" s="101"/>
      <c r="I118" s="123" t="n">
        <f aca="false">C118*F118*(D118+(E118-0.2)+(E118))</f>
        <v>4.179</v>
      </c>
      <c r="J118" s="101"/>
      <c r="K118" s="124"/>
      <c r="L118" s="125"/>
      <c r="M118" s="125"/>
      <c r="N118" s="126"/>
      <c r="O118" s="126"/>
      <c r="P118" s="126"/>
      <c r="Q118" s="127"/>
      <c r="R118" s="105" t="str">
        <f aca="false">IF(P118=6,N118*O118*Q118*0.222*1,IF(P118&gt;6,"",IF(P118&lt;6,"")))</f>
        <v/>
      </c>
      <c r="S118" s="106" t="str">
        <f aca="false">IF(P118=8,N118*O118*Q118*0.395*1,IF(P118&gt;8,"",IF(P118&lt;8,"")))</f>
        <v/>
      </c>
      <c r="T118" s="106" t="str">
        <f aca="false">IF(P118=10,N118*O118*Q118*0.617*1,IF(P118&gt;10,"",IF(P118&lt;10,"")))</f>
        <v/>
      </c>
      <c r="U118" s="106" t="str">
        <f aca="false">IF(P118=12,N118*O118*Q118*0.888*1,IF(P118&gt;12,"",IF(P118&lt;12,"")))</f>
        <v/>
      </c>
      <c r="V118" s="107" t="str">
        <f aca="false">IF(P118=16,N118*O118*Q118*1.578*1,IF(P118&gt;16,"",IF(P118&lt;16,"")))</f>
        <v/>
      </c>
      <c r="W118" s="106" t="str">
        <f aca="false">IF(P118=20,N118*O118*Q118*2.466*1,IF(P118&gt;20,"",IF(P118&lt;20,"")))</f>
        <v/>
      </c>
      <c r="X118" s="106" t="str">
        <f aca="false">IF(P118=25,N118*O118*Q118*3.853*1,IF(P118&gt;25,"",IF(P118&lt;25,"")))</f>
        <v/>
      </c>
      <c r="Y118" s="108" t="str">
        <f aca="false">IF(P118=32,N118*O118*Q118*6.313*1,IF(P118&gt;32,"",IF(P118&lt;32,"")))</f>
        <v/>
      </c>
      <c r="Z118" s="109"/>
      <c r="AA118" s="110" t="str">
        <f aca="false">IF(AC118&gt;0,N118,"")</f>
        <v/>
      </c>
      <c r="AB118" s="111" t="str">
        <f aca="false">IF(AC118&gt;0,O118,"")</f>
        <v/>
      </c>
      <c r="AC118" s="112"/>
      <c r="AD118" s="112"/>
      <c r="AE118" s="113" t="str">
        <f aca="false">IF(AC118&gt;0,P118,"")</f>
        <v/>
      </c>
      <c r="AF118" s="114" t="str">
        <f aca="false">IF(AE118=6,AA118*AB118*AC118*AD118*(AE118/1000)*0.222*1,IF(AE118&gt;6,"",IF(AE118&lt;6,"")))</f>
        <v/>
      </c>
      <c r="AG118" s="107" t="str">
        <f aca="false">IF(AE118=8,AA118*AB118*AC118*AD118*(AE118/1000)*0.395*1,IF(AE118&gt;8,"",IF(AE118&lt;8,"")))</f>
        <v/>
      </c>
      <c r="AH118" s="107" t="str">
        <f aca="false">IF(AE118=10,AA118*AB118*AC118*AD118*(AE118/1000)*0.617*1,IF(AE118&gt;10,"",IF(AE118&lt;10,"")))</f>
        <v/>
      </c>
      <c r="AI118" s="107" t="str">
        <f aca="false">IF(AE118=12,AA118*AB118*AC118*AD118*(AE118/1000)*0.888*1,IF(AE118&gt;12,"",IF(AE118&lt;12,"")))</f>
        <v/>
      </c>
      <c r="AJ118" s="107" t="str">
        <f aca="false">IF(AE118=16,AA118*AB118*AC118*AD118*(AE118/1000)*1.578*1,IF(AE118&gt;16,"",IF(AE118&lt;16,"")))</f>
        <v/>
      </c>
      <c r="AK118" s="107" t="str">
        <f aca="false">IF(AE118=20,AA118*AB118*AC118*AD118*(AE118/1000)*2.466*1,IF(AE118&gt;20,"",IF(AE118&lt;20,"")))</f>
        <v/>
      </c>
      <c r="AL118" s="107" t="str">
        <f aca="false">IF(AE118=25,AA118*AB118*AC118*AD118*(AE118/1000)*3.853*1,IF(AE118&gt;25,"",IF(AE118&lt;25,"")))</f>
        <v/>
      </c>
      <c r="AM118" s="115" t="str">
        <f aca="false">IF(AE118=32,AA118*AB118*AC118*AD118*(AE118/1000)*6.313*1,IF(AE118&gt;32,"",IF(AE118&lt;32,"")))</f>
        <v/>
      </c>
      <c r="AN118" s="128"/>
      <c r="AO118" s="117" t="s">
        <v>170</v>
      </c>
      <c r="AP118" s="118" t="n">
        <f aca="false">SUM(R118:Y118)+SUM(AN118)</f>
        <v>0</v>
      </c>
      <c r="AQ118" s="118" t="n">
        <f aca="false">SUM(AF118:AM118)</f>
        <v>0</v>
      </c>
      <c r="AR118" s="118" t="n">
        <v>0.4975</v>
      </c>
      <c r="AS118" s="119" t="s">
        <v>535</v>
      </c>
      <c r="AT118" s="119" t="s">
        <v>209</v>
      </c>
    </row>
    <row r="119" customFormat="false" ht="13.5" hidden="false" customHeight="false" outlineLevel="0" collapsed="false">
      <c r="A119" s="129"/>
      <c r="B119" s="172"/>
      <c r="C119" s="110"/>
      <c r="D119" s="122"/>
      <c r="E119" s="122"/>
      <c r="F119" s="173"/>
      <c r="G119" s="123"/>
      <c r="H119" s="101"/>
      <c r="I119" s="123"/>
      <c r="J119" s="101"/>
      <c r="K119" s="124" t="s">
        <v>305</v>
      </c>
      <c r="L119" s="125"/>
      <c r="M119" s="125"/>
      <c r="N119" s="126" t="n">
        <f aca="false">$C$118</f>
        <v>1</v>
      </c>
      <c r="O119" s="126" t="n">
        <v>3</v>
      </c>
      <c r="P119" s="126" t="n">
        <v>16</v>
      </c>
      <c r="Q119" s="127" t="n">
        <f aca="false">3.98+2*50*16/1000</f>
        <v>5.58</v>
      </c>
      <c r="R119" s="105" t="str">
        <f aca="false">IF(P119=6,N119*O119*Q119*0.222*1,IF(P119&gt;6,"",IF(P119&lt;6,"")))</f>
        <v/>
      </c>
      <c r="S119" s="106" t="str">
        <f aca="false">IF(P119=8,N119*O119*Q119*0.395*1,IF(P119&gt;8,"",IF(P119&lt;8,"")))</f>
        <v/>
      </c>
      <c r="T119" s="106" t="str">
        <f aca="false">IF(P119=10,N119*O119*Q119*0.617*1,IF(P119&gt;10,"",IF(P119&lt;10,"")))</f>
        <v/>
      </c>
      <c r="U119" s="106" t="str">
        <f aca="false">IF(P119=12,N119*O119*Q119*0.888*1,IF(P119&gt;12,"",IF(P119&lt;12,"")))</f>
        <v/>
      </c>
      <c r="V119" s="107" t="n">
        <f aca="false">IF(P119=16,N119*O119*Q119*1.578*1,IF(P119&gt;16,"",IF(P119&lt;16,"")))</f>
        <v>26.41572</v>
      </c>
      <c r="W119" s="106" t="str">
        <f aca="false">IF(P119=20,N119*O119*Q119*2.466*1,IF(P119&gt;20,"",IF(P119&lt;20,"")))</f>
        <v/>
      </c>
      <c r="X119" s="106" t="str">
        <f aca="false">IF(P119=25,N119*O119*Q119*3.853*1,IF(P119&gt;25,"",IF(P119&lt;25,"")))</f>
        <v/>
      </c>
      <c r="Y119" s="108" t="str">
        <f aca="false">IF(P119=32,N119*O119*Q119*6.313*1,IF(P119&gt;32,"",IF(P119&lt;32,"")))</f>
        <v/>
      </c>
      <c r="Z119" s="109"/>
      <c r="AA119" s="110" t="str">
        <f aca="false">IF(AC119&gt;0,N119,"")</f>
        <v/>
      </c>
      <c r="AB119" s="111" t="str">
        <f aca="false">IF(AC119&gt;0,O119,"")</f>
        <v/>
      </c>
      <c r="AC119" s="112"/>
      <c r="AD119" s="112"/>
      <c r="AE119" s="113" t="str">
        <f aca="false">IF(AC119&gt;0,P119,"")</f>
        <v/>
      </c>
      <c r="AF119" s="114" t="str">
        <f aca="false">IF(AE119=6,AA119*AB119*AC119*AD119*(AE119/1000)*0.222*1,IF(AE119&gt;6,"",IF(AE119&lt;6,"")))</f>
        <v/>
      </c>
      <c r="AG119" s="107" t="str">
        <f aca="false">IF(AE119=8,AA119*AB119*AC119*AD119*(AE119/1000)*0.395*1,IF(AE119&gt;8,"",IF(AE119&lt;8,"")))</f>
        <v/>
      </c>
      <c r="AH119" s="107" t="str">
        <f aca="false">IF(AE119=10,AA119*AB119*AC119*AD119*(AE119/1000)*0.617*1,IF(AE119&gt;10,"",IF(AE119&lt;10,"")))</f>
        <v/>
      </c>
      <c r="AI119" s="107" t="str">
        <f aca="false">IF(AE119=12,AA119*AB119*AC119*AD119*(AE119/1000)*0.888*1,IF(AE119&gt;12,"",IF(AE119&lt;12,"")))</f>
        <v/>
      </c>
      <c r="AJ119" s="107" t="str">
        <f aca="false">IF(AE119=16,AA119*AB119*AC119*AD119*(AE119/1000)*1.578*1,IF(AE119&gt;16,"",IF(AE119&lt;16,"")))</f>
        <v/>
      </c>
      <c r="AK119" s="107" t="str">
        <f aca="false">IF(AE119=20,AA119*AB119*AC119*AD119*(AE119/1000)*2.466*1,IF(AE119&gt;20,"",IF(AE119&lt;20,"")))</f>
        <v/>
      </c>
      <c r="AL119" s="107" t="str">
        <f aca="false">IF(AE119=25,AA119*AB119*AC119*AD119*(AE119/1000)*3.853*1,IF(AE119&gt;25,"",IF(AE119&lt;25,"")))</f>
        <v/>
      </c>
      <c r="AM119" s="115" t="str">
        <f aca="false">IF(AE119=32,AA119*AB119*AC119*AD119*(AE119/1000)*6.313*1,IF(AE119&gt;32,"",IF(AE119&lt;32,"")))</f>
        <v/>
      </c>
      <c r="AN119" s="128"/>
      <c r="AO119" s="117" t="s">
        <v>170</v>
      </c>
      <c r="AP119" s="118" t="n">
        <f aca="false">SUM(R119:Y119)+SUM(AN119)</f>
        <v>26.41572</v>
      </c>
      <c r="AQ119" s="118" t="n">
        <f aca="false">SUM(AF119:AM119)</f>
        <v>0</v>
      </c>
      <c r="AR119" s="118"/>
      <c r="AS119" s="119" t="s">
        <v>482</v>
      </c>
      <c r="AT119" s="119" t="s">
        <v>162</v>
      </c>
    </row>
    <row r="120" customFormat="false" ht="13.5" hidden="false" customHeight="false" outlineLevel="0" collapsed="false">
      <c r="A120" s="129"/>
      <c r="B120" s="172"/>
      <c r="C120" s="110"/>
      <c r="D120" s="122"/>
      <c r="E120" s="122"/>
      <c r="F120" s="173"/>
      <c r="G120" s="123"/>
      <c r="H120" s="101"/>
      <c r="I120" s="123"/>
      <c r="J120" s="101"/>
      <c r="K120" s="124" t="s">
        <v>306</v>
      </c>
      <c r="L120" s="125"/>
      <c r="M120" s="125"/>
      <c r="N120" s="126" t="n">
        <f aca="false">$C$118</f>
        <v>1</v>
      </c>
      <c r="O120" s="126" t="n">
        <v>3</v>
      </c>
      <c r="P120" s="126" t="n">
        <v>16</v>
      </c>
      <c r="Q120" s="127" t="n">
        <f aca="false">3.98+2*50*16/1000</f>
        <v>5.58</v>
      </c>
      <c r="R120" s="105" t="str">
        <f aca="false">IF(P120=6,N120*O120*Q120*0.222*1,IF(P120&gt;6,"",IF(P120&lt;6,"")))</f>
        <v/>
      </c>
      <c r="S120" s="106" t="str">
        <f aca="false">IF(P120=8,N120*O120*Q120*0.395*1,IF(P120&gt;8,"",IF(P120&lt;8,"")))</f>
        <v/>
      </c>
      <c r="T120" s="106" t="str">
        <f aca="false">IF(P120=10,N120*O120*Q120*0.617*1,IF(P120&gt;10,"",IF(P120&lt;10,"")))</f>
        <v/>
      </c>
      <c r="U120" s="106" t="str">
        <f aca="false">IF(P120=12,N120*O120*Q120*0.888*1,IF(P120&gt;12,"",IF(P120&lt;12,"")))</f>
        <v/>
      </c>
      <c r="V120" s="107" t="n">
        <f aca="false">IF(P120=16,N120*O120*Q120*1.578*1,IF(P120&gt;16,"",IF(P120&lt;16,"")))</f>
        <v>26.41572</v>
      </c>
      <c r="W120" s="106" t="str">
        <f aca="false">IF(P120=20,N120*O120*Q120*2.466*1,IF(P120&gt;20,"",IF(P120&lt;20,"")))</f>
        <v/>
      </c>
      <c r="X120" s="106" t="str">
        <f aca="false">IF(P120=25,N120*O120*Q120*3.853*1,IF(P120&gt;25,"",IF(P120&lt;25,"")))</f>
        <v/>
      </c>
      <c r="Y120" s="108" t="str">
        <f aca="false">IF(P120=32,N120*O120*Q120*6.313*1,IF(P120&gt;32,"",IF(P120&lt;32,"")))</f>
        <v/>
      </c>
      <c r="Z120" s="109"/>
      <c r="AA120" s="110" t="str">
        <f aca="false">IF(AC120&gt;0,N120,"")</f>
        <v/>
      </c>
      <c r="AB120" s="111" t="str">
        <f aca="false">IF(AC120&gt;0,O120,"")</f>
        <v/>
      </c>
      <c r="AC120" s="112"/>
      <c r="AD120" s="112"/>
      <c r="AE120" s="113" t="str">
        <f aca="false">IF(AC120&gt;0,P120,"")</f>
        <v/>
      </c>
      <c r="AF120" s="114" t="str">
        <f aca="false">IF(AE120=6,AA120*AB120*AC120*AD120*(AE120/1000)*0.222*1,IF(AE120&gt;6,"",IF(AE120&lt;6,"")))</f>
        <v/>
      </c>
      <c r="AG120" s="107" t="str">
        <f aca="false">IF(AE120=8,AA120*AB120*AC120*AD120*(AE120/1000)*0.395*1,IF(AE120&gt;8,"",IF(AE120&lt;8,"")))</f>
        <v/>
      </c>
      <c r="AH120" s="107" t="str">
        <f aca="false">IF(AE120=10,AA120*AB120*AC120*AD120*(AE120/1000)*0.617*1,IF(AE120&gt;10,"",IF(AE120&lt;10,"")))</f>
        <v/>
      </c>
      <c r="AI120" s="107" t="str">
        <f aca="false">IF(AE120=12,AA120*AB120*AC120*AD120*(AE120/1000)*0.888*1,IF(AE120&gt;12,"",IF(AE120&lt;12,"")))</f>
        <v/>
      </c>
      <c r="AJ120" s="107" t="str">
        <f aca="false">IF(AE120=16,AA120*AB120*AC120*AD120*(AE120/1000)*1.578*1,IF(AE120&gt;16,"",IF(AE120&lt;16,"")))</f>
        <v/>
      </c>
      <c r="AK120" s="107" t="str">
        <f aca="false">IF(AE120=20,AA120*AB120*AC120*AD120*(AE120/1000)*2.466*1,IF(AE120&gt;20,"",IF(AE120&lt;20,"")))</f>
        <v/>
      </c>
      <c r="AL120" s="107" t="str">
        <f aca="false">IF(AE120=25,AA120*AB120*AC120*AD120*(AE120/1000)*3.853*1,IF(AE120&gt;25,"",IF(AE120&lt;25,"")))</f>
        <v/>
      </c>
      <c r="AM120" s="115" t="str">
        <f aca="false">IF(AE120=32,AA120*AB120*AC120*AD120*(AE120/1000)*6.313*1,IF(AE120&gt;32,"",IF(AE120&lt;32,"")))</f>
        <v/>
      </c>
      <c r="AN120" s="128"/>
      <c r="AO120" s="117" t="s">
        <v>170</v>
      </c>
      <c r="AP120" s="118" t="n">
        <f aca="false">SUM(R120:Y120)+SUM(AN120)</f>
        <v>26.41572</v>
      </c>
      <c r="AQ120" s="118" t="n">
        <f aca="false">SUM(AF120:AM120)</f>
        <v>0</v>
      </c>
      <c r="AR120" s="118"/>
      <c r="AS120" s="119" t="s">
        <v>482</v>
      </c>
      <c r="AT120" s="119" t="s">
        <v>162</v>
      </c>
    </row>
    <row r="121" customFormat="false" ht="13.5" hidden="false" customHeight="false" outlineLevel="0" collapsed="false">
      <c r="A121" s="129"/>
      <c r="B121" s="172"/>
      <c r="C121" s="110"/>
      <c r="D121" s="122"/>
      <c r="E121" s="122"/>
      <c r="F121" s="173"/>
      <c r="G121" s="123"/>
      <c r="H121" s="101"/>
      <c r="I121" s="123"/>
      <c r="J121" s="101"/>
      <c r="K121" s="124" t="s">
        <v>486</v>
      </c>
      <c r="L121" s="125" t="n">
        <f aca="false">$F$118</f>
        <v>3.98</v>
      </c>
      <c r="M121" s="125" t="n">
        <v>0.125</v>
      </c>
      <c r="N121" s="126" t="n">
        <f aca="false">$C$118</f>
        <v>1</v>
      </c>
      <c r="O121" s="126" t="n">
        <f aca="false">CEILING(L121/M121,1)+1</f>
        <v>33</v>
      </c>
      <c r="P121" s="126" t="n">
        <v>8</v>
      </c>
      <c r="Q121" s="127" t="n">
        <f aca="false">2*($D$118-2*0.035)+2*($E$118-2*0.035)+20*8/1000</f>
        <v>1.38</v>
      </c>
      <c r="R121" s="105" t="str">
        <f aca="false">IF(P121=6,N121*O121*Q121*0.222*1,IF(P121&gt;6,"",IF(P121&lt;6,"")))</f>
        <v/>
      </c>
      <c r="S121" s="106" t="n">
        <f aca="false">IF(P121=8,N121*O121*Q121*0.395*1,IF(P121&gt;8,"",IF(P121&lt;8,"")))</f>
        <v>17.9883</v>
      </c>
      <c r="T121" s="106" t="str">
        <f aca="false">IF(P121=10,N121*O121*Q121*0.617*1,IF(P121&gt;10,"",IF(P121&lt;10,"")))</f>
        <v/>
      </c>
      <c r="U121" s="106" t="str">
        <f aca="false">IF(P121=12,N121*O121*Q121*0.888*1,IF(P121&gt;12,"",IF(P121&lt;12,"")))</f>
        <v/>
      </c>
      <c r="V121" s="107" t="str">
        <f aca="false">IF(P121=16,N121*O121*Q121*1.578*1,IF(P121&gt;16,"",IF(P121&lt;16,"")))</f>
        <v/>
      </c>
      <c r="W121" s="106" t="str">
        <f aca="false">IF(P121=20,N121*O121*Q121*2.466*1,IF(P121&gt;20,"",IF(P121&lt;20,"")))</f>
        <v/>
      </c>
      <c r="X121" s="106" t="str">
        <f aca="false">IF(P121=25,N121*O121*Q121*3.853*1,IF(P121&gt;25,"",IF(P121&lt;25,"")))</f>
        <v/>
      </c>
      <c r="Y121" s="108" t="str">
        <f aca="false">IF(P121=32,N121*O121*Q121*6.313*1,IF(P121&gt;32,"",IF(P121&lt;32,"")))</f>
        <v/>
      </c>
      <c r="Z121" s="109"/>
      <c r="AA121" s="110" t="str">
        <f aca="false">IF(AC121&gt;0,N121,"")</f>
        <v/>
      </c>
      <c r="AB121" s="111" t="str">
        <f aca="false">IF(AC121&gt;0,O121,"")</f>
        <v/>
      </c>
      <c r="AC121" s="112"/>
      <c r="AD121" s="112"/>
      <c r="AE121" s="113" t="str">
        <f aca="false">IF(AC121&gt;0,P121,"")</f>
        <v/>
      </c>
      <c r="AF121" s="114" t="str">
        <f aca="false">IF(AE121=6,AA121*AB121*AC121*AD121*(AE121/1000)*0.222*1,IF(AE121&gt;6,"",IF(AE121&lt;6,"")))</f>
        <v/>
      </c>
      <c r="AG121" s="107" t="str">
        <f aca="false">IF(AE121=8,AA121*AB121*AC121*AD121*(AE121/1000)*0.395*1,IF(AE121&gt;8,"",IF(AE121&lt;8,"")))</f>
        <v/>
      </c>
      <c r="AH121" s="107" t="str">
        <f aca="false">IF(AE121=10,AA121*AB121*AC121*AD121*(AE121/1000)*0.617*1,IF(AE121&gt;10,"",IF(AE121&lt;10,"")))</f>
        <v/>
      </c>
      <c r="AI121" s="107" t="str">
        <f aca="false">IF(AE121=12,AA121*AB121*AC121*AD121*(AE121/1000)*0.888*1,IF(AE121&gt;12,"",IF(AE121&lt;12,"")))</f>
        <v/>
      </c>
      <c r="AJ121" s="107" t="str">
        <f aca="false">IF(AE121=16,AA121*AB121*AC121*AD121*(AE121/1000)*1.578*1,IF(AE121&gt;16,"",IF(AE121&lt;16,"")))</f>
        <v/>
      </c>
      <c r="AK121" s="107" t="str">
        <f aca="false">IF(AE121=20,AA121*AB121*AC121*AD121*(AE121/1000)*2.466*1,IF(AE121&gt;20,"",IF(AE121&lt;20,"")))</f>
        <v/>
      </c>
      <c r="AL121" s="107" t="str">
        <f aca="false">IF(AE121=25,AA121*AB121*AC121*AD121*(AE121/1000)*3.853*1,IF(AE121&gt;25,"",IF(AE121&lt;25,"")))</f>
        <v/>
      </c>
      <c r="AM121" s="115" t="str">
        <f aca="false">IF(AE121=32,AA121*AB121*AC121*AD121*(AE121/1000)*6.313*1,IF(AE121&gt;32,"",IF(AE121&lt;32,"")))</f>
        <v/>
      </c>
      <c r="AN121" s="128"/>
      <c r="AO121" s="117" t="s">
        <v>170</v>
      </c>
      <c r="AP121" s="118" t="n">
        <f aca="false">SUM(R121:Y121)+SUM(AN121)</f>
        <v>17.9883</v>
      </c>
      <c r="AQ121" s="118" t="n">
        <f aca="false">SUM(AF121:AM121)</f>
        <v>0</v>
      </c>
      <c r="AR121" s="118"/>
      <c r="AS121" s="119"/>
      <c r="AT121" s="119" t="s">
        <v>162</v>
      </c>
    </row>
    <row r="122" customFormat="false" ht="13.5" hidden="false" customHeight="false" outlineLevel="0" collapsed="false">
      <c r="A122" s="129"/>
      <c r="B122" s="130"/>
      <c r="C122" s="110"/>
      <c r="D122" s="122"/>
      <c r="E122" s="122"/>
      <c r="F122" s="122"/>
      <c r="G122" s="123"/>
      <c r="H122" s="101"/>
      <c r="I122" s="123"/>
      <c r="J122" s="101"/>
      <c r="K122" s="124"/>
      <c r="L122" s="125"/>
      <c r="M122" s="125"/>
      <c r="N122" s="126"/>
      <c r="O122" s="126"/>
      <c r="P122" s="126"/>
      <c r="Q122" s="127"/>
      <c r="R122" s="105"/>
      <c r="S122" s="106"/>
      <c r="T122" s="106"/>
      <c r="U122" s="106"/>
      <c r="V122" s="107"/>
      <c r="W122" s="106"/>
      <c r="X122" s="106"/>
      <c r="Y122" s="108"/>
      <c r="Z122" s="109"/>
      <c r="AA122" s="110"/>
      <c r="AB122" s="111"/>
      <c r="AC122" s="112"/>
      <c r="AD122" s="112"/>
      <c r="AE122" s="113"/>
      <c r="AF122" s="114"/>
      <c r="AG122" s="107"/>
      <c r="AH122" s="107"/>
      <c r="AI122" s="107"/>
      <c r="AJ122" s="107"/>
      <c r="AK122" s="107"/>
      <c r="AL122" s="107"/>
      <c r="AM122" s="115"/>
      <c r="AO122" s="117"/>
      <c r="AP122" s="118"/>
      <c r="AQ122" s="118"/>
      <c r="AR122" s="118"/>
      <c r="AS122" s="119"/>
      <c r="AT122" s="119"/>
    </row>
    <row r="123" s="116" customFormat="true" ht="13.5" hidden="false" customHeight="false" outlineLevel="0" collapsed="false">
      <c r="A123" s="120"/>
      <c r="B123" s="121" t="s">
        <v>536</v>
      </c>
      <c r="C123" s="110" t="n">
        <v>1</v>
      </c>
      <c r="D123" s="122" t="n">
        <v>0.25</v>
      </c>
      <c r="E123" s="122" t="n">
        <v>0.5</v>
      </c>
      <c r="F123" s="122" t="n">
        <f aca="false">0.4975/(0.25*0.5)</f>
        <v>3.98</v>
      </c>
      <c r="G123" s="123" t="n">
        <f aca="false">C123*D123*E123*F123</f>
        <v>0.4975</v>
      </c>
      <c r="H123" s="101"/>
      <c r="I123" s="123" t="n">
        <f aca="false">C123*F123*(D123+(E123-0.2)+(E123))</f>
        <v>4.179</v>
      </c>
      <c r="J123" s="101"/>
      <c r="K123" s="124"/>
      <c r="L123" s="125"/>
      <c r="M123" s="125"/>
      <c r="N123" s="126"/>
      <c r="O123" s="126"/>
      <c r="P123" s="126"/>
      <c r="Q123" s="127"/>
      <c r="R123" s="105" t="str">
        <f aca="false">IF(P123=6,N123*O123*Q123*0.222*1,IF(P123&gt;6,"",IF(P123&lt;6,"")))</f>
        <v/>
      </c>
      <c r="S123" s="106" t="str">
        <f aca="false">IF(P123=8,N123*O123*Q123*0.395*1,IF(P123&gt;8,"",IF(P123&lt;8,"")))</f>
        <v/>
      </c>
      <c r="T123" s="106" t="str">
        <f aca="false">IF(P123=10,N123*O123*Q123*0.617*1,IF(P123&gt;10,"",IF(P123&lt;10,"")))</f>
        <v/>
      </c>
      <c r="U123" s="106" t="str">
        <f aca="false">IF(P123=12,N123*O123*Q123*0.888*1,IF(P123&gt;12,"",IF(P123&lt;12,"")))</f>
        <v/>
      </c>
      <c r="V123" s="107" t="str">
        <f aca="false">IF(P123=16,N123*O123*Q123*1.578*1,IF(P123&gt;16,"",IF(P123&lt;16,"")))</f>
        <v/>
      </c>
      <c r="W123" s="106" t="str">
        <f aca="false">IF(P123=20,N123*O123*Q123*2.466*1,IF(P123&gt;20,"",IF(P123&lt;20,"")))</f>
        <v/>
      </c>
      <c r="X123" s="106" t="str">
        <f aca="false">IF(P123=25,N123*O123*Q123*3.853*1,IF(P123&gt;25,"",IF(P123&lt;25,"")))</f>
        <v/>
      </c>
      <c r="Y123" s="108" t="str">
        <f aca="false">IF(P123=32,N123*O123*Q123*6.313*1,IF(P123&gt;32,"",IF(P123&lt;32,"")))</f>
        <v/>
      </c>
      <c r="Z123" s="109"/>
      <c r="AA123" s="110" t="str">
        <f aca="false">IF(AC123&gt;0,N123,"")</f>
        <v/>
      </c>
      <c r="AB123" s="111" t="str">
        <f aca="false">IF(AC123&gt;0,O123,"")</f>
        <v/>
      </c>
      <c r="AC123" s="112"/>
      <c r="AD123" s="112"/>
      <c r="AE123" s="113" t="str">
        <f aca="false">IF(AC123&gt;0,P123,"")</f>
        <v/>
      </c>
      <c r="AF123" s="114" t="str">
        <f aca="false">IF(AE123=6,AA123*AB123*AC123*AD123*(AE123/1000)*0.222*1,IF(AE123&gt;6,"",IF(AE123&lt;6,"")))</f>
        <v/>
      </c>
      <c r="AG123" s="107" t="str">
        <f aca="false">IF(AE123=8,AA123*AB123*AC123*AD123*(AE123/1000)*0.395*1,IF(AE123&gt;8,"",IF(AE123&lt;8,"")))</f>
        <v/>
      </c>
      <c r="AH123" s="107" t="str">
        <f aca="false">IF(AE123=10,AA123*AB123*AC123*AD123*(AE123/1000)*0.617*1,IF(AE123&gt;10,"",IF(AE123&lt;10,"")))</f>
        <v/>
      </c>
      <c r="AI123" s="107" t="str">
        <f aca="false">IF(AE123=12,AA123*AB123*AC123*AD123*(AE123/1000)*0.888*1,IF(AE123&gt;12,"",IF(AE123&lt;12,"")))</f>
        <v/>
      </c>
      <c r="AJ123" s="107" t="str">
        <f aca="false">IF(AE123=16,AA123*AB123*AC123*AD123*(AE123/1000)*1.578*1,IF(AE123&gt;16,"",IF(AE123&lt;16,"")))</f>
        <v/>
      </c>
      <c r="AK123" s="107" t="str">
        <f aca="false">IF(AE123=20,AA123*AB123*AC123*AD123*(AE123/1000)*2.466*1,IF(AE123&gt;20,"",IF(AE123&lt;20,"")))</f>
        <v/>
      </c>
      <c r="AL123" s="107" t="str">
        <f aca="false">IF(AE123=25,AA123*AB123*AC123*AD123*(AE123/1000)*3.853*1,IF(AE123&gt;25,"",IF(AE123&lt;25,"")))</f>
        <v/>
      </c>
      <c r="AM123" s="115" t="str">
        <f aca="false">IF(AE123=32,AA123*AB123*AC123*AD123*(AE123/1000)*6.313*1,IF(AE123&gt;32,"",IF(AE123&lt;32,"")))</f>
        <v/>
      </c>
      <c r="AN123" s="128"/>
      <c r="AO123" s="117" t="s">
        <v>170</v>
      </c>
      <c r="AP123" s="118" t="n">
        <f aca="false">SUM(R123:Y123)+SUM(AN123)</f>
        <v>0</v>
      </c>
      <c r="AQ123" s="118" t="n">
        <f aca="false">SUM(AF123:AM123)</f>
        <v>0</v>
      </c>
      <c r="AR123" s="118" t="n">
        <v>0.4975</v>
      </c>
      <c r="AS123" s="119" t="s">
        <v>537</v>
      </c>
      <c r="AT123" s="119" t="s">
        <v>209</v>
      </c>
    </row>
    <row r="124" customFormat="false" ht="13.5" hidden="false" customHeight="false" outlineLevel="0" collapsed="false">
      <c r="A124" s="129"/>
      <c r="B124" s="172"/>
      <c r="C124" s="110"/>
      <c r="D124" s="122"/>
      <c r="E124" s="122"/>
      <c r="F124" s="173"/>
      <c r="G124" s="123"/>
      <c r="H124" s="101"/>
      <c r="I124" s="123"/>
      <c r="J124" s="101"/>
      <c r="K124" s="124" t="s">
        <v>305</v>
      </c>
      <c r="L124" s="125"/>
      <c r="M124" s="125"/>
      <c r="N124" s="126" t="n">
        <f aca="false">$C$123</f>
        <v>1</v>
      </c>
      <c r="O124" s="126" t="n">
        <v>3</v>
      </c>
      <c r="P124" s="126" t="n">
        <v>16</v>
      </c>
      <c r="Q124" s="127" t="n">
        <f aca="false">3.98+2*50*16/1000</f>
        <v>5.58</v>
      </c>
      <c r="R124" s="105" t="str">
        <f aca="false">IF(P124=6,N124*O124*Q124*0.222*1,IF(P124&gt;6,"",IF(P124&lt;6,"")))</f>
        <v/>
      </c>
      <c r="S124" s="106" t="str">
        <f aca="false">IF(P124=8,N124*O124*Q124*0.395*1,IF(P124&gt;8,"",IF(P124&lt;8,"")))</f>
        <v/>
      </c>
      <c r="T124" s="106" t="str">
        <f aca="false">IF(P124=10,N124*O124*Q124*0.617*1,IF(P124&gt;10,"",IF(P124&lt;10,"")))</f>
        <v/>
      </c>
      <c r="U124" s="106" t="str">
        <f aca="false">IF(P124=12,N124*O124*Q124*0.888*1,IF(P124&gt;12,"",IF(P124&lt;12,"")))</f>
        <v/>
      </c>
      <c r="V124" s="107" t="n">
        <f aca="false">IF(P124=16,N124*O124*Q124*1.578*1,IF(P124&gt;16,"",IF(P124&lt;16,"")))</f>
        <v>26.41572</v>
      </c>
      <c r="W124" s="106" t="str">
        <f aca="false">IF(P124=20,N124*O124*Q124*2.466*1,IF(P124&gt;20,"",IF(P124&lt;20,"")))</f>
        <v/>
      </c>
      <c r="X124" s="106" t="str">
        <f aca="false">IF(P124=25,N124*O124*Q124*3.853*1,IF(P124&gt;25,"",IF(P124&lt;25,"")))</f>
        <v/>
      </c>
      <c r="Y124" s="108" t="str">
        <f aca="false">IF(P124=32,N124*O124*Q124*6.313*1,IF(P124&gt;32,"",IF(P124&lt;32,"")))</f>
        <v/>
      </c>
      <c r="Z124" s="109"/>
      <c r="AA124" s="110" t="str">
        <f aca="false">IF(AC124&gt;0,N124,"")</f>
        <v/>
      </c>
      <c r="AB124" s="111" t="str">
        <f aca="false">IF(AC124&gt;0,O124,"")</f>
        <v/>
      </c>
      <c r="AC124" s="112"/>
      <c r="AD124" s="112"/>
      <c r="AE124" s="113" t="str">
        <f aca="false">IF(AC124&gt;0,P124,"")</f>
        <v/>
      </c>
      <c r="AF124" s="114" t="str">
        <f aca="false">IF(AE124=6,AA124*AB124*AC124*AD124*(AE124/1000)*0.222*1,IF(AE124&gt;6,"",IF(AE124&lt;6,"")))</f>
        <v/>
      </c>
      <c r="AG124" s="107" t="str">
        <f aca="false">IF(AE124=8,AA124*AB124*AC124*AD124*(AE124/1000)*0.395*1,IF(AE124&gt;8,"",IF(AE124&lt;8,"")))</f>
        <v/>
      </c>
      <c r="AH124" s="107" t="str">
        <f aca="false">IF(AE124=10,AA124*AB124*AC124*AD124*(AE124/1000)*0.617*1,IF(AE124&gt;10,"",IF(AE124&lt;10,"")))</f>
        <v/>
      </c>
      <c r="AI124" s="107" t="str">
        <f aca="false">IF(AE124=12,AA124*AB124*AC124*AD124*(AE124/1000)*0.888*1,IF(AE124&gt;12,"",IF(AE124&lt;12,"")))</f>
        <v/>
      </c>
      <c r="AJ124" s="107" t="str">
        <f aca="false">IF(AE124=16,AA124*AB124*AC124*AD124*(AE124/1000)*1.578*1,IF(AE124&gt;16,"",IF(AE124&lt;16,"")))</f>
        <v/>
      </c>
      <c r="AK124" s="107" t="str">
        <f aca="false">IF(AE124=20,AA124*AB124*AC124*AD124*(AE124/1000)*2.466*1,IF(AE124&gt;20,"",IF(AE124&lt;20,"")))</f>
        <v/>
      </c>
      <c r="AL124" s="107" t="str">
        <f aca="false">IF(AE124=25,AA124*AB124*AC124*AD124*(AE124/1000)*3.853*1,IF(AE124&gt;25,"",IF(AE124&lt;25,"")))</f>
        <v/>
      </c>
      <c r="AM124" s="115" t="str">
        <f aca="false">IF(AE124=32,AA124*AB124*AC124*AD124*(AE124/1000)*6.313*1,IF(AE124&gt;32,"",IF(AE124&lt;32,"")))</f>
        <v/>
      </c>
      <c r="AN124" s="128"/>
      <c r="AO124" s="117" t="s">
        <v>170</v>
      </c>
      <c r="AP124" s="118" t="n">
        <f aca="false">SUM(R124:Y124)+SUM(AN124)</f>
        <v>26.41572</v>
      </c>
      <c r="AQ124" s="118" t="n">
        <f aca="false">SUM(AF124:AM124)</f>
        <v>0</v>
      </c>
      <c r="AR124" s="118"/>
      <c r="AS124" s="119" t="s">
        <v>482</v>
      </c>
      <c r="AT124" s="119" t="s">
        <v>162</v>
      </c>
    </row>
    <row r="125" customFormat="false" ht="13.5" hidden="false" customHeight="false" outlineLevel="0" collapsed="false">
      <c r="A125" s="129"/>
      <c r="B125" s="172"/>
      <c r="C125" s="110"/>
      <c r="D125" s="122"/>
      <c r="E125" s="122"/>
      <c r="F125" s="173"/>
      <c r="G125" s="123"/>
      <c r="H125" s="101"/>
      <c r="I125" s="123"/>
      <c r="J125" s="101"/>
      <c r="K125" s="124" t="s">
        <v>306</v>
      </c>
      <c r="L125" s="125"/>
      <c r="M125" s="125"/>
      <c r="N125" s="126" t="n">
        <f aca="false">$C$123</f>
        <v>1</v>
      </c>
      <c r="O125" s="126" t="n">
        <v>3</v>
      </c>
      <c r="P125" s="126" t="n">
        <v>16</v>
      </c>
      <c r="Q125" s="127" t="n">
        <f aca="false">3.98+2*50*16/1000</f>
        <v>5.58</v>
      </c>
      <c r="R125" s="105" t="str">
        <f aca="false">IF(P125=6,N125*O125*Q125*0.222*1,IF(P125&gt;6,"",IF(P125&lt;6,"")))</f>
        <v/>
      </c>
      <c r="S125" s="106" t="str">
        <f aca="false">IF(P125=8,N125*O125*Q125*0.395*1,IF(P125&gt;8,"",IF(P125&lt;8,"")))</f>
        <v/>
      </c>
      <c r="T125" s="106" t="str">
        <f aca="false">IF(P125=10,N125*O125*Q125*0.617*1,IF(P125&gt;10,"",IF(P125&lt;10,"")))</f>
        <v/>
      </c>
      <c r="U125" s="106" t="str">
        <f aca="false">IF(P125=12,N125*O125*Q125*0.888*1,IF(P125&gt;12,"",IF(P125&lt;12,"")))</f>
        <v/>
      </c>
      <c r="V125" s="107" t="n">
        <f aca="false">IF(P125=16,N125*O125*Q125*1.578*1,IF(P125&gt;16,"",IF(P125&lt;16,"")))</f>
        <v>26.41572</v>
      </c>
      <c r="W125" s="106" t="str">
        <f aca="false">IF(P125=20,N125*O125*Q125*2.466*1,IF(P125&gt;20,"",IF(P125&lt;20,"")))</f>
        <v/>
      </c>
      <c r="X125" s="106" t="str">
        <f aca="false">IF(P125=25,N125*O125*Q125*3.853*1,IF(P125&gt;25,"",IF(P125&lt;25,"")))</f>
        <v/>
      </c>
      <c r="Y125" s="108" t="str">
        <f aca="false">IF(P125=32,N125*O125*Q125*6.313*1,IF(P125&gt;32,"",IF(P125&lt;32,"")))</f>
        <v/>
      </c>
      <c r="Z125" s="109"/>
      <c r="AA125" s="110" t="str">
        <f aca="false">IF(AC125&gt;0,N125,"")</f>
        <v/>
      </c>
      <c r="AB125" s="111" t="str">
        <f aca="false">IF(AC125&gt;0,O125,"")</f>
        <v/>
      </c>
      <c r="AC125" s="112"/>
      <c r="AD125" s="112"/>
      <c r="AE125" s="113" t="str">
        <f aca="false">IF(AC125&gt;0,P125,"")</f>
        <v/>
      </c>
      <c r="AF125" s="114" t="str">
        <f aca="false">IF(AE125=6,AA125*AB125*AC125*AD125*(AE125/1000)*0.222*1,IF(AE125&gt;6,"",IF(AE125&lt;6,"")))</f>
        <v/>
      </c>
      <c r="AG125" s="107" t="str">
        <f aca="false">IF(AE125=8,AA125*AB125*AC125*AD125*(AE125/1000)*0.395*1,IF(AE125&gt;8,"",IF(AE125&lt;8,"")))</f>
        <v/>
      </c>
      <c r="AH125" s="107" t="str">
        <f aca="false">IF(AE125=10,AA125*AB125*AC125*AD125*(AE125/1000)*0.617*1,IF(AE125&gt;10,"",IF(AE125&lt;10,"")))</f>
        <v/>
      </c>
      <c r="AI125" s="107" t="str">
        <f aca="false">IF(AE125=12,AA125*AB125*AC125*AD125*(AE125/1000)*0.888*1,IF(AE125&gt;12,"",IF(AE125&lt;12,"")))</f>
        <v/>
      </c>
      <c r="AJ125" s="107" t="str">
        <f aca="false">IF(AE125=16,AA125*AB125*AC125*AD125*(AE125/1000)*1.578*1,IF(AE125&gt;16,"",IF(AE125&lt;16,"")))</f>
        <v/>
      </c>
      <c r="AK125" s="107" t="str">
        <f aca="false">IF(AE125=20,AA125*AB125*AC125*AD125*(AE125/1000)*2.466*1,IF(AE125&gt;20,"",IF(AE125&lt;20,"")))</f>
        <v/>
      </c>
      <c r="AL125" s="107" t="str">
        <f aca="false">IF(AE125=25,AA125*AB125*AC125*AD125*(AE125/1000)*3.853*1,IF(AE125&gt;25,"",IF(AE125&lt;25,"")))</f>
        <v/>
      </c>
      <c r="AM125" s="115" t="str">
        <f aca="false">IF(AE125=32,AA125*AB125*AC125*AD125*(AE125/1000)*6.313*1,IF(AE125&gt;32,"",IF(AE125&lt;32,"")))</f>
        <v/>
      </c>
      <c r="AN125" s="128"/>
      <c r="AO125" s="117" t="s">
        <v>170</v>
      </c>
      <c r="AP125" s="118" t="n">
        <f aca="false">SUM(R125:Y125)+SUM(AN125)</f>
        <v>26.41572</v>
      </c>
      <c r="AQ125" s="118" t="n">
        <f aca="false">SUM(AF125:AM125)</f>
        <v>0</v>
      </c>
      <c r="AR125" s="118"/>
      <c r="AS125" s="119" t="s">
        <v>482</v>
      </c>
      <c r="AT125" s="119" t="s">
        <v>162</v>
      </c>
    </row>
    <row r="126" customFormat="false" ht="13.5" hidden="false" customHeight="false" outlineLevel="0" collapsed="false">
      <c r="A126" s="129"/>
      <c r="B126" s="172"/>
      <c r="C126" s="110"/>
      <c r="D126" s="122"/>
      <c r="E126" s="122"/>
      <c r="F126" s="173"/>
      <c r="G126" s="123"/>
      <c r="H126" s="101"/>
      <c r="I126" s="123"/>
      <c r="J126" s="101"/>
      <c r="K126" s="124" t="s">
        <v>486</v>
      </c>
      <c r="L126" s="125" t="n">
        <f aca="false">$F$123</f>
        <v>3.98</v>
      </c>
      <c r="M126" s="125" t="n">
        <v>0.125</v>
      </c>
      <c r="N126" s="126" t="n">
        <f aca="false">$C$123</f>
        <v>1</v>
      </c>
      <c r="O126" s="126" t="n">
        <f aca="false">CEILING(L126/M126,1)+1</f>
        <v>33</v>
      </c>
      <c r="P126" s="126" t="n">
        <v>8</v>
      </c>
      <c r="Q126" s="127" t="n">
        <f aca="false">2*($D$123-2*0.035)+2*($E$123-2*0.035)+20*8/1000</f>
        <v>1.38</v>
      </c>
      <c r="R126" s="105" t="str">
        <f aca="false">IF(P126=6,N126*O126*Q126*0.222*1,IF(P126&gt;6,"",IF(P126&lt;6,"")))</f>
        <v/>
      </c>
      <c r="S126" s="106" t="n">
        <f aca="false">IF(P126=8,N126*O126*Q126*0.395*1,IF(P126&gt;8,"",IF(P126&lt;8,"")))</f>
        <v>17.9883</v>
      </c>
      <c r="T126" s="106" t="str">
        <f aca="false">IF(P126=10,N126*O126*Q126*0.617*1,IF(P126&gt;10,"",IF(P126&lt;10,"")))</f>
        <v/>
      </c>
      <c r="U126" s="106" t="str">
        <f aca="false">IF(P126=12,N126*O126*Q126*0.888*1,IF(P126&gt;12,"",IF(P126&lt;12,"")))</f>
        <v/>
      </c>
      <c r="V126" s="107" t="str">
        <f aca="false">IF(P126=16,N126*O126*Q126*1.578*1,IF(P126&gt;16,"",IF(P126&lt;16,"")))</f>
        <v/>
      </c>
      <c r="W126" s="106" t="str">
        <f aca="false">IF(P126=20,N126*O126*Q126*2.466*1,IF(P126&gt;20,"",IF(P126&lt;20,"")))</f>
        <v/>
      </c>
      <c r="X126" s="106" t="str">
        <f aca="false">IF(P126=25,N126*O126*Q126*3.853*1,IF(P126&gt;25,"",IF(P126&lt;25,"")))</f>
        <v/>
      </c>
      <c r="Y126" s="108" t="str">
        <f aca="false">IF(P126=32,N126*O126*Q126*6.313*1,IF(P126&gt;32,"",IF(P126&lt;32,"")))</f>
        <v/>
      </c>
      <c r="Z126" s="109"/>
      <c r="AA126" s="110" t="str">
        <f aca="false">IF(AC126&gt;0,N126,"")</f>
        <v/>
      </c>
      <c r="AB126" s="111" t="str">
        <f aca="false">IF(AC126&gt;0,O126,"")</f>
        <v/>
      </c>
      <c r="AC126" s="112"/>
      <c r="AD126" s="112"/>
      <c r="AE126" s="113" t="str">
        <f aca="false">IF(AC126&gt;0,P126,"")</f>
        <v/>
      </c>
      <c r="AF126" s="114" t="str">
        <f aca="false">IF(AE126=6,AA126*AB126*AC126*AD126*(AE126/1000)*0.222*1,IF(AE126&gt;6,"",IF(AE126&lt;6,"")))</f>
        <v/>
      </c>
      <c r="AG126" s="107" t="str">
        <f aca="false">IF(AE126=8,AA126*AB126*AC126*AD126*(AE126/1000)*0.395*1,IF(AE126&gt;8,"",IF(AE126&lt;8,"")))</f>
        <v/>
      </c>
      <c r="AH126" s="107" t="str">
        <f aca="false">IF(AE126=10,AA126*AB126*AC126*AD126*(AE126/1000)*0.617*1,IF(AE126&gt;10,"",IF(AE126&lt;10,"")))</f>
        <v/>
      </c>
      <c r="AI126" s="107" t="str">
        <f aca="false">IF(AE126=12,AA126*AB126*AC126*AD126*(AE126/1000)*0.888*1,IF(AE126&gt;12,"",IF(AE126&lt;12,"")))</f>
        <v/>
      </c>
      <c r="AJ126" s="107" t="str">
        <f aca="false">IF(AE126=16,AA126*AB126*AC126*AD126*(AE126/1000)*1.578*1,IF(AE126&gt;16,"",IF(AE126&lt;16,"")))</f>
        <v/>
      </c>
      <c r="AK126" s="107" t="str">
        <f aca="false">IF(AE126=20,AA126*AB126*AC126*AD126*(AE126/1000)*2.466*1,IF(AE126&gt;20,"",IF(AE126&lt;20,"")))</f>
        <v/>
      </c>
      <c r="AL126" s="107" t="str">
        <f aca="false">IF(AE126=25,AA126*AB126*AC126*AD126*(AE126/1000)*3.853*1,IF(AE126&gt;25,"",IF(AE126&lt;25,"")))</f>
        <v/>
      </c>
      <c r="AM126" s="115" t="str">
        <f aca="false">IF(AE126=32,AA126*AB126*AC126*AD126*(AE126/1000)*6.313*1,IF(AE126&gt;32,"",IF(AE126&lt;32,"")))</f>
        <v/>
      </c>
      <c r="AN126" s="128"/>
      <c r="AO126" s="117" t="s">
        <v>170</v>
      </c>
      <c r="AP126" s="118" t="n">
        <f aca="false">SUM(R126:Y126)+SUM(AN126)</f>
        <v>17.9883</v>
      </c>
      <c r="AQ126" s="118" t="n">
        <f aca="false">SUM(AF126:AM126)</f>
        <v>0</v>
      </c>
      <c r="AR126" s="118"/>
      <c r="AS126" s="119"/>
      <c r="AT126" s="119" t="s">
        <v>162</v>
      </c>
    </row>
    <row r="127" customFormat="false" ht="13.5" hidden="false" customHeight="false" outlineLevel="0" collapsed="false">
      <c r="A127" s="129"/>
      <c r="B127" s="130"/>
      <c r="C127" s="110"/>
      <c r="D127" s="122"/>
      <c r="E127" s="122"/>
      <c r="F127" s="122"/>
      <c r="G127" s="123"/>
      <c r="H127" s="101"/>
      <c r="I127" s="123"/>
      <c r="J127" s="101"/>
      <c r="K127" s="124"/>
      <c r="L127" s="125"/>
      <c r="M127" s="125"/>
      <c r="N127" s="126"/>
      <c r="O127" s="126"/>
      <c r="P127" s="126"/>
      <c r="Q127" s="127"/>
      <c r="R127" s="105"/>
      <c r="S127" s="106"/>
      <c r="T127" s="106"/>
      <c r="U127" s="106"/>
      <c r="V127" s="107"/>
      <c r="W127" s="106"/>
      <c r="X127" s="106"/>
      <c r="Y127" s="108"/>
      <c r="Z127" s="109"/>
      <c r="AA127" s="110"/>
      <c r="AB127" s="111"/>
      <c r="AC127" s="112"/>
      <c r="AD127" s="112"/>
      <c r="AE127" s="113"/>
      <c r="AF127" s="114"/>
      <c r="AG127" s="107"/>
      <c r="AH127" s="107"/>
      <c r="AI127" s="107"/>
      <c r="AJ127" s="107"/>
      <c r="AK127" s="107"/>
      <c r="AL127" s="107"/>
      <c r="AM127" s="115"/>
      <c r="AO127" s="117"/>
      <c r="AP127" s="118"/>
      <c r="AQ127" s="118"/>
      <c r="AR127" s="118"/>
      <c r="AS127" s="119"/>
      <c r="AT127" s="119"/>
    </row>
    <row r="128" customFormat="false" ht="13.5" hidden="false" customHeight="false" outlineLevel="0" collapsed="false">
      <c r="A128" s="120"/>
      <c r="B128" s="121" t="s">
        <v>538</v>
      </c>
      <c r="C128" s="110" t="n">
        <v>1</v>
      </c>
      <c r="D128" s="122" t="n">
        <v>0.25</v>
      </c>
      <c r="E128" s="122" t="n">
        <v>0.5</v>
      </c>
      <c r="F128" s="122" t="n">
        <f aca="false">0.7925/(0.25*0.5)</f>
        <v>6.34</v>
      </c>
      <c r="G128" s="123" t="n">
        <f aca="false">C128*D128*E128*F128</f>
        <v>0.7925</v>
      </c>
      <c r="H128" s="101"/>
      <c r="I128" s="123" t="n">
        <f aca="false">C128*F128*(D128+(E128-0.2)+(E128))</f>
        <v>6.657</v>
      </c>
      <c r="J128" s="101"/>
      <c r="K128" s="124"/>
      <c r="L128" s="125"/>
      <c r="M128" s="125"/>
      <c r="N128" s="126"/>
      <c r="O128" s="126"/>
      <c r="P128" s="126"/>
      <c r="Q128" s="127"/>
      <c r="R128" s="105" t="str">
        <f aca="false">IF(P128=6,N128*O128*Q128*0.222*1,IF(P128&gt;6,"",IF(P128&lt;6,"")))</f>
        <v/>
      </c>
      <c r="S128" s="106" t="str">
        <f aca="false">IF(P128=8,N128*O128*Q128*0.395*1,IF(P128&gt;8,"",IF(P128&lt;8,"")))</f>
        <v/>
      </c>
      <c r="T128" s="106" t="str">
        <f aca="false">IF(P128=10,N128*O128*Q128*0.617*1,IF(P128&gt;10,"",IF(P128&lt;10,"")))</f>
        <v/>
      </c>
      <c r="U128" s="106" t="str">
        <f aca="false">IF(P128=12,N128*O128*Q128*0.888*1,IF(P128&gt;12,"",IF(P128&lt;12,"")))</f>
        <v/>
      </c>
      <c r="V128" s="107" t="str">
        <f aca="false">IF(P128=16,N128*O128*Q128*1.578*1,IF(P128&gt;16,"",IF(P128&lt;16,"")))</f>
        <v/>
      </c>
      <c r="W128" s="106" t="str">
        <f aca="false">IF(P128=20,N128*O128*Q128*2.466*1,IF(P128&gt;20,"",IF(P128&lt;20,"")))</f>
        <v/>
      </c>
      <c r="X128" s="106" t="str">
        <f aca="false">IF(P128=25,N128*O128*Q128*3.853*1,IF(P128&gt;25,"",IF(P128&lt;25,"")))</f>
        <v/>
      </c>
      <c r="Y128" s="108" t="str">
        <f aca="false">IF(P128=32,N128*O128*Q128*6.313*1,IF(P128&gt;32,"",IF(P128&lt;32,"")))</f>
        <v/>
      </c>
      <c r="Z128" s="109"/>
      <c r="AA128" s="110" t="str">
        <f aca="false">IF(AC128&gt;0,N128,"")</f>
        <v/>
      </c>
      <c r="AB128" s="111" t="str">
        <f aca="false">IF(AC128&gt;0,O128,"")</f>
        <v/>
      </c>
      <c r="AC128" s="112"/>
      <c r="AD128" s="112"/>
      <c r="AE128" s="113" t="str">
        <f aca="false">IF(AC128&gt;0,P128,"")</f>
        <v/>
      </c>
      <c r="AF128" s="114" t="str">
        <f aca="false">IF(AE128=6,AA128*AB128*AC128*AD128*(AE128/1000)*0.222*1,IF(AE128&gt;6,"",IF(AE128&lt;6,"")))</f>
        <v/>
      </c>
      <c r="AG128" s="107" t="str">
        <f aca="false">IF(AE128=8,AA128*AB128*AC128*AD128*(AE128/1000)*0.395*1,IF(AE128&gt;8,"",IF(AE128&lt;8,"")))</f>
        <v/>
      </c>
      <c r="AH128" s="107" t="str">
        <f aca="false">IF(AE128=10,AA128*AB128*AC128*AD128*(AE128/1000)*0.617*1,IF(AE128&gt;10,"",IF(AE128&lt;10,"")))</f>
        <v/>
      </c>
      <c r="AI128" s="107" t="str">
        <f aca="false">IF(AE128=12,AA128*AB128*AC128*AD128*(AE128/1000)*0.888*1,IF(AE128&gt;12,"",IF(AE128&lt;12,"")))</f>
        <v/>
      </c>
      <c r="AJ128" s="107" t="str">
        <f aca="false">IF(AE128=16,AA128*AB128*AC128*AD128*(AE128/1000)*1.578*1,IF(AE128&gt;16,"",IF(AE128&lt;16,"")))</f>
        <v/>
      </c>
      <c r="AK128" s="107" t="str">
        <f aca="false">IF(AE128=20,AA128*AB128*AC128*AD128*(AE128/1000)*2.466*1,IF(AE128&gt;20,"",IF(AE128&lt;20,"")))</f>
        <v/>
      </c>
      <c r="AL128" s="107" t="str">
        <f aca="false">IF(AE128=25,AA128*AB128*AC128*AD128*(AE128/1000)*3.853*1,IF(AE128&gt;25,"",IF(AE128&lt;25,"")))</f>
        <v/>
      </c>
      <c r="AM128" s="115" t="str">
        <f aca="false">IF(AE128=32,AA128*AB128*AC128*AD128*(AE128/1000)*6.313*1,IF(AE128&gt;32,"",IF(AE128&lt;32,"")))</f>
        <v/>
      </c>
      <c r="AN128" s="128"/>
      <c r="AO128" s="117" t="s">
        <v>170</v>
      </c>
      <c r="AP128" s="118" t="n">
        <f aca="false">SUM(R128:Y128)+SUM(AN128)</f>
        <v>0</v>
      </c>
      <c r="AQ128" s="118" t="n">
        <f aca="false">SUM(AF128:AM128)</f>
        <v>0</v>
      </c>
      <c r="AR128" s="118" t="n">
        <v>0.7925</v>
      </c>
      <c r="AS128" s="119" t="s">
        <v>539</v>
      </c>
      <c r="AT128" s="119" t="s">
        <v>209</v>
      </c>
    </row>
    <row r="129" customFormat="false" ht="13.5" hidden="false" customHeight="false" outlineLevel="0" collapsed="false">
      <c r="A129" s="129"/>
      <c r="B129" s="172"/>
      <c r="C129" s="110"/>
      <c r="D129" s="122"/>
      <c r="E129" s="122"/>
      <c r="F129" s="173"/>
      <c r="G129" s="123"/>
      <c r="H129" s="101"/>
      <c r="I129" s="123"/>
      <c r="J129" s="101"/>
      <c r="K129" s="124" t="s">
        <v>305</v>
      </c>
      <c r="L129" s="125"/>
      <c r="M129" s="125"/>
      <c r="N129" s="126" t="n">
        <f aca="false">$C$128</f>
        <v>1</v>
      </c>
      <c r="O129" s="126" t="n">
        <v>3</v>
      </c>
      <c r="P129" s="126" t="n">
        <v>16</v>
      </c>
      <c r="Q129" s="127" t="n">
        <f aca="false">6.34+2*50*16/1000</f>
        <v>7.94</v>
      </c>
      <c r="R129" s="105" t="str">
        <f aca="false">IF(P129=6,N129*O129*Q129*0.222*1,IF(P129&gt;6,"",IF(P129&lt;6,"")))</f>
        <v/>
      </c>
      <c r="S129" s="106" t="str">
        <f aca="false">IF(P129=8,N129*O129*Q129*0.395*1,IF(P129&gt;8,"",IF(P129&lt;8,"")))</f>
        <v/>
      </c>
      <c r="T129" s="106" t="str">
        <f aca="false">IF(P129=10,N129*O129*Q129*0.617*1,IF(P129&gt;10,"",IF(P129&lt;10,"")))</f>
        <v/>
      </c>
      <c r="U129" s="106" t="str">
        <f aca="false">IF(P129=12,N129*O129*Q129*0.888*1,IF(P129&gt;12,"",IF(P129&lt;12,"")))</f>
        <v/>
      </c>
      <c r="V129" s="107" t="n">
        <f aca="false">IF(P129=16,N129*O129*Q129*1.578*1,IF(P129&gt;16,"",IF(P129&lt;16,"")))</f>
        <v>37.58796</v>
      </c>
      <c r="W129" s="106" t="str">
        <f aca="false">IF(P129=20,N129*O129*Q129*2.466*1,IF(P129&gt;20,"",IF(P129&lt;20,"")))</f>
        <v/>
      </c>
      <c r="X129" s="106" t="str">
        <f aca="false">IF(P129=25,N129*O129*Q129*3.853*1,IF(P129&gt;25,"",IF(P129&lt;25,"")))</f>
        <v/>
      </c>
      <c r="Y129" s="108" t="str">
        <f aca="false">IF(P129=32,N129*O129*Q129*6.313*1,IF(P129&gt;32,"",IF(P129&lt;32,"")))</f>
        <v/>
      </c>
      <c r="Z129" s="109"/>
      <c r="AA129" s="110" t="str">
        <f aca="false">IF(AC129&gt;0,N129,"")</f>
        <v/>
      </c>
      <c r="AB129" s="111" t="str">
        <f aca="false">IF(AC129&gt;0,O129,"")</f>
        <v/>
      </c>
      <c r="AC129" s="112"/>
      <c r="AD129" s="112"/>
      <c r="AE129" s="113" t="str">
        <f aca="false">IF(AC129&gt;0,P129,"")</f>
        <v/>
      </c>
      <c r="AF129" s="114" t="str">
        <f aca="false">IF(AE129=6,AA129*AB129*AC129*AD129*(AE129/1000)*0.222*1,IF(AE129&gt;6,"",IF(AE129&lt;6,"")))</f>
        <v/>
      </c>
      <c r="AG129" s="107" t="str">
        <f aca="false">IF(AE129=8,AA129*AB129*AC129*AD129*(AE129/1000)*0.395*1,IF(AE129&gt;8,"",IF(AE129&lt;8,"")))</f>
        <v/>
      </c>
      <c r="AH129" s="107" t="str">
        <f aca="false">IF(AE129=10,AA129*AB129*AC129*AD129*(AE129/1000)*0.617*1,IF(AE129&gt;10,"",IF(AE129&lt;10,"")))</f>
        <v/>
      </c>
      <c r="AI129" s="107" t="str">
        <f aca="false">IF(AE129=12,AA129*AB129*AC129*AD129*(AE129/1000)*0.888*1,IF(AE129&gt;12,"",IF(AE129&lt;12,"")))</f>
        <v/>
      </c>
      <c r="AJ129" s="107" t="str">
        <f aca="false">IF(AE129=16,AA129*AB129*AC129*AD129*(AE129/1000)*1.578*1,IF(AE129&gt;16,"",IF(AE129&lt;16,"")))</f>
        <v/>
      </c>
      <c r="AK129" s="107" t="str">
        <f aca="false">IF(AE129=20,AA129*AB129*AC129*AD129*(AE129/1000)*2.466*1,IF(AE129&gt;20,"",IF(AE129&lt;20,"")))</f>
        <v/>
      </c>
      <c r="AL129" s="107" t="str">
        <f aca="false">IF(AE129=25,AA129*AB129*AC129*AD129*(AE129/1000)*3.853*1,IF(AE129&gt;25,"",IF(AE129&lt;25,"")))</f>
        <v/>
      </c>
      <c r="AM129" s="115" t="str">
        <f aca="false">IF(AE129=32,AA129*AB129*AC129*AD129*(AE129/1000)*6.313*1,IF(AE129&gt;32,"",IF(AE129&lt;32,"")))</f>
        <v/>
      </c>
      <c r="AN129" s="128"/>
      <c r="AO129" s="117" t="s">
        <v>170</v>
      </c>
      <c r="AP129" s="118" t="n">
        <f aca="false">SUM(R129:Y129)+SUM(AN129)</f>
        <v>37.58796</v>
      </c>
      <c r="AQ129" s="118" t="n">
        <f aca="false">SUM(AF129:AM129)</f>
        <v>0</v>
      </c>
      <c r="AR129" s="118"/>
      <c r="AS129" s="119" t="s">
        <v>482</v>
      </c>
      <c r="AT129" s="119" t="s">
        <v>162</v>
      </c>
    </row>
    <row r="130" s="116" customFormat="true" ht="13.5" hidden="false" customHeight="false" outlineLevel="0" collapsed="false">
      <c r="A130" s="129"/>
      <c r="B130" s="172"/>
      <c r="C130" s="110"/>
      <c r="D130" s="122"/>
      <c r="E130" s="122"/>
      <c r="F130" s="173"/>
      <c r="G130" s="123"/>
      <c r="H130" s="101"/>
      <c r="I130" s="123"/>
      <c r="J130" s="101"/>
      <c r="K130" s="124" t="s">
        <v>485</v>
      </c>
      <c r="L130" s="125"/>
      <c r="M130" s="125"/>
      <c r="N130" s="126" t="n">
        <f aca="false">$C$128</f>
        <v>1</v>
      </c>
      <c r="O130" s="126" t="n">
        <v>2</v>
      </c>
      <c r="P130" s="126" t="n">
        <v>20</v>
      </c>
      <c r="Q130" s="127" t="n">
        <f aca="false">6.34+2*50*20/1000</f>
        <v>8.34</v>
      </c>
      <c r="R130" s="105" t="str">
        <f aca="false">IF(P130=6,N130*O130*Q130*0.222*1,IF(P130&gt;6,"",IF(P130&lt;6,"")))</f>
        <v/>
      </c>
      <c r="S130" s="106" t="str">
        <f aca="false">IF(P130=8,N130*O130*Q130*0.395*1,IF(P130&gt;8,"",IF(P130&lt;8,"")))</f>
        <v/>
      </c>
      <c r="T130" s="106" t="str">
        <f aca="false">IF(P130=10,N130*O130*Q130*0.617*1,IF(P130&gt;10,"",IF(P130&lt;10,"")))</f>
        <v/>
      </c>
      <c r="U130" s="106" t="str">
        <f aca="false">IF(P130=12,N130*O130*Q130*0.888*1,IF(P130&gt;12,"",IF(P130&lt;12,"")))</f>
        <v/>
      </c>
      <c r="V130" s="107" t="str">
        <f aca="false">IF(P130=16,N130*O130*Q130*1.578*1,IF(P130&gt;16,"",IF(P130&lt;16,"")))</f>
        <v/>
      </c>
      <c r="W130" s="106" t="n">
        <f aca="false">IF(P130=20,N130*O130*Q130*2.466*1,IF(P130&gt;20,"",IF(P130&lt;20,"")))</f>
        <v>41.13288</v>
      </c>
      <c r="X130" s="106" t="str">
        <f aca="false">IF(P130=25,N130*O130*Q130*3.853*1,IF(P130&gt;25,"",IF(P130&lt;25,"")))</f>
        <v/>
      </c>
      <c r="Y130" s="108" t="str">
        <f aca="false">IF(P130=32,N130*O130*Q130*6.313*1,IF(P130&gt;32,"",IF(P130&lt;32,"")))</f>
        <v/>
      </c>
      <c r="Z130" s="109"/>
      <c r="AA130" s="110" t="str">
        <f aca="false">IF(AC130&gt;0,N130,"")</f>
        <v/>
      </c>
      <c r="AB130" s="111" t="str">
        <f aca="false">IF(AC130&gt;0,O130,"")</f>
        <v/>
      </c>
      <c r="AC130" s="112"/>
      <c r="AD130" s="112"/>
      <c r="AE130" s="113" t="str">
        <f aca="false">IF(AC130&gt;0,P130,"")</f>
        <v/>
      </c>
      <c r="AF130" s="114" t="str">
        <f aca="false">IF(AE130=6,AA130*AB130*AC130*AD130*(AE130/1000)*0.222*1,IF(AE130&gt;6,"",IF(AE130&lt;6,"")))</f>
        <v/>
      </c>
      <c r="AG130" s="107" t="str">
        <f aca="false">IF(AE130=8,AA130*AB130*AC130*AD130*(AE130/1000)*0.395*1,IF(AE130&gt;8,"",IF(AE130&lt;8,"")))</f>
        <v/>
      </c>
      <c r="AH130" s="107" t="str">
        <f aca="false">IF(AE130=10,AA130*AB130*AC130*AD130*(AE130/1000)*0.617*1,IF(AE130&gt;10,"",IF(AE130&lt;10,"")))</f>
        <v/>
      </c>
      <c r="AI130" s="107" t="str">
        <f aca="false">IF(AE130=12,AA130*AB130*AC130*AD130*(AE130/1000)*0.888*1,IF(AE130&gt;12,"",IF(AE130&lt;12,"")))</f>
        <v/>
      </c>
      <c r="AJ130" s="107" t="str">
        <f aca="false">IF(AE130=16,AA130*AB130*AC130*AD130*(AE130/1000)*1.578*1,IF(AE130&gt;16,"",IF(AE130&lt;16,"")))</f>
        <v/>
      </c>
      <c r="AK130" s="107" t="str">
        <f aca="false">IF(AE130=20,AA130*AB130*AC130*AD130*(AE130/1000)*2.466*1,IF(AE130&gt;20,"",IF(AE130&lt;20,"")))</f>
        <v/>
      </c>
      <c r="AL130" s="107" t="str">
        <f aca="false">IF(AE130=25,AA130*AB130*AC130*AD130*(AE130/1000)*3.853*1,IF(AE130&gt;25,"",IF(AE130&lt;25,"")))</f>
        <v/>
      </c>
      <c r="AM130" s="115" t="str">
        <f aca="false">IF(AE130=32,AA130*AB130*AC130*AD130*(AE130/1000)*6.313*1,IF(AE130&gt;32,"",IF(AE130&lt;32,"")))</f>
        <v/>
      </c>
      <c r="AN130" s="128"/>
      <c r="AO130" s="117" t="s">
        <v>170</v>
      </c>
      <c r="AP130" s="118" t="n">
        <f aca="false">SUM(R130:Y130)+SUM(AN130)</f>
        <v>41.13288</v>
      </c>
      <c r="AQ130" s="118" t="n">
        <f aca="false">SUM(AF130:AM130)</f>
        <v>0</v>
      </c>
      <c r="AR130" s="118"/>
      <c r="AS130" s="119" t="s">
        <v>482</v>
      </c>
      <c r="AT130" s="119" t="s">
        <v>162</v>
      </c>
    </row>
    <row r="131" customFormat="false" ht="13.5" hidden="false" customHeight="false" outlineLevel="0" collapsed="false">
      <c r="A131" s="129"/>
      <c r="B131" s="172"/>
      <c r="C131" s="110"/>
      <c r="D131" s="122"/>
      <c r="E131" s="122"/>
      <c r="F131" s="173"/>
      <c r="G131" s="123"/>
      <c r="H131" s="101"/>
      <c r="I131" s="123"/>
      <c r="J131" s="101"/>
      <c r="K131" s="124" t="s">
        <v>540</v>
      </c>
      <c r="L131" s="125"/>
      <c r="M131" s="125"/>
      <c r="N131" s="126" t="n">
        <f aca="false">$C$128</f>
        <v>1</v>
      </c>
      <c r="O131" s="126" t="n">
        <v>1</v>
      </c>
      <c r="P131" s="126" t="n">
        <v>16</v>
      </c>
      <c r="Q131" s="127" t="n">
        <f aca="false">6.34+2*50*16/1000</f>
        <v>7.94</v>
      </c>
      <c r="R131" s="105" t="str">
        <f aca="false">IF(P131=6,N131*O131*Q131*0.222*1,IF(P131&gt;6,"",IF(P131&lt;6,"")))</f>
        <v/>
      </c>
      <c r="S131" s="106" t="str">
        <f aca="false">IF(P131=8,N131*O131*Q131*0.395*1,IF(P131&gt;8,"",IF(P131&lt;8,"")))</f>
        <v/>
      </c>
      <c r="T131" s="106" t="str">
        <f aca="false">IF(P131=10,N131*O131*Q131*0.617*1,IF(P131&gt;10,"",IF(P131&lt;10,"")))</f>
        <v/>
      </c>
      <c r="U131" s="106" t="str">
        <f aca="false">IF(P131=12,N131*O131*Q131*0.888*1,IF(P131&gt;12,"",IF(P131&lt;12,"")))</f>
        <v/>
      </c>
      <c r="V131" s="107" t="n">
        <f aca="false">IF(P131=16,N131*O131*Q131*1.578*1,IF(P131&gt;16,"",IF(P131&lt;16,"")))</f>
        <v>12.52932</v>
      </c>
      <c r="W131" s="106" t="str">
        <f aca="false">IF(P131=20,N131*O131*Q131*2.466*1,IF(P131&gt;20,"",IF(P131&lt;20,"")))</f>
        <v/>
      </c>
      <c r="X131" s="106" t="str">
        <f aca="false">IF(P131=25,N131*O131*Q131*3.853*1,IF(P131&gt;25,"",IF(P131&lt;25,"")))</f>
        <v/>
      </c>
      <c r="Y131" s="108" t="str">
        <f aca="false">IF(P131=32,N131*O131*Q131*6.313*1,IF(P131&gt;32,"",IF(P131&lt;32,"")))</f>
        <v/>
      </c>
      <c r="Z131" s="109"/>
      <c r="AA131" s="110" t="str">
        <f aca="false">IF(AC131&gt;0,N131,"")</f>
        <v/>
      </c>
      <c r="AB131" s="111" t="str">
        <f aca="false">IF(AC131&gt;0,O131,"")</f>
        <v/>
      </c>
      <c r="AC131" s="112"/>
      <c r="AD131" s="112"/>
      <c r="AE131" s="113" t="str">
        <f aca="false">IF(AC131&gt;0,P131,"")</f>
        <v/>
      </c>
      <c r="AF131" s="114" t="str">
        <f aca="false">IF(AE131=6,AA131*AB131*AC131*AD131*(AE131/1000)*0.222*1,IF(AE131&gt;6,"",IF(AE131&lt;6,"")))</f>
        <v/>
      </c>
      <c r="AG131" s="107" t="str">
        <f aca="false">IF(AE131=8,AA131*AB131*AC131*AD131*(AE131/1000)*0.395*1,IF(AE131&gt;8,"",IF(AE131&lt;8,"")))</f>
        <v/>
      </c>
      <c r="AH131" s="107" t="str">
        <f aca="false">IF(AE131=10,AA131*AB131*AC131*AD131*(AE131/1000)*0.617*1,IF(AE131&gt;10,"",IF(AE131&lt;10,"")))</f>
        <v/>
      </c>
      <c r="AI131" s="107" t="str">
        <f aca="false">IF(AE131=12,AA131*AB131*AC131*AD131*(AE131/1000)*0.888*1,IF(AE131&gt;12,"",IF(AE131&lt;12,"")))</f>
        <v/>
      </c>
      <c r="AJ131" s="107" t="str">
        <f aca="false">IF(AE131=16,AA131*AB131*AC131*AD131*(AE131/1000)*1.578*1,IF(AE131&gt;16,"",IF(AE131&lt;16,"")))</f>
        <v/>
      </c>
      <c r="AK131" s="107" t="str">
        <f aca="false">IF(AE131=20,AA131*AB131*AC131*AD131*(AE131/1000)*2.466*1,IF(AE131&gt;20,"",IF(AE131&lt;20,"")))</f>
        <v/>
      </c>
      <c r="AL131" s="107" t="str">
        <f aca="false">IF(AE131=25,AA131*AB131*AC131*AD131*(AE131/1000)*3.853*1,IF(AE131&gt;25,"",IF(AE131&lt;25,"")))</f>
        <v/>
      </c>
      <c r="AM131" s="115" t="str">
        <f aca="false">IF(AE131=32,AA131*AB131*AC131*AD131*(AE131/1000)*6.313*1,IF(AE131&gt;32,"",IF(AE131&lt;32,"")))</f>
        <v/>
      </c>
      <c r="AN131" s="128"/>
      <c r="AO131" s="117" t="s">
        <v>170</v>
      </c>
      <c r="AP131" s="118" t="n">
        <f aca="false">SUM(R131:Y131)+SUM(AN131)</f>
        <v>12.52932</v>
      </c>
      <c r="AQ131" s="118" t="n">
        <f aca="false">SUM(AF131:AM131)</f>
        <v>0</v>
      </c>
      <c r="AR131" s="118"/>
      <c r="AS131" s="119" t="s">
        <v>482</v>
      </c>
      <c r="AT131" s="119" t="s">
        <v>162</v>
      </c>
    </row>
    <row r="132" customFormat="false" ht="13.5" hidden="false" customHeight="false" outlineLevel="0" collapsed="false">
      <c r="A132" s="129"/>
      <c r="B132" s="172"/>
      <c r="C132" s="110"/>
      <c r="D132" s="122"/>
      <c r="E132" s="122"/>
      <c r="F132" s="173"/>
      <c r="G132" s="123"/>
      <c r="H132" s="101"/>
      <c r="I132" s="123"/>
      <c r="J132" s="101"/>
      <c r="K132" s="124" t="s">
        <v>486</v>
      </c>
      <c r="L132" s="125" t="n">
        <f aca="false">$F$128</f>
        <v>6.34</v>
      </c>
      <c r="M132" s="125" t="n">
        <v>0.125</v>
      </c>
      <c r="N132" s="126" t="n">
        <f aca="false">$C$128</f>
        <v>1</v>
      </c>
      <c r="O132" s="126" t="n">
        <f aca="false">CEILING(L132/M132,1)+1</f>
        <v>52</v>
      </c>
      <c r="P132" s="126" t="n">
        <v>8</v>
      </c>
      <c r="Q132" s="127" t="n">
        <f aca="false">2*($D$128-2*0.035)+2*($E$128-2*0.035)+20*8/1000</f>
        <v>1.38</v>
      </c>
      <c r="R132" s="105" t="str">
        <f aca="false">IF(P132=6,N132*O132*Q132*0.222*1,IF(P132&gt;6,"",IF(P132&lt;6,"")))</f>
        <v/>
      </c>
      <c r="S132" s="106" t="n">
        <f aca="false">IF(P132=8,N132*O132*Q132*0.395*1,IF(P132&gt;8,"",IF(P132&lt;8,"")))</f>
        <v>28.3452</v>
      </c>
      <c r="T132" s="106" t="str">
        <f aca="false">IF(P132=10,N132*O132*Q132*0.617*1,IF(P132&gt;10,"",IF(P132&lt;10,"")))</f>
        <v/>
      </c>
      <c r="U132" s="106" t="str">
        <f aca="false">IF(P132=12,N132*O132*Q132*0.888*1,IF(P132&gt;12,"",IF(P132&lt;12,"")))</f>
        <v/>
      </c>
      <c r="V132" s="107" t="str">
        <f aca="false">IF(P132=16,N132*O132*Q132*1.578*1,IF(P132&gt;16,"",IF(P132&lt;16,"")))</f>
        <v/>
      </c>
      <c r="W132" s="106" t="str">
        <f aca="false">IF(P132=20,N132*O132*Q132*2.466*1,IF(P132&gt;20,"",IF(P132&lt;20,"")))</f>
        <v/>
      </c>
      <c r="X132" s="106" t="str">
        <f aca="false">IF(P132=25,N132*O132*Q132*3.853*1,IF(P132&gt;25,"",IF(P132&lt;25,"")))</f>
        <v/>
      </c>
      <c r="Y132" s="108" t="str">
        <f aca="false">IF(P132=32,N132*O132*Q132*6.313*1,IF(P132&gt;32,"",IF(P132&lt;32,"")))</f>
        <v/>
      </c>
      <c r="Z132" s="109"/>
      <c r="AA132" s="110" t="str">
        <f aca="false">IF(AC132&gt;0,N132,"")</f>
        <v/>
      </c>
      <c r="AB132" s="111" t="str">
        <f aca="false">IF(AC132&gt;0,O132,"")</f>
        <v/>
      </c>
      <c r="AC132" s="112"/>
      <c r="AD132" s="112"/>
      <c r="AE132" s="113" t="str">
        <f aca="false">IF(AC132&gt;0,P132,"")</f>
        <v/>
      </c>
      <c r="AF132" s="114" t="str">
        <f aca="false">IF(AE132=6,AA132*AB132*AC132*AD132*(AE132/1000)*0.222*1,IF(AE132&gt;6,"",IF(AE132&lt;6,"")))</f>
        <v/>
      </c>
      <c r="AG132" s="107" t="str">
        <f aca="false">IF(AE132=8,AA132*AB132*AC132*AD132*(AE132/1000)*0.395*1,IF(AE132&gt;8,"",IF(AE132&lt;8,"")))</f>
        <v/>
      </c>
      <c r="AH132" s="107" t="str">
        <f aca="false">IF(AE132=10,AA132*AB132*AC132*AD132*(AE132/1000)*0.617*1,IF(AE132&gt;10,"",IF(AE132&lt;10,"")))</f>
        <v/>
      </c>
      <c r="AI132" s="107" t="str">
        <f aca="false">IF(AE132=12,AA132*AB132*AC132*AD132*(AE132/1000)*0.888*1,IF(AE132&gt;12,"",IF(AE132&lt;12,"")))</f>
        <v/>
      </c>
      <c r="AJ132" s="107" t="str">
        <f aca="false">IF(AE132=16,AA132*AB132*AC132*AD132*(AE132/1000)*1.578*1,IF(AE132&gt;16,"",IF(AE132&lt;16,"")))</f>
        <v/>
      </c>
      <c r="AK132" s="107" t="str">
        <f aca="false">IF(AE132=20,AA132*AB132*AC132*AD132*(AE132/1000)*2.466*1,IF(AE132&gt;20,"",IF(AE132&lt;20,"")))</f>
        <v/>
      </c>
      <c r="AL132" s="107" t="str">
        <f aca="false">IF(AE132=25,AA132*AB132*AC132*AD132*(AE132/1000)*3.853*1,IF(AE132&gt;25,"",IF(AE132&lt;25,"")))</f>
        <v/>
      </c>
      <c r="AM132" s="115" t="str">
        <f aca="false">IF(AE132=32,AA132*AB132*AC132*AD132*(AE132/1000)*6.313*1,IF(AE132&gt;32,"",IF(AE132&lt;32,"")))</f>
        <v/>
      </c>
      <c r="AN132" s="128"/>
      <c r="AO132" s="117" t="s">
        <v>170</v>
      </c>
      <c r="AP132" s="118" t="n">
        <f aca="false">SUM(R132:Y132)+SUM(AN132)</f>
        <v>28.3452</v>
      </c>
      <c r="AQ132" s="118" t="n">
        <f aca="false">SUM(AF132:AM132)</f>
        <v>0</v>
      </c>
      <c r="AR132" s="118"/>
      <c r="AS132" s="119"/>
      <c r="AT132" s="119" t="s">
        <v>162</v>
      </c>
    </row>
    <row r="133" customFormat="false" ht="13.5" hidden="false" customHeight="false" outlineLevel="0" collapsed="false">
      <c r="A133" s="129"/>
      <c r="B133" s="130"/>
      <c r="C133" s="110"/>
      <c r="D133" s="122"/>
      <c r="E133" s="122"/>
      <c r="F133" s="122"/>
      <c r="G133" s="123"/>
      <c r="H133" s="101"/>
      <c r="I133" s="123"/>
      <c r="J133" s="101"/>
      <c r="K133" s="124"/>
      <c r="L133" s="125"/>
      <c r="M133" s="125"/>
      <c r="N133" s="126"/>
      <c r="O133" s="126"/>
      <c r="P133" s="126"/>
      <c r="Q133" s="127"/>
      <c r="R133" s="105"/>
      <c r="S133" s="106"/>
      <c r="T133" s="106"/>
      <c r="U133" s="106"/>
      <c r="V133" s="107"/>
      <c r="W133" s="106"/>
      <c r="X133" s="106"/>
      <c r="Y133" s="108"/>
      <c r="Z133" s="109"/>
      <c r="AA133" s="110"/>
      <c r="AB133" s="111"/>
      <c r="AC133" s="112"/>
      <c r="AD133" s="112"/>
      <c r="AE133" s="113"/>
      <c r="AF133" s="114"/>
      <c r="AG133" s="107"/>
      <c r="AH133" s="107"/>
      <c r="AI133" s="107"/>
      <c r="AJ133" s="107"/>
      <c r="AK133" s="107"/>
      <c r="AL133" s="107"/>
      <c r="AM133" s="115"/>
      <c r="AO133" s="117"/>
      <c r="AP133" s="118"/>
      <c r="AQ133" s="118"/>
      <c r="AR133" s="118"/>
      <c r="AS133" s="119"/>
      <c r="AT133" s="119"/>
    </row>
    <row r="134" customFormat="false" ht="13.5" hidden="false" customHeight="false" outlineLevel="0" collapsed="false">
      <c r="A134" s="120"/>
      <c r="B134" s="121" t="s">
        <v>541</v>
      </c>
      <c r="C134" s="110" t="n">
        <v>1</v>
      </c>
      <c r="D134" s="122" t="n">
        <v>0.25</v>
      </c>
      <c r="E134" s="122" t="n">
        <v>0.5</v>
      </c>
      <c r="F134" s="122" t="n">
        <f aca="false">0.7925/(0.25*0.5)</f>
        <v>6.34</v>
      </c>
      <c r="G134" s="123" t="n">
        <f aca="false">C134*D134*E134*F134</f>
        <v>0.7925</v>
      </c>
      <c r="H134" s="101"/>
      <c r="I134" s="123" t="n">
        <f aca="false">C134*F134*(D134+(E134-0.2)+(E134))</f>
        <v>6.657</v>
      </c>
      <c r="J134" s="101"/>
      <c r="K134" s="124"/>
      <c r="L134" s="125"/>
      <c r="M134" s="125"/>
      <c r="N134" s="126"/>
      <c r="O134" s="126"/>
      <c r="P134" s="126"/>
      <c r="Q134" s="127"/>
      <c r="R134" s="105" t="str">
        <f aca="false">IF(P134=6,N134*O134*Q134*0.222*1,IF(P134&gt;6,"",IF(P134&lt;6,"")))</f>
        <v/>
      </c>
      <c r="S134" s="106" t="str">
        <f aca="false">IF(P134=8,N134*O134*Q134*0.395*1,IF(P134&gt;8,"",IF(P134&lt;8,"")))</f>
        <v/>
      </c>
      <c r="T134" s="106" t="str">
        <f aca="false">IF(P134=10,N134*O134*Q134*0.617*1,IF(P134&gt;10,"",IF(P134&lt;10,"")))</f>
        <v/>
      </c>
      <c r="U134" s="106" t="str">
        <f aca="false">IF(P134=12,N134*O134*Q134*0.888*1,IF(P134&gt;12,"",IF(P134&lt;12,"")))</f>
        <v/>
      </c>
      <c r="V134" s="107" t="str">
        <f aca="false">IF(P134=16,N134*O134*Q134*1.578*1,IF(P134&gt;16,"",IF(P134&lt;16,"")))</f>
        <v/>
      </c>
      <c r="W134" s="106" t="str">
        <f aca="false">IF(P134=20,N134*O134*Q134*2.466*1,IF(P134&gt;20,"",IF(P134&lt;20,"")))</f>
        <v/>
      </c>
      <c r="X134" s="106" t="str">
        <f aca="false">IF(P134=25,N134*O134*Q134*3.853*1,IF(P134&gt;25,"",IF(P134&lt;25,"")))</f>
        <v/>
      </c>
      <c r="Y134" s="108" t="str">
        <f aca="false">IF(P134=32,N134*O134*Q134*6.313*1,IF(P134&gt;32,"",IF(P134&lt;32,"")))</f>
        <v/>
      </c>
      <c r="Z134" s="109"/>
      <c r="AA134" s="110" t="str">
        <f aca="false">IF(AC134&gt;0,N134,"")</f>
        <v/>
      </c>
      <c r="AB134" s="111" t="str">
        <f aca="false">IF(AC134&gt;0,O134,"")</f>
        <v/>
      </c>
      <c r="AC134" s="112"/>
      <c r="AD134" s="112"/>
      <c r="AE134" s="113" t="str">
        <f aca="false">IF(AC134&gt;0,P134,"")</f>
        <v/>
      </c>
      <c r="AF134" s="114" t="str">
        <f aca="false">IF(AE134=6,AA134*AB134*AC134*AD134*(AE134/1000)*0.222*1,IF(AE134&gt;6,"",IF(AE134&lt;6,"")))</f>
        <v/>
      </c>
      <c r="AG134" s="107" t="str">
        <f aca="false">IF(AE134=8,AA134*AB134*AC134*AD134*(AE134/1000)*0.395*1,IF(AE134&gt;8,"",IF(AE134&lt;8,"")))</f>
        <v/>
      </c>
      <c r="AH134" s="107" t="str">
        <f aca="false">IF(AE134=10,AA134*AB134*AC134*AD134*(AE134/1000)*0.617*1,IF(AE134&gt;10,"",IF(AE134&lt;10,"")))</f>
        <v/>
      </c>
      <c r="AI134" s="107" t="str">
        <f aca="false">IF(AE134=12,AA134*AB134*AC134*AD134*(AE134/1000)*0.888*1,IF(AE134&gt;12,"",IF(AE134&lt;12,"")))</f>
        <v/>
      </c>
      <c r="AJ134" s="107" t="str">
        <f aca="false">IF(AE134=16,AA134*AB134*AC134*AD134*(AE134/1000)*1.578*1,IF(AE134&gt;16,"",IF(AE134&lt;16,"")))</f>
        <v/>
      </c>
      <c r="AK134" s="107" t="str">
        <f aca="false">IF(AE134=20,AA134*AB134*AC134*AD134*(AE134/1000)*2.466*1,IF(AE134&gt;20,"",IF(AE134&lt;20,"")))</f>
        <v/>
      </c>
      <c r="AL134" s="107" t="str">
        <f aca="false">IF(AE134=25,AA134*AB134*AC134*AD134*(AE134/1000)*3.853*1,IF(AE134&gt;25,"",IF(AE134&lt;25,"")))</f>
        <v/>
      </c>
      <c r="AM134" s="115" t="str">
        <f aca="false">IF(AE134=32,AA134*AB134*AC134*AD134*(AE134/1000)*6.313*1,IF(AE134&gt;32,"",IF(AE134&lt;32,"")))</f>
        <v/>
      </c>
      <c r="AN134" s="128"/>
      <c r="AO134" s="117" t="s">
        <v>170</v>
      </c>
      <c r="AP134" s="118" t="n">
        <f aca="false">SUM(R134:Y134)+SUM(AN134)</f>
        <v>0</v>
      </c>
      <c r="AQ134" s="118" t="n">
        <f aca="false">SUM(AF134:AM134)</f>
        <v>0</v>
      </c>
      <c r="AR134" s="118" t="n">
        <v>0.7925</v>
      </c>
      <c r="AS134" s="119" t="s">
        <v>542</v>
      </c>
      <c r="AT134" s="119" t="s">
        <v>209</v>
      </c>
    </row>
    <row r="135" customFormat="false" ht="13.5" hidden="false" customHeight="false" outlineLevel="0" collapsed="false">
      <c r="A135" s="129"/>
      <c r="B135" s="172"/>
      <c r="C135" s="110"/>
      <c r="D135" s="122"/>
      <c r="E135" s="122"/>
      <c r="F135" s="173"/>
      <c r="G135" s="123"/>
      <c r="H135" s="101"/>
      <c r="I135" s="123"/>
      <c r="J135" s="101"/>
      <c r="K135" s="124" t="s">
        <v>305</v>
      </c>
      <c r="L135" s="125"/>
      <c r="M135" s="125"/>
      <c r="N135" s="126" t="n">
        <f aca="false">$C$134</f>
        <v>1</v>
      </c>
      <c r="O135" s="126" t="n">
        <v>3</v>
      </c>
      <c r="P135" s="126" t="n">
        <v>16</v>
      </c>
      <c r="Q135" s="127" t="n">
        <f aca="false">6.34+2*50*16/1000</f>
        <v>7.94</v>
      </c>
      <c r="R135" s="105" t="str">
        <f aca="false">IF(P135=6,N135*O135*Q135*0.222*1,IF(P135&gt;6,"",IF(P135&lt;6,"")))</f>
        <v/>
      </c>
      <c r="S135" s="106" t="str">
        <f aca="false">IF(P135=8,N135*O135*Q135*0.395*1,IF(P135&gt;8,"",IF(P135&lt;8,"")))</f>
        <v/>
      </c>
      <c r="T135" s="106" t="str">
        <f aca="false">IF(P135=10,N135*O135*Q135*0.617*1,IF(P135&gt;10,"",IF(P135&lt;10,"")))</f>
        <v/>
      </c>
      <c r="U135" s="106" t="str">
        <f aca="false">IF(P135=12,N135*O135*Q135*0.888*1,IF(P135&gt;12,"",IF(P135&lt;12,"")))</f>
        <v/>
      </c>
      <c r="V135" s="107" t="n">
        <f aca="false">IF(P135=16,N135*O135*Q135*1.578*1,IF(P135&gt;16,"",IF(P135&lt;16,"")))</f>
        <v>37.58796</v>
      </c>
      <c r="W135" s="106" t="str">
        <f aca="false">IF(P135=20,N135*O135*Q135*2.466*1,IF(P135&gt;20,"",IF(P135&lt;20,"")))</f>
        <v/>
      </c>
      <c r="X135" s="106" t="str">
        <f aca="false">IF(P135=25,N135*O135*Q135*3.853*1,IF(P135&gt;25,"",IF(P135&lt;25,"")))</f>
        <v/>
      </c>
      <c r="Y135" s="108" t="str">
        <f aca="false">IF(P135=32,N135*O135*Q135*6.313*1,IF(P135&gt;32,"",IF(P135&lt;32,"")))</f>
        <v/>
      </c>
      <c r="Z135" s="109"/>
      <c r="AA135" s="110" t="str">
        <f aca="false">IF(AC135&gt;0,N135,"")</f>
        <v/>
      </c>
      <c r="AB135" s="111" t="str">
        <f aca="false">IF(AC135&gt;0,O135,"")</f>
        <v/>
      </c>
      <c r="AC135" s="112"/>
      <c r="AD135" s="112"/>
      <c r="AE135" s="113" t="str">
        <f aca="false">IF(AC135&gt;0,P135,"")</f>
        <v/>
      </c>
      <c r="AF135" s="114" t="str">
        <f aca="false">IF(AE135=6,AA135*AB135*AC135*AD135*(AE135/1000)*0.222*1,IF(AE135&gt;6,"",IF(AE135&lt;6,"")))</f>
        <v/>
      </c>
      <c r="AG135" s="107" t="str">
        <f aca="false">IF(AE135=8,AA135*AB135*AC135*AD135*(AE135/1000)*0.395*1,IF(AE135&gt;8,"",IF(AE135&lt;8,"")))</f>
        <v/>
      </c>
      <c r="AH135" s="107" t="str">
        <f aca="false">IF(AE135=10,AA135*AB135*AC135*AD135*(AE135/1000)*0.617*1,IF(AE135&gt;10,"",IF(AE135&lt;10,"")))</f>
        <v/>
      </c>
      <c r="AI135" s="107" t="str">
        <f aca="false">IF(AE135=12,AA135*AB135*AC135*AD135*(AE135/1000)*0.888*1,IF(AE135&gt;12,"",IF(AE135&lt;12,"")))</f>
        <v/>
      </c>
      <c r="AJ135" s="107" t="str">
        <f aca="false">IF(AE135=16,AA135*AB135*AC135*AD135*(AE135/1000)*1.578*1,IF(AE135&gt;16,"",IF(AE135&lt;16,"")))</f>
        <v/>
      </c>
      <c r="AK135" s="107" t="str">
        <f aca="false">IF(AE135=20,AA135*AB135*AC135*AD135*(AE135/1000)*2.466*1,IF(AE135&gt;20,"",IF(AE135&lt;20,"")))</f>
        <v/>
      </c>
      <c r="AL135" s="107" t="str">
        <f aca="false">IF(AE135=25,AA135*AB135*AC135*AD135*(AE135/1000)*3.853*1,IF(AE135&gt;25,"",IF(AE135&lt;25,"")))</f>
        <v/>
      </c>
      <c r="AM135" s="115" t="str">
        <f aca="false">IF(AE135=32,AA135*AB135*AC135*AD135*(AE135/1000)*6.313*1,IF(AE135&gt;32,"",IF(AE135&lt;32,"")))</f>
        <v/>
      </c>
      <c r="AN135" s="128"/>
      <c r="AO135" s="117" t="s">
        <v>170</v>
      </c>
      <c r="AP135" s="118" t="n">
        <f aca="false">SUM(R135:Y135)+SUM(AN135)</f>
        <v>37.58796</v>
      </c>
      <c r="AQ135" s="118" t="n">
        <f aca="false">SUM(AF135:AM135)</f>
        <v>0</v>
      </c>
      <c r="AR135" s="118"/>
      <c r="AS135" s="119" t="s">
        <v>482</v>
      </c>
      <c r="AT135" s="119" t="s">
        <v>162</v>
      </c>
    </row>
    <row r="136" customFormat="false" ht="13.5" hidden="false" customHeight="false" outlineLevel="0" collapsed="false">
      <c r="A136" s="129"/>
      <c r="B136" s="172"/>
      <c r="C136" s="110"/>
      <c r="D136" s="122"/>
      <c r="E136" s="122"/>
      <c r="F136" s="173"/>
      <c r="G136" s="123"/>
      <c r="H136" s="101"/>
      <c r="I136" s="123"/>
      <c r="J136" s="101"/>
      <c r="K136" s="124" t="s">
        <v>485</v>
      </c>
      <c r="L136" s="125"/>
      <c r="M136" s="125"/>
      <c r="N136" s="126" t="n">
        <f aca="false">$C$134</f>
        <v>1</v>
      </c>
      <c r="O136" s="126" t="n">
        <v>2</v>
      </c>
      <c r="P136" s="126" t="n">
        <v>20</v>
      </c>
      <c r="Q136" s="127" t="n">
        <f aca="false">6.34+2*50*20/1000</f>
        <v>8.34</v>
      </c>
      <c r="R136" s="105" t="str">
        <f aca="false">IF(P136=6,N136*O136*Q136*0.222*1,IF(P136&gt;6,"",IF(P136&lt;6,"")))</f>
        <v/>
      </c>
      <c r="S136" s="106" t="str">
        <f aca="false">IF(P136=8,N136*O136*Q136*0.395*1,IF(P136&gt;8,"",IF(P136&lt;8,"")))</f>
        <v/>
      </c>
      <c r="T136" s="106" t="str">
        <f aca="false">IF(P136=10,N136*O136*Q136*0.617*1,IF(P136&gt;10,"",IF(P136&lt;10,"")))</f>
        <v/>
      </c>
      <c r="U136" s="106" t="str">
        <f aca="false">IF(P136=12,N136*O136*Q136*0.888*1,IF(P136&gt;12,"",IF(P136&lt;12,"")))</f>
        <v/>
      </c>
      <c r="V136" s="107" t="str">
        <f aca="false">IF(P136=16,N136*O136*Q136*1.578*1,IF(P136&gt;16,"",IF(P136&lt;16,"")))</f>
        <v/>
      </c>
      <c r="W136" s="106" t="n">
        <f aca="false">IF(P136=20,N136*O136*Q136*2.466*1,IF(P136&gt;20,"",IF(P136&lt;20,"")))</f>
        <v>41.13288</v>
      </c>
      <c r="X136" s="106" t="str">
        <f aca="false">IF(P136=25,N136*O136*Q136*3.853*1,IF(P136&gt;25,"",IF(P136&lt;25,"")))</f>
        <v/>
      </c>
      <c r="Y136" s="108" t="str">
        <f aca="false">IF(P136=32,N136*O136*Q136*6.313*1,IF(P136&gt;32,"",IF(P136&lt;32,"")))</f>
        <v/>
      </c>
      <c r="Z136" s="109"/>
      <c r="AA136" s="110" t="str">
        <f aca="false">IF(AC136&gt;0,N136,"")</f>
        <v/>
      </c>
      <c r="AB136" s="111" t="str">
        <f aca="false">IF(AC136&gt;0,O136,"")</f>
        <v/>
      </c>
      <c r="AC136" s="112"/>
      <c r="AD136" s="112"/>
      <c r="AE136" s="113" t="str">
        <f aca="false">IF(AC136&gt;0,P136,"")</f>
        <v/>
      </c>
      <c r="AF136" s="114" t="str">
        <f aca="false">IF(AE136=6,AA136*AB136*AC136*AD136*(AE136/1000)*0.222*1,IF(AE136&gt;6,"",IF(AE136&lt;6,"")))</f>
        <v/>
      </c>
      <c r="AG136" s="107" t="str">
        <f aca="false">IF(AE136=8,AA136*AB136*AC136*AD136*(AE136/1000)*0.395*1,IF(AE136&gt;8,"",IF(AE136&lt;8,"")))</f>
        <v/>
      </c>
      <c r="AH136" s="107" t="str">
        <f aca="false">IF(AE136=10,AA136*AB136*AC136*AD136*(AE136/1000)*0.617*1,IF(AE136&gt;10,"",IF(AE136&lt;10,"")))</f>
        <v/>
      </c>
      <c r="AI136" s="107" t="str">
        <f aca="false">IF(AE136=12,AA136*AB136*AC136*AD136*(AE136/1000)*0.888*1,IF(AE136&gt;12,"",IF(AE136&lt;12,"")))</f>
        <v/>
      </c>
      <c r="AJ136" s="107" t="str">
        <f aca="false">IF(AE136=16,AA136*AB136*AC136*AD136*(AE136/1000)*1.578*1,IF(AE136&gt;16,"",IF(AE136&lt;16,"")))</f>
        <v/>
      </c>
      <c r="AK136" s="107" t="str">
        <f aca="false">IF(AE136=20,AA136*AB136*AC136*AD136*(AE136/1000)*2.466*1,IF(AE136&gt;20,"",IF(AE136&lt;20,"")))</f>
        <v/>
      </c>
      <c r="AL136" s="107" t="str">
        <f aca="false">IF(AE136=25,AA136*AB136*AC136*AD136*(AE136/1000)*3.853*1,IF(AE136&gt;25,"",IF(AE136&lt;25,"")))</f>
        <v/>
      </c>
      <c r="AM136" s="115" t="str">
        <f aca="false">IF(AE136=32,AA136*AB136*AC136*AD136*(AE136/1000)*6.313*1,IF(AE136&gt;32,"",IF(AE136&lt;32,"")))</f>
        <v/>
      </c>
      <c r="AN136" s="128"/>
      <c r="AO136" s="117" t="s">
        <v>170</v>
      </c>
      <c r="AP136" s="118" t="n">
        <f aca="false">SUM(R136:Y136)+SUM(AN136)</f>
        <v>41.13288</v>
      </c>
      <c r="AQ136" s="118" t="n">
        <f aca="false">SUM(AF136:AM136)</f>
        <v>0</v>
      </c>
      <c r="AR136" s="118"/>
      <c r="AS136" s="119" t="s">
        <v>482</v>
      </c>
      <c r="AT136" s="119" t="s">
        <v>162</v>
      </c>
    </row>
    <row r="137" s="55" customFormat="true" ht="13.5" hidden="false" customHeight="false" outlineLevel="0" collapsed="false">
      <c r="A137" s="129"/>
      <c r="B137" s="172"/>
      <c r="C137" s="110"/>
      <c r="D137" s="122"/>
      <c r="E137" s="122"/>
      <c r="F137" s="173"/>
      <c r="G137" s="123"/>
      <c r="H137" s="101"/>
      <c r="I137" s="123"/>
      <c r="J137" s="101"/>
      <c r="K137" s="124" t="s">
        <v>540</v>
      </c>
      <c r="L137" s="125"/>
      <c r="M137" s="125"/>
      <c r="N137" s="126" t="n">
        <f aca="false">$C$134</f>
        <v>1</v>
      </c>
      <c r="O137" s="126" t="n">
        <v>1</v>
      </c>
      <c r="P137" s="126" t="n">
        <v>16</v>
      </c>
      <c r="Q137" s="127" t="n">
        <f aca="false">6.34+2*50*16/1000</f>
        <v>7.94</v>
      </c>
      <c r="R137" s="105" t="str">
        <f aca="false">IF(P137=6,N137*O137*Q137*0.222*1,IF(P137&gt;6,"",IF(P137&lt;6,"")))</f>
        <v/>
      </c>
      <c r="S137" s="106" t="str">
        <f aca="false">IF(P137=8,N137*O137*Q137*0.395*1,IF(P137&gt;8,"",IF(P137&lt;8,"")))</f>
        <v/>
      </c>
      <c r="T137" s="106" t="str">
        <f aca="false">IF(P137=10,N137*O137*Q137*0.617*1,IF(P137&gt;10,"",IF(P137&lt;10,"")))</f>
        <v/>
      </c>
      <c r="U137" s="106" t="str">
        <f aca="false">IF(P137=12,N137*O137*Q137*0.888*1,IF(P137&gt;12,"",IF(P137&lt;12,"")))</f>
        <v/>
      </c>
      <c r="V137" s="107" t="n">
        <f aca="false">IF(P137=16,N137*O137*Q137*1.578*1,IF(P137&gt;16,"",IF(P137&lt;16,"")))</f>
        <v>12.52932</v>
      </c>
      <c r="W137" s="106" t="str">
        <f aca="false">IF(P137=20,N137*O137*Q137*2.466*1,IF(P137&gt;20,"",IF(P137&lt;20,"")))</f>
        <v/>
      </c>
      <c r="X137" s="106" t="str">
        <f aca="false">IF(P137=25,N137*O137*Q137*3.853*1,IF(P137&gt;25,"",IF(P137&lt;25,"")))</f>
        <v/>
      </c>
      <c r="Y137" s="108" t="str">
        <f aca="false">IF(P137=32,N137*O137*Q137*6.313*1,IF(P137&gt;32,"",IF(P137&lt;32,"")))</f>
        <v/>
      </c>
      <c r="Z137" s="109"/>
      <c r="AA137" s="110" t="str">
        <f aca="false">IF(AC137&gt;0,N137,"")</f>
        <v/>
      </c>
      <c r="AB137" s="111" t="str">
        <f aca="false">IF(AC137&gt;0,O137,"")</f>
        <v/>
      </c>
      <c r="AC137" s="112"/>
      <c r="AD137" s="112"/>
      <c r="AE137" s="113" t="str">
        <f aca="false">IF(AC137&gt;0,P137,"")</f>
        <v/>
      </c>
      <c r="AF137" s="114" t="str">
        <f aca="false">IF(AE137=6,AA137*AB137*AC137*AD137*(AE137/1000)*0.222*1,IF(AE137&gt;6,"",IF(AE137&lt;6,"")))</f>
        <v/>
      </c>
      <c r="AG137" s="107" t="str">
        <f aca="false">IF(AE137=8,AA137*AB137*AC137*AD137*(AE137/1000)*0.395*1,IF(AE137&gt;8,"",IF(AE137&lt;8,"")))</f>
        <v/>
      </c>
      <c r="AH137" s="107" t="str">
        <f aca="false">IF(AE137=10,AA137*AB137*AC137*AD137*(AE137/1000)*0.617*1,IF(AE137&gt;10,"",IF(AE137&lt;10,"")))</f>
        <v/>
      </c>
      <c r="AI137" s="107" t="str">
        <f aca="false">IF(AE137=12,AA137*AB137*AC137*AD137*(AE137/1000)*0.888*1,IF(AE137&gt;12,"",IF(AE137&lt;12,"")))</f>
        <v/>
      </c>
      <c r="AJ137" s="107" t="str">
        <f aca="false">IF(AE137=16,AA137*AB137*AC137*AD137*(AE137/1000)*1.578*1,IF(AE137&gt;16,"",IF(AE137&lt;16,"")))</f>
        <v/>
      </c>
      <c r="AK137" s="107" t="str">
        <f aca="false">IF(AE137=20,AA137*AB137*AC137*AD137*(AE137/1000)*2.466*1,IF(AE137&gt;20,"",IF(AE137&lt;20,"")))</f>
        <v/>
      </c>
      <c r="AL137" s="107" t="str">
        <f aca="false">IF(AE137=25,AA137*AB137*AC137*AD137*(AE137/1000)*3.853*1,IF(AE137&gt;25,"",IF(AE137&lt;25,"")))</f>
        <v/>
      </c>
      <c r="AM137" s="115" t="str">
        <f aca="false">IF(AE137=32,AA137*AB137*AC137*AD137*(AE137/1000)*6.313*1,IF(AE137&gt;32,"",IF(AE137&lt;32,"")))</f>
        <v/>
      </c>
      <c r="AN137" s="128"/>
      <c r="AO137" s="117" t="s">
        <v>170</v>
      </c>
      <c r="AP137" s="118" t="n">
        <f aca="false">SUM(R137:Y137)+SUM(AN137)</f>
        <v>12.52932</v>
      </c>
      <c r="AQ137" s="118" t="n">
        <f aca="false">SUM(AF137:AM137)</f>
        <v>0</v>
      </c>
      <c r="AR137" s="118"/>
      <c r="AS137" s="119" t="s">
        <v>482</v>
      </c>
      <c r="AT137" s="119" t="s">
        <v>162</v>
      </c>
    </row>
    <row r="138" s="55" customFormat="true" ht="13.5" hidden="false" customHeight="false" outlineLevel="0" collapsed="false">
      <c r="A138" s="129"/>
      <c r="B138" s="172"/>
      <c r="C138" s="110"/>
      <c r="D138" s="122"/>
      <c r="E138" s="122"/>
      <c r="F138" s="173"/>
      <c r="G138" s="123"/>
      <c r="H138" s="101"/>
      <c r="I138" s="123"/>
      <c r="J138" s="101"/>
      <c r="K138" s="124" t="s">
        <v>486</v>
      </c>
      <c r="L138" s="125" t="n">
        <f aca="false">$F$134</f>
        <v>6.34</v>
      </c>
      <c r="M138" s="125" t="n">
        <v>0.125</v>
      </c>
      <c r="N138" s="126" t="n">
        <f aca="false">$C$134</f>
        <v>1</v>
      </c>
      <c r="O138" s="126" t="n">
        <f aca="false">CEILING(L138/M138,1)+1</f>
        <v>52</v>
      </c>
      <c r="P138" s="126" t="n">
        <v>8</v>
      </c>
      <c r="Q138" s="127" t="n">
        <f aca="false">2*($D$134-2*0.035)+2*($E$134-2*0.035)+20*8/1000</f>
        <v>1.38</v>
      </c>
      <c r="R138" s="105" t="str">
        <f aca="false">IF(P138=6,N138*O138*Q138*0.222*1,IF(P138&gt;6,"",IF(P138&lt;6,"")))</f>
        <v/>
      </c>
      <c r="S138" s="106" t="n">
        <f aca="false">IF(P138=8,N138*O138*Q138*0.395*1,IF(P138&gt;8,"",IF(P138&lt;8,"")))</f>
        <v>28.3452</v>
      </c>
      <c r="T138" s="106" t="str">
        <f aca="false">IF(P138=10,N138*O138*Q138*0.617*1,IF(P138&gt;10,"",IF(P138&lt;10,"")))</f>
        <v/>
      </c>
      <c r="U138" s="106" t="str">
        <f aca="false">IF(P138=12,N138*O138*Q138*0.888*1,IF(P138&gt;12,"",IF(P138&lt;12,"")))</f>
        <v/>
      </c>
      <c r="V138" s="107" t="str">
        <f aca="false">IF(P138=16,N138*O138*Q138*1.578*1,IF(P138&gt;16,"",IF(P138&lt;16,"")))</f>
        <v/>
      </c>
      <c r="W138" s="106" t="str">
        <f aca="false">IF(P138=20,N138*O138*Q138*2.466*1,IF(P138&gt;20,"",IF(P138&lt;20,"")))</f>
        <v/>
      </c>
      <c r="X138" s="106" t="str">
        <f aca="false">IF(P138=25,N138*O138*Q138*3.853*1,IF(P138&gt;25,"",IF(P138&lt;25,"")))</f>
        <v/>
      </c>
      <c r="Y138" s="108" t="str">
        <f aca="false">IF(P138=32,N138*O138*Q138*6.313*1,IF(P138&gt;32,"",IF(P138&lt;32,"")))</f>
        <v/>
      </c>
      <c r="Z138" s="109"/>
      <c r="AA138" s="110" t="str">
        <f aca="false">IF(AC138&gt;0,N138,"")</f>
        <v/>
      </c>
      <c r="AB138" s="111" t="str">
        <f aca="false">IF(AC138&gt;0,O138,"")</f>
        <v/>
      </c>
      <c r="AC138" s="112"/>
      <c r="AD138" s="112"/>
      <c r="AE138" s="113" t="str">
        <f aca="false">IF(AC138&gt;0,P138,"")</f>
        <v/>
      </c>
      <c r="AF138" s="114" t="str">
        <f aca="false">IF(AE138=6,AA138*AB138*AC138*AD138*(AE138/1000)*0.222*1,IF(AE138&gt;6,"",IF(AE138&lt;6,"")))</f>
        <v/>
      </c>
      <c r="AG138" s="107" t="str">
        <f aca="false">IF(AE138=8,AA138*AB138*AC138*AD138*(AE138/1000)*0.395*1,IF(AE138&gt;8,"",IF(AE138&lt;8,"")))</f>
        <v/>
      </c>
      <c r="AH138" s="107" t="str">
        <f aca="false">IF(AE138=10,AA138*AB138*AC138*AD138*(AE138/1000)*0.617*1,IF(AE138&gt;10,"",IF(AE138&lt;10,"")))</f>
        <v/>
      </c>
      <c r="AI138" s="107" t="str">
        <f aca="false">IF(AE138=12,AA138*AB138*AC138*AD138*(AE138/1000)*0.888*1,IF(AE138&gt;12,"",IF(AE138&lt;12,"")))</f>
        <v/>
      </c>
      <c r="AJ138" s="107" t="str">
        <f aca="false">IF(AE138=16,AA138*AB138*AC138*AD138*(AE138/1000)*1.578*1,IF(AE138&gt;16,"",IF(AE138&lt;16,"")))</f>
        <v/>
      </c>
      <c r="AK138" s="107" t="str">
        <f aca="false">IF(AE138=20,AA138*AB138*AC138*AD138*(AE138/1000)*2.466*1,IF(AE138&gt;20,"",IF(AE138&lt;20,"")))</f>
        <v/>
      </c>
      <c r="AL138" s="107" t="str">
        <f aca="false">IF(AE138=25,AA138*AB138*AC138*AD138*(AE138/1000)*3.853*1,IF(AE138&gt;25,"",IF(AE138&lt;25,"")))</f>
        <v/>
      </c>
      <c r="AM138" s="115" t="str">
        <f aca="false">IF(AE138=32,AA138*AB138*AC138*AD138*(AE138/1000)*6.313*1,IF(AE138&gt;32,"",IF(AE138&lt;32,"")))</f>
        <v/>
      </c>
      <c r="AN138" s="128"/>
      <c r="AO138" s="117" t="s">
        <v>170</v>
      </c>
      <c r="AP138" s="118" t="n">
        <f aca="false">SUM(R138:Y138)+SUM(AN138)</f>
        <v>28.3452</v>
      </c>
      <c r="AQ138" s="118" t="n">
        <f aca="false">SUM(AF138:AM138)</f>
        <v>0</v>
      </c>
      <c r="AR138" s="118"/>
      <c r="AS138" s="119"/>
      <c r="AT138" s="119" t="s">
        <v>162</v>
      </c>
    </row>
    <row r="139" s="55" customFormat="true" ht="13.5" hidden="false" customHeight="false" outlineLevel="0" collapsed="false">
      <c r="A139" s="129"/>
      <c r="B139" s="130"/>
      <c r="C139" s="110"/>
      <c r="D139" s="122"/>
      <c r="E139" s="122"/>
      <c r="F139" s="122"/>
      <c r="G139" s="123"/>
      <c r="H139" s="101"/>
      <c r="I139" s="123"/>
      <c r="J139" s="101"/>
      <c r="K139" s="124"/>
      <c r="L139" s="125"/>
      <c r="M139" s="125"/>
      <c r="N139" s="126"/>
      <c r="O139" s="126"/>
      <c r="P139" s="126"/>
      <c r="Q139" s="127"/>
      <c r="R139" s="105"/>
      <c r="S139" s="106"/>
      <c r="T139" s="106"/>
      <c r="U139" s="106"/>
      <c r="V139" s="107"/>
      <c r="W139" s="106"/>
      <c r="X139" s="106"/>
      <c r="Y139" s="108"/>
      <c r="Z139" s="109"/>
      <c r="AA139" s="110"/>
      <c r="AB139" s="111"/>
      <c r="AC139" s="112"/>
      <c r="AD139" s="112"/>
      <c r="AE139" s="113"/>
      <c r="AF139" s="114"/>
      <c r="AG139" s="107"/>
      <c r="AH139" s="107"/>
      <c r="AI139" s="107"/>
      <c r="AJ139" s="107"/>
      <c r="AK139" s="107"/>
      <c r="AL139" s="107"/>
      <c r="AM139" s="115"/>
      <c r="AO139" s="117"/>
      <c r="AP139" s="118"/>
      <c r="AQ139" s="118"/>
      <c r="AR139" s="118"/>
      <c r="AS139" s="119"/>
      <c r="AT139" s="119"/>
    </row>
    <row r="140" customFormat="false" ht="13.5" hidden="false" customHeight="false" outlineLevel="0" collapsed="false">
      <c r="A140" s="120"/>
      <c r="B140" s="121" t="s">
        <v>543</v>
      </c>
      <c r="C140" s="110" t="n">
        <v>1</v>
      </c>
      <c r="D140" s="122" t="n">
        <v>0.25</v>
      </c>
      <c r="E140" s="122" t="n">
        <v>0.5</v>
      </c>
      <c r="F140" s="122" t="n">
        <f aca="false">0.4975/(0.25*0.5)</f>
        <v>3.98</v>
      </c>
      <c r="G140" s="123" t="n">
        <f aca="false">C140*D140*E140*F140</f>
        <v>0.4975</v>
      </c>
      <c r="H140" s="101"/>
      <c r="I140" s="123" t="n">
        <f aca="false">C140*F140*(D140+(E140-0.2)+(E140))</f>
        <v>4.179</v>
      </c>
      <c r="J140" s="101"/>
      <c r="K140" s="124"/>
      <c r="L140" s="125"/>
      <c r="M140" s="125"/>
      <c r="N140" s="126"/>
      <c r="O140" s="126"/>
      <c r="P140" s="126"/>
      <c r="Q140" s="127"/>
      <c r="R140" s="105" t="str">
        <f aca="false">IF(P140=6,N140*O140*Q140*0.222*1,IF(P140&gt;6,"",IF(P140&lt;6,"")))</f>
        <v/>
      </c>
      <c r="S140" s="106" t="str">
        <f aca="false">IF(P140=8,N140*O140*Q140*0.395*1,IF(P140&gt;8,"",IF(P140&lt;8,"")))</f>
        <v/>
      </c>
      <c r="T140" s="106" t="str">
        <f aca="false">IF(P140=10,N140*O140*Q140*0.617*1,IF(P140&gt;10,"",IF(P140&lt;10,"")))</f>
        <v/>
      </c>
      <c r="U140" s="106" t="str">
        <f aca="false">IF(P140=12,N140*O140*Q140*0.888*1,IF(P140&gt;12,"",IF(P140&lt;12,"")))</f>
        <v/>
      </c>
      <c r="V140" s="107" t="str">
        <f aca="false">IF(P140=16,N140*O140*Q140*1.578*1,IF(P140&gt;16,"",IF(P140&lt;16,"")))</f>
        <v/>
      </c>
      <c r="W140" s="106" t="str">
        <f aca="false">IF(P140=20,N140*O140*Q140*2.466*1,IF(P140&gt;20,"",IF(P140&lt;20,"")))</f>
        <v/>
      </c>
      <c r="X140" s="106" t="str">
        <f aca="false">IF(P140=25,N140*O140*Q140*3.853*1,IF(P140&gt;25,"",IF(P140&lt;25,"")))</f>
        <v/>
      </c>
      <c r="Y140" s="108" t="str">
        <f aca="false">IF(P140=32,N140*O140*Q140*6.313*1,IF(P140&gt;32,"",IF(P140&lt;32,"")))</f>
        <v/>
      </c>
      <c r="Z140" s="109"/>
      <c r="AA140" s="110" t="str">
        <f aca="false">IF(AC140&gt;0,N140,"")</f>
        <v/>
      </c>
      <c r="AB140" s="111" t="str">
        <f aca="false">IF(AC140&gt;0,O140,"")</f>
        <v/>
      </c>
      <c r="AC140" s="112"/>
      <c r="AD140" s="112"/>
      <c r="AE140" s="113" t="str">
        <f aca="false">IF(AC140&gt;0,P140,"")</f>
        <v/>
      </c>
      <c r="AF140" s="114" t="str">
        <f aca="false">IF(AE140=6,AA140*AB140*AC140*AD140*(AE140/1000)*0.222*1,IF(AE140&gt;6,"",IF(AE140&lt;6,"")))</f>
        <v/>
      </c>
      <c r="AG140" s="107" t="str">
        <f aca="false">IF(AE140=8,AA140*AB140*AC140*AD140*(AE140/1000)*0.395*1,IF(AE140&gt;8,"",IF(AE140&lt;8,"")))</f>
        <v/>
      </c>
      <c r="AH140" s="107" t="str">
        <f aca="false">IF(AE140=10,AA140*AB140*AC140*AD140*(AE140/1000)*0.617*1,IF(AE140&gt;10,"",IF(AE140&lt;10,"")))</f>
        <v/>
      </c>
      <c r="AI140" s="107" t="str">
        <f aca="false">IF(AE140=12,AA140*AB140*AC140*AD140*(AE140/1000)*0.888*1,IF(AE140&gt;12,"",IF(AE140&lt;12,"")))</f>
        <v/>
      </c>
      <c r="AJ140" s="107" t="str">
        <f aca="false">IF(AE140=16,AA140*AB140*AC140*AD140*(AE140/1000)*1.578*1,IF(AE140&gt;16,"",IF(AE140&lt;16,"")))</f>
        <v/>
      </c>
      <c r="AK140" s="107" t="str">
        <f aca="false">IF(AE140=20,AA140*AB140*AC140*AD140*(AE140/1000)*2.466*1,IF(AE140&gt;20,"",IF(AE140&lt;20,"")))</f>
        <v/>
      </c>
      <c r="AL140" s="107" t="str">
        <f aca="false">IF(AE140=25,AA140*AB140*AC140*AD140*(AE140/1000)*3.853*1,IF(AE140&gt;25,"",IF(AE140&lt;25,"")))</f>
        <v/>
      </c>
      <c r="AM140" s="115" t="str">
        <f aca="false">IF(AE140=32,AA140*AB140*AC140*AD140*(AE140/1000)*6.313*1,IF(AE140&gt;32,"",IF(AE140&lt;32,"")))</f>
        <v/>
      </c>
      <c r="AN140" s="128"/>
      <c r="AO140" s="117" t="s">
        <v>170</v>
      </c>
      <c r="AP140" s="118" t="n">
        <f aca="false">SUM(R140:Y140)+SUM(AN140)</f>
        <v>0</v>
      </c>
      <c r="AQ140" s="118" t="n">
        <f aca="false">SUM(AF140:AM140)</f>
        <v>0</v>
      </c>
      <c r="AR140" s="118" t="n">
        <v>0.4975</v>
      </c>
      <c r="AS140" s="119" t="s">
        <v>544</v>
      </c>
      <c r="AT140" s="119" t="s">
        <v>209</v>
      </c>
    </row>
    <row r="141" customFormat="false" ht="13.5" hidden="false" customHeight="false" outlineLevel="0" collapsed="false">
      <c r="A141" s="129"/>
      <c r="B141" s="172"/>
      <c r="C141" s="110"/>
      <c r="D141" s="122"/>
      <c r="E141" s="122"/>
      <c r="F141" s="173"/>
      <c r="G141" s="123"/>
      <c r="H141" s="101"/>
      <c r="I141" s="123"/>
      <c r="J141" s="101"/>
      <c r="K141" s="124" t="s">
        <v>491</v>
      </c>
      <c r="L141" s="125"/>
      <c r="M141" s="125"/>
      <c r="N141" s="126" t="n">
        <f aca="false">$C$140</f>
        <v>1</v>
      </c>
      <c r="O141" s="126" t="n">
        <v>2</v>
      </c>
      <c r="P141" s="126" t="n">
        <v>16</v>
      </c>
      <c r="Q141" s="127" t="n">
        <f aca="false">3.98+2*50*16/1000</f>
        <v>5.58</v>
      </c>
      <c r="R141" s="105" t="str">
        <f aca="false">IF(P141=6,N141*O141*Q141*0.222*1,IF(P141&gt;6,"",IF(P141&lt;6,"")))</f>
        <v/>
      </c>
      <c r="S141" s="106" t="str">
        <f aca="false">IF(P141=8,N141*O141*Q141*0.395*1,IF(P141&gt;8,"",IF(P141&lt;8,"")))</f>
        <v/>
      </c>
      <c r="T141" s="106" t="str">
        <f aca="false">IF(P141=10,N141*O141*Q141*0.617*1,IF(P141&gt;10,"",IF(P141&lt;10,"")))</f>
        <v/>
      </c>
      <c r="U141" s="106" t="str">
        <f aca="false">IF(P141=12,N141*O141*Q141*0.888*1,IF(P141&gt;12,"",IF(P141&lt;12,"")))</f>
        <v/>
      </c>
      <c r="V141" s="107" t="n">
        <f aca="false">IF(P141=16,N141*O141*Q141*1.578*1,IF(P141&gt;16,"",IF(P141&lt;16,"")))</f>
        <v>17.61048</v>
      </c>
      <c r="W141" s="106" t="str">
        <f aca="false">IF(P141=20,N141*O141*Q141*2.466*1,IF(P141&gt;20,"",IF(P141&lt;20,"")))</f>
        <v/>
      </c>
      <c r="X141" s="106" t="str">
        <f aca="false">IF(P141=25,N141*O141*Q141*3.853*1,IF(P141&gt;25,"",IF(P141&lt;25,"")))</f>
        <v/>
      </c>
      <c r="Y141" s="108" t="str">
        <f aca="false">IF(P141=32,N141*O141*Q141*6.313*1,IF(P141&gt;32,"",IF(P141&lt;32,"")))</f>
        <v/>
      </c>
      <c r="Z141" s="109"/>
      <c r="AA141" s="110" t="str">
        <f aca="false">IF(AC141&gt;0,N141,"")</f>
        <v/>
      </c>
      <c r="AB141" s="111" t="str">
        <f aca="false">IF(AC141&gt;0,O141,"")</f>
        <v/>
      </c>
      <c r="AC141" s="112"/>
      <c r="AD141" s="112"/>
      <c r="AE141" s="113" t="str">
        <f aca="false">IF(AC141&gt;0,P141,"")</f>
        <v/>
      </c>
      <c r="AF141" s="114" t="str">
        <f aca="false">IF(AE141=6,AA141*AB141*AC141*AD141*(AE141/1000)*0.222*1,IF(AE141&gt;6,"",IF(AE141&lt;6,"")))</f>
        <v/>
      </c>
      <c r="AG141" s="107" t="str">
        <f aca="false">IF(AE141=8,AA141*AB141*AC141*AD141*(AE141/1000)*0.395*1,IF(AE141&gt;8,"",IF(AE141&lt;8,"")))</f>
        <v/>
      </c>
      <c r="AH141" s="107" t="str">
        <f aca="false">IF(AE141=10,AA141*AB141*AC141*AD141*(AE141/1000)*0.617*1,IF(AE141&gt;10,"",IF(AE141&lt;10,"")))</f>
        <v/>
      </c>
      <c r="AI141" s="107" t="str">
        <f aca="false">IF(AE141=12,AA141*AB141*AC141*AD141*(AE141/1000)*0.888*1,IF(AE141&gt;12,"",IF(AE141&lt;12,"")))</f>
        <v/>
      </c>
      <c r="AJ141" s="107" t="str">
        <f aca="false">IF(AE141=16,AA141*AB141*AC141*AD141*(AE141/1000)*1.578*1,IF(AE141&gt;16,"",IF(AE141&lt;16,"")))</f>
        <v/>
      </c>
      <c r="AK141" s="107" t="str">
        <f aca="false">IF(AE141=20,AA141*AB141*AC141*AD141*(AE141/1000)*2.466*1,IF(AE141&gt;20,"",IF(AE141&lt;20,"")))</f>
        <v/>
      </c>
      <c r="AL141" s="107" t="str">
        <f aca="false">IF(AE141=25,AA141*AB141*AC141*AD141*(AE141/1000)*3.853*1,IF(AE141&gt;25,"",IF(AE141&lt;25,"")))</f>
        <v/>
      </c>
      <c r="AM141" s="115" t="str">
        <f aca="false">IF(AE141=32,AA141*AB141*AC141*AD141*(AE141/1000)*6.313*1,IF(AE141&gt;32,"",IF(AE141&lt;32,"")))</f>
        <v/>
      </c>
      <c r="AN141" s="128"/>
      <c r="AO141" s="117" t="s">
        <v>170</v>
      </c>
      <c r="AP141" s="118" t="n">
        <f aca="false">SUM(R141:Y141)+SUM(AN141)</f>
        <v>17.61048</v>
      </c>
      <c r="AQ141" s="118" t="n">
        <f aca="false">SUM(AF141:AM141)</f>
        <v>0</v>
      </c>
      <c r="AR141" s="118"/>
      <c r="AS141" s="119" t="s">
        <v>482</v>
      </c>
      <c r="AT141" s="119" t="s">
        <v>162</v>
      </c>
    </row>
    <row r="142" s="55" customFormat="true" ht="13.5" hidden="false" customHeight="false" outlineLevel="0" collapsed="false">
      <c r="A142" s="129"/>
      <c r="B142" s="172"/>
      <c r="C142" s="110"/>
      <c r="D142" s="122"/>
      <c r="E142" s="122"/>
      <c r="F142" s="173"/>
      <c r="G142" s="123"/>
      <c r="H142" s="101"/>
      <c r="I142" s="123"/>
      <c r="J142" s="101"/>
      <c r="K142" s="124" t="s">
        <v>492</v>
      </c>
      <c r="L142" s="125"/>
      <c r="M142" s="125"/>
      <c r="N142" s="126" t="n">
        <f aca="false">$C$140</f>
        <v>1</v>
      </c>
      <c r="O142" s="126" t="n">
        <v>1</v>
      </c>
      <c r="P142" s="126" t="n">
        <v>12</v>
      </c>
      <c r="Q142" s="127" t="n">
        <f aca="false">3.98+2*50*12/1000</f>
        <v>5.18</v>
      </c>
      <c r="R142" s="105" t="str">
        <f aca="false">IF(P142=6,N142*O142*Q142*0.222*1,IF(P142&gt;6,"",IF(P142&lt;6,"")))</f>
        <v/>
      </c>
      <c r="S142" s="106" t="str">
        <f aca="false">IF(P142=8,N142*O142*Q142*0.395*1,IF(P142&gt;8,"",IF(P142&lt;8,"")))</f>
        <v/>
      </c>
      <c r="T142" s="106" t="str">
        <f aca="false">IF(P142=10,N142*O142*Q142*0.617*1,IF(P142&gt;10,"",IF(P142&lt;10,"")))</f>
        <v/>
      </c>
      <c r="U142" s="106" t="n">
        <f aca="false">IF(P142=12,N142*O142*Q142*0.888*1,IF(P142&gt;12,"",IF(P142&lt;12,"")))</f>
        <v>4.59984</v>
      </c>
      <c r="V142" s="107" t="str">
        <f aca="false">IF(P142=16,N142*O142*Q142*1.578*1,IF(P142&gt;16,"",IF(P142&lt;16,"")))</f>
        <v/>
      </c>
      <c r="W142" s="106" t="str">
        <f aca="false">IF(P142=20,N142*O142*Q142*2.466*1,IF(P142&gt;20,"",IF(P142&lt;20,"")))</f>
        <v/>
      </c>
      <c r="X142" s="106" t="str">
        <f aca="false">IF(P142=25,N142*O142*Q142*3.853*1,IF(P142&gt;25,"",IF(P142&lt;25,"")))</f>
        <v/>
      </c>
      <c r="Y142" s="108" t="str">
        <f aca="false">IF(P142=32,N142*O142*Q142*6.313*1,IF(P142&gt;32,"",IF(P142&lt;32,"")))</f>
        <v/>
      </c>
      <c r="Z142" s="109"/>
      <c r="AA142" s="110" t="str">
        <f aca="false">IF(AC142&gt;0,N142,"")</f>
        <v/>
      </c>
      <c r="AB142" s="111" t="str">
        <f aca="false">IF(AC142&gt;0,O142,"")</f>
        <v/>
      </c>
      <c r="AC142" s="112"/>
      <c r="AD142" s="112"/>
      <c r="AE142" s="113" t="str">
        <f aca="false">IF(AC142&gt;0,P142,"")</f>
        <v/>
      </c>
      <c r="AF142" s="114" t="str">
        <f aca="false">IF(AE142=6,AA142*AB142*AC142*AD142*(AE142/1000)*0.222*1,IF(AE142&gt;6,"",IF(AE142&lt;6,"")))</f>
        <v/>
      </c>
      <c r="AG142" s="107" t="str">
        <f aca="false">IF(AE142=8,AA142*AB142*AC142*AD142*(AE142/1000)*0.395*1,IF(AE142&gt;8,"",IF(AE142&lt;8,"")))</f>
        <v/>
      </c>
      <c r="AH142" s="107" t="str">
        <f aca="false">IF(AE142=10,AA142*AB142*AC142*AD142*(AE142/1000)*0.617*1,IF(AE142&gt;10,"",IF(AE142&lt;10,"")))</f>
        <v/>
      </c>
      <c r="AI142" s="107" t="str">
        <f aca="false">IF(AE142=12,AA142*AB142*AC142*AD142*(AE142/1000)*0.888*1,IF(AE142&gt;12,"",IF(AE142&lt;12,"")))</f>
        <v/>
      </c>
      <c r="AJ142" s="107" t="str">
        <f aca="false">IF(AE142=16,AA142*AB142*AC142*AD142*(AE142/1000)*1.578*1,IF(AE142&gt;16,"",IF(AE142&lt;16,"")))</f>
        <v/>
      </c>
      <c r="AK142" s="107" t="str">
        <f aca="false">IF(AE142=20,AA142*AB142*AC142*AD142*(AE142/1000)*2.466*1,IF(AE142&gt;20,"",IF(AE142&lt;20,"")))</f>
        <v/>
      </c>
      <c r="AL142" s="107" t="str">
        <f aca="false">IF(AE142=25,AA142*AB142*AC142*AD142*(AE142/1000)*3.853*1,IF(AE142&gt;25,"",IF(AE142&lt;25,"")))</f>
        <v/>
      </c>
      <c r="AM142" s="115" t="str">
        <f aca="false">IF(AE142=32,AA142*AB142*AC142*AD142*(AE142/1000)*6.313*1,IF(AE142&gt;32,"",IF(AE142&lt;32,"")))</f>
        <v/>
      </c>
      <c r="AN142" s="128"/>
      <c r="AO142" s="117" t="s">
        <v>170</v>
      </c>
      <c r="AP142" s="118" t="n">
        <f aca="false">SUM(R142:Y142)+SUM(AN142)</f>
        <v>4.59984</v>
      </c>
      <c r="AQ142" s="118" t="n">
        <f aca="false">SUM(AF142:AM142)</f>
        <v>0</v>
      </c>
      <c r="AR142" s="118"/>
      <c r="AS142" s="119" t="s">
        <v>482</v>
      </c>
      <c r="AT142" s="119" t="s">
        <v>162</v>
      </c>
    </row>
    <row r="143" s="95" customFormat="true" ht="13.5" hidden="false" customHeight="false" outlineLevel="0" collapsed="false">
      <c r="A143" s="129"/>
      <c r="B143" s="172"/>
      <c r="C143" s="110"/>
      <c r="D143" s="122"/>
      <c r="E143" s="122"/>
      <c r="F143" s="173"/>
      <c r="G143" s="123"/>
      <c r="H143" s="101"/>
      <c r="I143" s="123"/>
      <c r="J143" s="101"/>
      <c r="K143" s="124" t="s">
        <v>493</v>
      </c>
      <c r="L143" s="125"/>
      <c r="M143" s="125"/>
      <c r="N143" s="126" t="n">
        <f aca="false">$C$140</f>
        <v>1</v>
      </c>
      <c r="O143" s="126" t="n">
        <v>2</v>
      </c>
      <c r="P143" s="126" t="n">
        <v>16</v>
      </c>
      <c r="Q143" s="127" t="n">
        <f aca="false">3.98+2*50*16/1000</f>
        <v>5.58</v>
      </c>
      <c r="R143" s="105" t="str">
        <f aca="false">IF(P143=6,N143*O143*Q143*0.222*1,IF(P143&gt;6,"",IF(P143&lt;6,"")))</f>
        <v/>
      </c>
      <c r="S143" s="106" t="str">
        <f aca="false">IF(P143=8,N143*O143*Q143*0.395*1,IF(P143&gt;8,"",IF(P143&lt;8,"")))</f>
        <v/>
      </c>
      <c r="T143" s="106" t="str">
        <f aca="false">IF(P143=10,N143*O143*Q143*0.617*1,IF(P143&gt;10,"",IF(P143&lt;10,"")))</f>
        <v/>
      </c>
      <c r="U143" s="106" t="str">
        <f aca="false">IF(P143=12,N143*O143*Q143*0.888*1,IF(P143&gt;12,"",IF(P143&lt;12,"")))</f>
        <v/>
      </c>
      <c r="V143" s="107" t="n">
        <f aca="false">IF(P143=16,N143*O143*Q143*1.578*1,IF(P143&gt;16,"",IF(P143&lt;16,"")))</f>
        <v>17.61048</v>
      </c>
      <c r="W143" s="106" t="str">
        <f aca="false">IF(P143=20,N143*O143*Q143*2.466*1,IF(P143&gt;20,"",IF(P143&lt;20,"")))</f>
        <v/>
      </c>
      <c r="X143" s="106" t="str">
        <f aca="false">IF(P143=25,N143*O143*Q143*3.853*1,IF(P143&gt;25,"",IF(P143&lt;25,"")))</f>
        <v/>
      </c>
      <c r="Y143" s="108" t="str">
        <f aca="false">IF(P143=32,N143*O143*Q143*6.313*1,IF(P143&gt;32,"",IF(P143&lt;32,"")))</f>
        <v/>
      </c>
      <c r="Z143" s="109"/>
      <c r="AA143" s="110" t="str">
        <f aca="false">IF(AC143&gt;0,N143,"")</f>
        <v/>
      </c>
      <c r="AB143" s="111" t="str">
        <f aca="false">IF(AC143&gt;0,O143,"")</f>
        <v/>
      </c>
      <c r="AC143" s="112"/>
      <c r="AD143" s="112"/>
      <c r="AE143" s="113" t="str">
        <f aca="false">IF(AC143&gt;0,P143,"")</f>
        <v/>
      </c>
      <c r="AF143" s="114" t="str">
        <f aca="false">IF(AE143=6,AA143*AB143*AC143*AD143*(AE143/1000)*0.222*1,IF(AE143&gt;6,"",IF(AE143&lt;6,"")))</f>
        <v/>
      </c>
      <c r="AG143" s="107" t="str">
        <f aca="false">IF(AE143=8,AA143*AB143*AC143*AD143*(AE143/1000)*0.395*1,IF(AE143&gt;8,"",IF(AE143&lt;8,"")))</f>
        <v/>
      </c>
      <c r="AH143" s="107" t="str">
        <f aca="false">IF(AE143=10,AA143*AB143*AC143*AD143*(AE143/1000)*0.617*1,IF(AE143&gt;10,"",IF(AE143&lt;10,"")))</f>
        <v/>
      </c>
      <c r="AI143" s="107" t="str">
        <f aca="false">IF(AE143=12,AA143*AB143*AC143*AD143*(AE143/1000)*0.888*1,IF(AE143&gt;12,"",IF(AE143&lt;12,"")))</f>
        <v/>
      </c>
      <c r="AJ143" s="107" t="str">
        <f aca="false">IF(AE143=16,AA143*AB143*AC143*AD143*(AE143/1000)*1.578*1,IF(AE143&gt;16,"",IF(AE143&lt;16,"")))</f>
        <v/>
      </c>
      <c r="AK143" s="107" t="str">
        <f aca="false">IF(AE143=20,AA143*AB143*AC143*AD143*(AE143/1000)*2.466*1,IF(AE143&gt;20,"",IF(AE143&lt;20,"")))</f>
        <v/>
      </c>
      <c r="AL143" s="107" t="str">
        <f aca="false">IF(AE143=25,AA143*AB143*AC143*AD143*(AE143/1000)*3.853*1,IF(AE143&gt;25,"",IF(AE143&lt;25,"")))</f>
        <v/>
      </c>
      <c r="AM143" s="115" t="str">
        <f aca="false">IF(AE143=32,AA143*AB143*AC143*AD143*(AE143/1000)*6.313*1,IF(AE143&gt;32,"",IF(AE143&lt;32,"")))</f>
        <v/>
      </c>
      <c r="AN143" s="128"/>
      <c r="AO143" s="117" t="s">
        <v>170</v>
      </c>
      <c r="AP143" s="118" t="n">
        <f aca="false">SUM(R143:Y143)+SUM(AN143)</f>
        <v>17.61048</v>
      </c>
      <c r="AQ143" s="118" t="n">
        <f aca="false">SUM(AF143:AM143)</f>
        <v>0</v>
      </c>
      <c r="AR143" s="118"/>
      <c r="AS143" s="119" t="s">
        <v>482</v>
      </c>
      <c r="AT143" s="119" t="s">
        <v>162</v>
      </c>
    </row>
    <row r="144" s="116" customFormat="true" ht="13.5" hidden="false" customHeight="false" outlineLevel="0" collapsed="false">
      <c r="A144" s="129"/>
      <c r="B144" s="172"/>
      <c r="C144" s="110"/>
      <c r="D144" s="122"/>
      <c r="E144" s="122"/>
      <c r="F144" s="173"/>
      <c r="G144" s="123"/>
      <c r="H144" s="101"/>
      <c r="I144" s="123"/>
      <c r="J144" s="101"/>
      <c r="K144" s="124" t="s">
        <v>494</v>
      </c>
      <c r="L144" s="125"/>
      <c r="M144" s="125"/>
      <c r="N144" s="126" t="n">
        <f aca="false">$C$140</f>
        <v>1</v>
      </c>
      <c r="O144" s="126" t="n">
        <v>1</v>
      </c>
      <c r="P144" s="126" t="n">
        <v>12</v>
      </c>
      <c r="Q144" s="127" t="n">
        <f aca="false">3.98+2*50*12/1000</f>
        <v>5.18</v>
      </c>
      <c r="R144" s="105" t="str">
        <f aca="false">IF(P144=6,N144*O144*Q144*0.222*1,IF(P144&gt;6,"",IF(P144&lt;6,"")))</f>
        <v/>
      </c>
      <c r="S144" s="106" t="str">
        <f aca="false">IF(P144=8,N144*O144*Q144*0.395*1,IF(P144&gt;8,"",IF(P144&lt;8,"")))</f>
        <v/>
      </c>
      <c r="T144" s="106" t="str">
        <f aca="false">IF(P144=10,N144*O144*Q144*0.617*1,IF(P144&gt;10,"",IF(P144&lt;10,"")))</f>
        <v/>
      </c>
      <c r="U144" s="106" t="n">
        <f aca="false">IF(P144=12,N144*O144*Q144*0.888*1,IF(P144&gt;12,"",IF(P144&lt;12,"")))</f>
        <v>4.59984</v>
      </c>
      <c r="V144" s="107" t="str">
        <f aca="false">IF(P144=16,N144*O144*Q144*1.578*1,IF(P144&gt;16,"",IF(P144&lt;16,"")))</f>
        <v/>
      </c>
      <c r="W144" s="106" t="str">
        <f aca="false">IF(P144=20,N144*O144*Q144*2.466*1,IF(P144&gt;20,"",IF(P144&lt;20,"")))</f>
        <v/>
      </c>
      <c r="X144" s="106" t="str">
        <f aca="false">IF(P144=25,N144*O144*Q144*3.853*1,IF(P144&gt;25,"",IF(P144&lt;25,"")))</f>
        <v/>
      </c>
      <c r="Y144" s="108" t="str">
        <f aca="false">IF(P144=32,N144*O144*Q144*6.313*1,IF(P144&gt;32,"",IF(P144&lt;32,"")))</f>
        <v/>
      </c>
      <c r="Z144" s="109"/>
      <c r="AA144" s="110" t="str">
        <f aca="false">IF(AC144&gt;0,N144,"")</f>
        <v/>
      </c>
      <c r="AB144" s="111" t="str">
        <f aca="false">IF(AC144&gt;0,O144,"")</f>
        <v/>
      </c>
      <c r="AC144" s="112"/>
      <c r="AD144" s="112"/>
      <c r="AE144" s="113" t="str">
        <f aca="false">IF(AC144&gt;0,P144,"")</f>
        <v/>
      </c>
      <c r="AF144" s="114" t="str">
        <f aca="false">IF(AE144=6,AA144*AB144*AC144*AD144*(AE144/1000)*0.222*1,IF(AE144&gt;6,"",IF(AE144&lt;6,"")))</f>
        <v/>
      </c>
      <c r="AG144" s="107" t="str">
        <f aca="false">IF(AE144=8,AA144*AB144*AC144*AD144*(AE144/1000)*0.395*1,IF(AE144&gt;8,"",IF(AE144&lt;8,"")))</f>
        <v/>
      </c>
      <c r="AH144" s="107" t="str">
        <f aca="false">IF(AE144=10,AA144*AB144*AC144*AD144*(AE144/1000)*0.617*1,IF(AE144&gt;10,"",IF(AE144&lt;10,"")))</f>
        <v/>
      </c>
      <c r="AI144" s="107" t="str">
        <f aca="false">IF(AE144=12,AA144*AB144*AC144*AD144*(AE144/1000)*0.888*1,IF(AE144&gt;12,"",IF(AE144&lt;12,"")))</f>
        <v/>
      </c>
      <c r="AJ144" s="107" t="str">
        <f aca="false">IF(AE144=16,AA144*AB144*AC144*AD144*(AE144/1000)*1.578*1,IF(AE144&gt;16,"",IF(AE144&lt;16,"")))</f>
        <v/>
      </c>
      <c r="AK144" s="107" t="str">
        <f aca="false">IF(AE144=20,AA144*AB144*AC144*AD144*(AE144/1000)*2.466*1,IF(AE144&gt;20,"",IF(AE144&lt;20,"")))</f>
        <v/>
      </c>
      <c r="AL144" s="107" t="str">
        <f aca="false">IF(AE144=25,AA144*AB144*AC144*AD144*(AE144/1000)*3.853*1,IF(AE144&gt;25,"",IF(AE144&lt;25,"")))</f>
        <v/>
      </c>
      <c r="AM144" s="115" t="str">
        <f aca="false">IF(AE144=32,AA144*AB144*AC144*AD144*(AE144/1000)*6.313*1,IF(AE144&gt;32,"",IF(AE144&lt;32,"")))</f>
        <v/>
      </c>
      <c r="AN144" s="128"/>
      <c r="AO144" s="117" t="s">
        <v>170</v>
      </c>
      <c r="AP144" s="118" t="n">
        <f aca="false">SUM(R144:Y144)+SUM(AN144)</f>
        <v>4.59984</v>
      </c>
      <c r="AQ144" s="118" t="n">
        <f aca="false">SUM(AF144:AM144)</f>
        <v>0</v>
      </c>
      <c r="AR144" s="118"/>
      <c r="AS144" s="119" t="s">
        <v>482</v>
      </c>
      <c r="AT144" s="119" t="s">
        <v>162</v>
      </c>
    </row>
    <row r="145" customFormat="false" ht="13.5" hidden="false" customHeight="false" outlineLevel="0" collapsed="false">
      <c r="A145" s="129"/>
      <c r="B145" s="172"/>
      <c r="C145" s="110"/>
      <c r="D145" s="122"/>
      <c r="E145" s="122"/>
      <c r="F145" s="173"/>
      <c r="G145" s="123"/>
      <c r="H145" s="101"/>
      <c r="I145" s="123"/>
      <c r="J145" s="101"/>
      <c r="K145" s="124" t="s">
        <v>486</v>
      </c>
      <c r="L145" s="125" t="n">
        <f aca="false">$F$140</f>
        <v>3.98</v>
      </c>
      <c r="M145" s="125" t="n">
        <v>0.125</v>
      </c>
      <c r="N145" s="126" t="n">
        <f aca="false">$C$140</f>
        <v>1</v>
      </c>
      <c r="O145" s="126" t="n">
        <f aca="false">CEILING(L145/M145,1)+1</f>
        <v>33</v>
      </c>
      <c r="P145" s="126" t="n">
        <v>8</v>
      </c>
      <c r="Q145" s="127" t="n">
        <f aca="false">2*($D$140-2*0.035)+2*($E$140-2*0.035)+20*8/1000</f>
        <v>1.38</v>
      </c>
      <c r="R145" s="105" t="str">
        <f aca="false">IF(P145=6,N145*O145*Q145*0.222*1,IF(P145&gt;6,"",IF(P145&lt;6,"")))</f>
        <v/>
      </c>
      <c r="S145" s="106" t="n">
        <f aca="false">IF(P145=8,N145*O145*Q145*0.395*1,IF(P145&gt;8,"",IF(P145&lt;8,"")))</f>
        <v>17.9883</v>
      </c>
      <c r="T145" s="106" t="str">
        <f aca="false">IF(P145=10,N145*O145*Q145*0.617*1,IF(P145&gt;10,"",IF(P145&lt;10,"")))</f>
        <v/>
      </c>
      <c r="U145" s="106" t="str">
        <f aca="false">IF(P145=12,N145*O145*Q145*0.888*1,IF(P145&gt;12,"",IF(P145&lt;12,"")))</f>
        <v/>
      </c>
      <c r="V145" s="107" t="str">
        <f aca="false">IF(P145=16,N145*O145*Q145*1.578*1,IF(P145&gt;16,"",IF(P145&lt;16,"")))</f>
        <v/>
      </c>
      <c r="W145" s="106" t="str">
        <f aca="false">IF(P145=20,N145*O145*Q145*2.466*1,IF(P145&gt;20,"",IF(P145&lt;20,"")))</f>
        <v/>
      </c>
      <c r="X145" s="106" t="str">
        <f aca="false">IF(P145=25,N145*O145*Q145*3.853*1,IF(P145&gt;25,"",IF(P145&lt;25,"")))</f>
        <v/>
      </c>
      <c r="Y145" s="108" t="str">
        <f aca="false">IF(P145=32,N145*O145*Q145*6.313*1,IF(P145&gt;32,"",IF(P145&lt;32,"")))</f>
        <v/>
      </c>
      <c r="Z145" s="109"/>
      <c r="AA145" s="110" t="str">
        <f aca="false">IF(AC145&gt;0,N145,"")</f>
        <v/>
      </c>
      <c r="AB145" s="111" t="str">
        <f aca="false">IF(AC145&gt;0,O145,"")</f>
        <v/>
      </c>
      <c r="AC145" s="112"/>
      <c r="AD145" s="112"/>
      <c r="AE145" s="113" t="str">
        <f aca="false">IF(AC145&gt;0,P145,"")</f>
        <v/>
      </c>
      <c r="AF145" s="114" t="str">
        <f aca="false">IF(AE145=6,AA145*AB145*AC145*AD145*(AE145/1000)*0.222*1,IF(AE145&gt;6,"",IF(AE145&lt;6,"")))</f>
        <v/>
      </c>
      <c r="AG145" s="107" t="str">
        <f aca="false">IF(AE145=8,AA145*AB145*AC145*AD145*(AE145/1000)*0.395*1,IF(AE145&gt;8,"",IF(AE145&lt;8,"")))</f>
        <v/>
      </c>
      <c r="AH145" s="107" t="str">
        <f aca="false">IF(AE145=10,AA145*AB145*AC145*AD145*(AE145/1000)*0.617*1,IF(AE145&gt;10,"",IF(AE145&lt;10,"")))</f>
        <v/>
      </c>
      <c r="AI145" s="107" t="str">
        <f aca="false">IF(AE145=12,AA145*AB145*AC145*AD145*(AE145/1000)*0.888*1,IF(AE145&gt;12,"",IF(AE145&lt;12,"")))</f>
        <v/>
      </c>
      <c r="AJ145" s="107" t="str">
        <f aca="false">IF(AE145=16,AA145*AB145*AC145*AD145*(AE145/1000)*1.578*1,IF(AE145&gt;16,"",IF(AE145&lt;16,"")))</f>
        <v/>
      </c>
      <c r="AK145" s="107" t="str">
        <f aca="false">IF(AE145=20,AA145*AB145*AC145*AD145*(AE145/1000)*2.466*1,IF(AE145&gt;20,"",IF(AE145&lt;20,"")))</f>
        <v/>
      </c>
      <c r="AL145" s="107" t="str">
        <f aca="false">IF(AE145=25,AA145*AB145*AC145*AD145*(AE145/1000)*3.853*1,IF(AE145&gt;25,"",IF(AE145&lt;25,"")))</f>
        <v/>
      </c>
      <c r="AM145" s="115" t="str">
        <f aca="false">IF(AE145=32,AA145*AB145*AC145*AD145*(AE145/1000)*6.313*1,IF(AE145&gt;32,"",IF(AE145&lt;32,"")))</f>
        <v/>
      </c>
      <c r="AN145" s="128"/>
      <c r="AO145" s="117" t="s">
        <v>170</v>
      </c>
      <c r="AP145" s="118" t="n">
        <f aca="false">SUM(R145:Y145)+SUM(AN145)</f>
        <v>17.9883</v>
      </c>
      <c r="AQ145" s="118" t="n">
        <f aca="false">SUM(AF145:AM145)</f>
        <v>0</v>
      </c>
      <c r="AR145" s="118"/>
      <c r="AS145" s="119"/>
      <c r="AT145" s="119" t="s">
        <v>341</v>
      </c>
    </row>
    <row r="146" customFormat="false" ht="13.5" hidden="false" customHeight="false" outlineLevel="0" collapsed="false">
      <c r="A146" s="129"/>
      <c r="B146" s="130"/>
      <c r="C146" s="110"/>
      <c r="D146" s="122"/>
      <c r="E146" s="122"/>
      <c r="F146" s="122"/>
      <c r="G146" s="123"/>
      <c r="H146" s="101"/>
      <c r="I146" s="123"/>
      <c r="J146" s="101"/>
      <c r="K146" s="124"/>
      <c r="L146" s="125"/>
      <c r="M146" s="125"/>
      <c r="N146" s="126"/>
      <c r="O146" s="126"/>
      <c r="P146" s="126"/>
      <c r="Q146" s="127"/>
      <c r="R146" s="105"/>
      <c r="S146" s="106"/>
      <c r="T146" s="106"/>
      <c r="U146" s="106"/>
      <c r="V146" s="107"/>
      <c r="W146" s="106"/>
      <c r="X146" s="106"/>
      <c r="Y146" s="108"/>
      <c r="Z146" s="109"/>
      <c r="AA146" s="110"/>
      <c r="AB146" s="111"/>
      <c r="AC146" s="112"/>
      <c r="AD146" s="112"/>
      <c r="AE146" s="113"/>
      <c r="AF146" s="114"/>
      <c r="AG146" s="107"/>
      <c r="AH146" s="107"/>
      <c r="AI146" s="107"/>
      <c r="AJ146" s="107"/>
      <c r="AK146" s="107"/>
      <c r="AL146" s="107"/>
      <c r="AM146" s="115"/>
      <c r="AO146" s="117"/>
      <c r="AP146" s="118"/>
      <c r="AQ146" s="118"/>
      <c r="AR146" s="118"/>
      <c r="AS146" s="119"/>
      <c r="AT146" s="119"/>
    </row>
    <row r="147" customFormat="false" ht="13.5" hidden="false" customHeight="false" outlineLevel="0" collapsed="false">
      <c r="A147" s="120"/>
      <c r="B147" s="121" t="s">
        <v>545</v>
      </c>
      <c r="C147" s="110" t="n">
        <v>1</v>
      </c>
      <c r="D147" s="122" t="n">
        <v>0.25</v>
      </c>
      <c r="E147" s="122" t="n">
        <v>0.5</v>
      </c>
      <c r="F147" s="122" t="n">
        <f aca="false">0.4975/(0.25*0.5)</f>
        <v>3.98</v>
      </c>
      <c r="G147" s="123" t="n">
        <f aca="false">C147*D147*E147*F147</f>
        <v>0.4975</v>
      </c>
      <c r="H147" s="101"/>
      <c r="I147" s="123" t="n">
        <f aca="false">C147*F147*(D147+(E147-0.2)+(E147))</f>
        <v>4.179</v>
      </c>
      <c r="J147" s="101"/>
      <c r="K147" s="124"/>
      <c r="L147" s="125"/>
      <c r="M147" s="125"/>
      <c r="N147" s="126"/>
      <c r="O147" s="126"/>
      <c r="P147" s="126"/>
      <c r="Q147" s="127"/>
      <c r="R147" s="105" t="str">
        <f aca="false">IF(P147=6,N147*O147*Q147*0.222*1,IF(P147&gt;6,"",IF(P147&lt;6,"")))</f>
        <v/>
      </c>
      <c r="S147" s="106" t="str">
        <f aca="false">IF(P147=8,N147*O147*Q147*0.395*1,IF(P147&gt;8,"",IF(P147&lt;8,"")))</f>
        <v/>
      </c>
      <c r="T147" s="106" t="str">
        <f aca="false">IF(P147=10,N147*O147*Q147*0.617*1,IF(P147&gt;10,"",IF(P147&lt;10,"")))</f>
        <v/>
      </c>
      <c r="U147" s="106" t="str">
        <f aca="false">IF(P147=12,N147*O147*Q147*0.888*1,IF(P147&gt;12,"",IF(P147&lt;12,"")))</f>
        <v/>
      </c>
      <c r="V147" s="107" t="str">
        <f aca="false">IF(P147=16,N147*O147*Q147*1.578*1,IF(P147&gt;16,"",IF(P147&lt;16,"")))</f>
        <v/>
      </c>
      <c r="W147" s="106" t="str">
        <f aca="false">IF(P147=20,N147*O147*Q147*2.466*1,IF(P147&gt;20,"",IF(P147&lt;20,"")))</f>
        <v/>
      </c>
      <c r="X147" s="106" t="str">
        <f aca="false">IF(P147=25,N147*O147*Q147*3.853*1,IF(P147&gt;25,"",IF(P147&lt;25,"")))</f>
        <v/>
      </c>
      <c r="Y147" s="108" t="str">
        <f aca="false">IF(P147=32,N147*O147*Q147*6.313*1,IF(P147&gt;32,"",IF(P147&lt;32,"")))</f>
        <v/>
      </c>
      <c r="Z147" s="109"/>
      <c r="AA147" s="110" t="str">
        <f aca="false">IF(AC147&gt;0,N147,"")</f>
        <v/>
      </c>
      <c r="AB147" s="111" t="str">
        <f aca="false">IF(AC147&gt;0,O147,"")</f>
        <v/>
      </c>
      <c r="AC147" s="112"/>
      <c r="AD147" s="112"/>
      <c r="AE147" s="113" t="str">
        <f aca="false">IF(AC147&gt;0,P147,"")</f>
        <v/>
      </c>
      <c r="AF147" s="114" t="str">
        <f aca="false">IF(AE147=6,AA147*AB147*AC147*AD147*(AE147/1000)*0.222*1,IF(AE147&gt;6,"",IF(AE147&lt;6,"")))</f>
        <v/>
      </c>
      <c r="AG147" s="107" t="str">
        <f aca="false">IF(AE147=8,AA147*AB147*AC147*AD147*(AE147/1000)*0.395*1,IF(AE147&gt;8,"",IF(AE147&lt;8,"")))</f>
        <v/>
      </c>
      <c r="AH147" s="107" t="str">
        <f aca="false">IF(AE147=10,AA147*AB147*AC147*AD147*(AE147/1000)*0.617*1,IF(AE147&gt;10,"",IF(AE147&lt;10,"")))</f>
        <v/>
      </c>
      <c r="AI147" s="107" t="str">
        <f aca="false">IF(AE147=12,AA147*AB147*AC147*AD147*(AE147/1000)*0.888*1,IF(AE147&gt;12,"",IF(AE147&lt;12,"")))</f>
        <v/>
      </c>
      <c r="AJ147" s="107" t="str">
        <f aca="false">IF(AE147=16,AA147*AB147*AC147*AD147*(AE147/1000)*1.578*1,IF(AE147&gt;16,"",IF(AE147&lt;16,"")))</f>
        <v/>
      </c>
      <c r="AK147" s="107" t="str">
        <f aca="false">IF(AE147=20,AA147*AB147*AC147*AD147*(AE147/1000)*2.466*1,IF(AE147&gt;20,"",IF(AE147&lt;20,"")))</f>
        <v/>
      </c>
      <c r="AL147" s="107" t="str">
        <f aca="false">IF(AE147=25,AA147*AB147*AC147*AD147*(AE147/1000)*3.853*1,IF(AE147&gt;25,"",IF(AE147&lt;25,"")))</f>
        <v/>
      </c>
      <c r="AM147" s="115" t="str">
        <f aca="false">IF(AE147=32,AA147*AB147*AC147*AD147*(AE147/1000)*6.313*1,IF(AE147&gt;32,"",IF(AE147&lt;32,"")))</f>
        <v/>
      </c>
      <c r="AN147" s="128"/>
      <c r="AO147" s="117" t="s">
        <v>170</v>
      </c>
      <c r="AP147" s="118" t="n">
        <f aca="false">SUM(R147:Y147)+SUM(AN147)</f>
        <v>0</v>
      </c>
      <c r="AQ147" s="118" t="n">
        <f aca="false">SUM(AF147:AM147)</f>
        <v>0</v>
      </c>
      <c r="AR147" s="118" t="n">
        <v>0.4975</v>
      </c>
      <c r="AS147" s="119" t="s">
        <v>546</v>
      </c>
      <c r="AT147" s="119" t="s">
        <v>209</v>
      </c>
    </row>
    <row r="148" customFormat="false" ht="13.5" hidden="false" customHeight="false" outlineLevel="0" collapsed="false">
      <c r="A148" s="129"/>
      <c r="B148" s="172"/>
      <c r="C148" s="110"/>
      <c r="D148" s="122"/>
      <c r="E148" s="122"/>
      <c r="F148" s="173"/>
      <c r="G148" s="123"/>
      <c r="H148" s="101"/>
      <c r="I148" s="123"/>
      <c r="J148" s="101"/>
      <c r="K148" s="124" t="s">
        <v>491</v>
      </c>
      <c r="L148" s="125"/>
      <c r="M148" s="125"/>
      <c r="N148" s="126" t="n">
        <f aca="false">$C$147</f>
        <v>1</v>
      </c>
      <c r="O148" s="126" t="n">
        <v>2</v>
      </c>
      <c r="P148" s="126" t="n">
        <v>16</v>
      </c>
      <c r="Q148" s="127" t="n">
        <f aca="false">3.98+2*50*16/1000</f>
        <v>5.58</v>
      </c>
      <c r="R148" s="105" t="str">
        <f aca="false">IF(P148=6,N148*O148*Q148*0.222*1,IF(P148&gt;6,"",IF(P148&lt;6,"")))</f>
        <v/>
      </c>
      <c r="S148" s="106" t="str">
        <f aca="false">IF(P148=8,N148*O148*Q148*0.395*1,IF(P148&gt;8,"",IF(P148&lt;8,"")))</f>
        <v/>
      </c>
      <c r="T148" s="106" t="str">
        <f aca="false">IF(P148=10,N148*O148*Q148*0.617*1,IF(P148&gt;10,"",IF(P148&lt;10,"")))</f>
        <v/>
      </c>
      <c r="U148" s="106" t="str">
        <f aca="false">IF(P148=12,N148*O148*Q148*0.888*1,IF(P148&gt;12,"",IF(P148&lt;12,"")))</f>
        <v/>
      </c>
      <c r="V148" s="107" t="n">
        <f aca="false">IF(P148=16,N148*O148*Q148*1.578*1,IF(P148&gt;16,"",IF(P148&lt;16,"")))</f>
        <v>17.61048</v>
      </c>
      <c r="W148" s="106" t="str">
        <f aca="false">IF(P148=20,N148*O148*Q148*2.466*1,IF(P148&gt;20,"",IF(P148&lt;20,"")))</f>
        <v/>
      </c>
      <c r="X148" s="106" t="str">
        <f aca="false">IF(P148=25,N148*O148*Q148*3.853*1,IF(P148&gt;25,"",IF(P148&lt;25,"")))</f>
        <v/>
      </c>
      <c r="Y148" s="108" t="str">
        <f aca="false">IF(P148=32,N148*O148*Q148*6.313*1,IF(P148&gt;32,"",IF(P148&lt;32,"")))</f>
        <v/>
      </c>
      <c r="Z148" s="109"/>
      <c r="AA148" s="110" t="str">
        <f aca="false">IF(AC148&gt;0,N148,"")</f>
        <v/>
      </c>
      <c r="AB148" s="111" t="str">
        <f aca="false">IF(AC148&gt;0,O148,"")</f>
        <v/>
      </c>
      <c r="AC148" s="112"/>
      <c r="AD148" s="112"/>
      <c r="AE148" s="113" t="str">
        <f aca="false">IF(AC148&gt;0,P148,"")</f>
        <v/>
      </c>
      <c r="AF148" s="114" t="str">
        <f aca="false">IF(AE148=6,AA148*AB148*AC148*AD148*(AE148/1000)*0.222*1,IF(AE148&gt;6,"",IF(AE148&lt;6,"")))</f>
        <v/>
      </c>
      <c r="AG148" s="107" t="str">
        <f aca="false">IF(AE148=8,AA148*AB148*AC148*AD148*(AE148/1000)*0.395*1,IF(AE148&gt;8,"",IF(AE148&lt;8,"")))</f>
        <v/>
      </c>
      <c r="AH148" s="107" t="str">
        <f aca="false">IF(AE148=10,AA148*AB148*AC148*AD148*(AE148/1000)*0.617*1,IF(AE148&gt;10,"",IF(AE148&lt;10,"")))</f>
        <v/>
      </c>
      <c r="AI148" s="107" t="str">
        <f aca="false">IF(AE148=12,AA148*AB148*AC148*AD148*(AE148/1000)*0.888*1,IF(AE148&gt;12,"",IF(AE148&lt;12,"")))</f>
        <v/>
      </c>
      <c r="AJ148" s="107" t="str">
        <f aca="false">IF(AE148=16,AA148*AB148*AC148*AD148*(AE148/1000)*1.578*1,IF(AE148&gt;16,"",IF(AE148&lt;16,"")))</f>
        <v/>
      </c>
      <c r="AK148" s="107" t="str">
        <f aca="false">IF(AE148=20,AA148*AB148*AC148*AD148*(AE148/1000)*2.466*1,IF(AE148&gt;20,"",IF(AE148&lt;20,"")))</f>
        <v/>
      </c>
      <c r="AL148" s="107" t="str">
        <f aca="false">IF(AE148=25,AA148*AB148*AC148*AD148*(AE148/1000)*3.853*1,IF(AE148&gt;25,"",IF(AE148&lt;25,"")))</f>
        <v/>
      </c>
      <c r="AM148" s="115" t="str">
        <f aca="false">IF(AE148=32,AA148*AB148*AC148*AD148*(AE148/1000)*6.313*1,IF(AE148&gt;32,"",IF(AE148&lt;32,"")))</f>
        <v/>
      </c>
      <c r="AN148" s="128"/>
      <c r="AO148" s="117" t="s">
        <v>170</v>
      </c>
      <c r="AP148" s="118" t="n">
        <f aca="false">SUM(R148:Y148)+SUM(AN148)</f>
        <v>17.61048</v>
      </c>
      <c r="AQ148" s="118" t="n">
        <f aca="false">SUM(AF148:AM148)</f>
        <v>0</v>
      </c>
      <c r="AR148" s="118"/>
      <c r="AS148" s="119" t="s">
        <v>482</v>
      </c>
      <c r="AT148" s="119" t="s">
        <v>162</v>
      </c>
    </row>
    <row r="149" customFormat="false" ht="13.5" hidden="false" customHeight="false" outlineLevel="0" collapsed="false">
      <c r="A149" s="129"/>
      <c r="B149" s="172"/>
      <c r="C149" s="110"/>
      <c r="D149" s="122"/>
      <c r="E149" s="122"/>
      <c r="F149" s="173"/>
      <c r="G149" s="123"/>
      <c r="H149" s="101"/>
      <c r="I149" s="123"/>
      <c r="J149" s="101"/>
      <c r="K149" s="124" t="s">
        <v>492</v>
      </c>
      <c r="L149" s="125"/>
      <c r="M149" s="125"/>
      <c r="N149" s="126" t="n">
        <f aca="false">$C$147</f>
        <v>1</v>
      </c>
      <c r="O149" s="126" t="n">
        <v>1</v>
      </c>
      <c r="P149" s="126" t="n">
        <v>12</v>
      </c>
      <c r="Q149" s="127" t="n">
        <f aca="false">3.98+2*50*12/1000</f>
        <v>5.18</v>
      </c>
      <c r="R149" s="105" t="str">
        <f aca="false">IF(P149=6,N149*O149*Q149*0.222*1,IF(P149&gt;6,"",IF(P149&lt;6,"")))</f>
        <v/>
      </c>
      <c r="S149" s="106" t="str">
        <f aca="false">IF(P149=8,N149*O149*Q149*0.395*1,IF(P149&gt;8,"",IF(P149&lt;8,"")))</f>
        <v/>
      </c>
      <c r="T149" s="106" t="str">
        <f aca="false">IF(P149=10,N149*O149*Q149*0.617*1,IF(P149&gt;10,"",IF(P149&lt;10,"")))</f>
        <v/>
      </c>
      <c r="U149" s="106" t="n">
        <f aca="false">IF(P149=12,N149*O149*Q149*0.888*1,IF(P149&gt;12,"",IF(P149&lt;12,"")))</f>
        <v>4.59984</v>
      </c>
      <c r="V149" s="107" t="str">
        <f aca="false">IF(P149=16,N149*O149*Q149*1.578*1,IF(P149&gt;16,"",IF(P149&lt;16,"")))</f>
        <v/>
      </c>
      <c r="W149" s="106" t="str">
        <f aca="false">IF(P149=20,N149*O149*Q149*2.466*1,IF(P149&gt;20,"",IF(P149&lt;20,"")))</f>
        <v/>
      </c>
      <c r="X149" s="106" t="str">
        <f aca="false">IF(P149=25,N149*O149*Q149*3.853*1,IF(P149&gt;25,"",IF(P149&lt;25,"")))</f>
        <v/>
      </c>
      <c r="Y149" s="108" t="str">
        <f aca="false">IF(P149=32,N149*O149*Q149*6.313*1,IF(P149&gt;32,"",IF(P149&lt;32,"")))</f>
        <v/>
      </c>
      <c r="Z149" s="109"/>
      <c r="AA149" s="110" t="str">
        <f aca="false">IF(AC149&gt;0,N149,"")</f>
        <v/>
      </c>
      <c r="AB149" s="111" t="str">
        <f aca="false">IF(AC149&gt;0,O149,"")</f>
        <v/>
      </c>
      <c r="AC149" s="112"/>
      <c r="AD149" s="112"/>
      <c r="AE149" s="113" t="str">
        <f aca="false">IF(AC149&gt;0,P149,"")</f>
        <v/>
      </c>
      <c r="AF149" s="114" t="str">
        <f aca="false">IF(AE149=6,AA149*AB149*AC149*AD149*(AE149/1000)*0.222*1,IF(AE149&gt;6,"",IF(AE149&lt;6,"")))</f>
        <v/>
      </c>
      <c r="AG149" s="107" t="str">
        <f aca="false">IF(AE149=8,AA149*AB149*AC149*AD149*(AE149/1000)*0.395*1,IF(AE149&gt;8,"",IF(AE149&lt;8,"")))</f>
        <v/>
      </c>
      <c r="AH149" s="107" t="str">
        <f aca="false">IF(AE149=10,AA149*AB149*AC149*AD149*(AE149/1000)*0.617*1,IF(AE149&gt;10,"",IF(AE149&lt;10,"")))</f>
        <v/>
      </c>
      <c r="AI149" s="107" t="str">
        <f aca="false">IF(AE149=12,AA149*AB149*AC149*AD149*(AE149/1000)*0.888*1,IF(AE149&gt;12,"",IF(AE149&lt;12,"")))</f>
        <v/>
      </c>
      <c r="AJ149" s="107" t="str">
        <f aca="false">IF(AE149=16,AA149*AB149*AC149*AD149*(AE149/1000)*1.578*1,IF(AE149&gt;16,"",IF(AE149&lt;16,"")))</f>
        <v/>
      </c>
      <c r="AK149" s="107" t="str">
        <f aca="false">IF(AE149=20,AA149*AB149*AC149*AD149*(AE149/1000)*2.466*1,IF(AE149&gt;20,"",IF(AE149&lt;20,"")))</f>
        <v/>
      </c>
      <c r="AL149" s="107" t="str">
        <f aca="false">IF(AE149=25,AA149*AB149*AC149*AD149*(AE149/1000)*3.853*1,IF(AE149&gt;25,"",IF(AE149&lt;25,"")))</f>
        <v/>
      </c>
      <c r="AM149" s="115" t="str">
        <f aca="false">IF(AE149=32,AA149*AB149*AC149*AD149*(AE149/1000)*6.313*1,IF(AE149&gt;32,"",IF(AE149&lt;32,"")))</f>
        <v/>
      </c>
      <c r="AN149" s="128"/>
      <c r="AO149" s="117" t="s">
        <v>170</v>
      </c>
      <c r="AP149" s="118" t="n">
        <f aca="false">SUM(R149:Y149)+SUM(AN149)</f>
        <v>4.59984</v>
      </c>
      <c r="AQ149" s="118" t="n">
        <f aca="false">SUM(AF149:AM149)</f>
        <v>0</v>
      </c>
      <c r="AR149" s="118"/>
      <c r="AS149" s="119" t="s">
        <v>482</v>
      </c>
      <c r="AT149" s="119" t="s">
        <v>162</v>
      </c>
    </row>
    <row r="150" customFormat="false" ht="13.5" hidden="false" customHeight="false" outlineLevel="0" collapsed="false">
      <c r="A150" s="129"/>
      <c r="B150" s="172"/>
      <c r="C150" s="110"/>
      <c r="D150" s="122"/>
      <c r="E150" s="122"/>
      <c r="F150" s="173"/>
      <c r="G150" s="123"/>
      <c r="H150" s="101"/>
      <c r="I150" s="123"/>
      <c r="J150" s="101"/>
      <c r="K150" s="124" t="s">
        <v>493</v>
      </c>
      <c r="L150" s="125"/>
      <c r="M150" s="125"/>
      <c r="N150" s="126" t="n">
        <f aca="false">$C$147</f>
        <v>1</v>
      </c>
      <c r="O150" s="126" t="n">
        <v>2</v>
      </c>
      <c r="P150" s="126" t="n">
        <v>16</v>
      </c>
      <c r="Q150" s="127" t="n">
        <f aca="false">3.98+2*50*16/1000</f>
        <v>5.58</v>
      </c>
      <c r="R150" s="105" t="str">
        <f aca="false">IF(P150=6,N150*O150*Q150*0.222*1,IF(P150&gt;6,"",IF(P150&lt;6,"")))</f>
        <v/>
      </c>
      <c r="S150" s="106" t="str">
        <f aca="false">IF(P150=8,N150*O150*Q150*0.395*1,IF(P150&gt;8,"",IF(P150&lt;8,"")))</f>
        <v/>
      </c>
      <c r="T150" s="106" t="str">
        <f aca="false">IF(P150=10,N150*O150*Q150*0.617*1,IF(P150&gt;10,"",IF(P150&lt;10,"")))</f>
        <v/>
      </c>
      <c r="U150" s="106" t="str">
        <f aca="false">IF(P150=12,N150*O150*Q150*0.888*1,IF(P150&gt;12,"",IF(P150&lt;12,"")))</f>
        <v/>
      </c>
      <c r="V150" s="107" t="n">
        <f aca="false">IF(P150=16,N150*O150*Q150*1.578*1,IF(P150&gt;16,"",IF(P150&lt;16,"")))</f>
        <v>17.61048</v>
      </c>
      <c r="W150" s="106" t="str">
        <f aca="false">IF(P150=20,N150*O150*Q150*2.466*1,IF(P150&gt;20,"",IF(P150&lt;20,"")))</f>
        <v/>
      </c>
      <c r="X150" s="106" t="str">
        <f aca="false">IF(P150=25,N150*O150*Q150*3.853*1,IF(P150&gt;25,"",IF(P150&lt;25,"")))</f>
        <v/>
      </c>
      <c r="Y150" s="108" t="str">
        <f aca="false">IF(P150=32,N150*O150*Q150*6.313*1,IF(P150&gt;32,"",IF(P150&lt;32,"")))</f>
        <v/>
      </c>
      <c r="Z150" s="109"/>
      <c r="AA150" s="110" t="str">
        <f aca="false">IF(AC150&gt;0,N150,"")</f>
        <v/>
      </c>
      <c r="AB150" s="111" t="str">
        <f aca="false">IF(AC150&gt;0,O150,"")</f>
        <v/>
      </c>
      <c r="AC150" s="112"/>
      <c r="AD150" s="112"/>
      <c r="AE150" s="113" t="str">
        <f aca="false">IF(AC150&gt;0,P150,"")</f>
        <v/>
      </c>
      <c r="AF150" s="114" t="str">
        <f aca="false">IF(AE150=6,AA150*AB150*AC150*AD150*(AE150/1000)*0.222*1,IF(AE150&gt;6,"",IF(AE150&lt;6,"")))</f>
        <v/>
      </c>
      <c r="AG150" s="107" t="str">
        <f aca="false">IF(AE150=8,AA150*AB150*AC150*AD150*(AE150/1000)*0.395*1,IF(AE150&gt;8,"",IF(AE150&lt;8,"")))</f>
        <v/>
      </c>
      <c r="AH150" s="107" t="str">
        <f aca="false">IF(AE150=10,AA150*AB150*AC150*AD150*(AE150/1000)*0.617*1,IF(AE150&gt;10,"",IF(AE150&lt;10,"")))</f>
        <v/>
      </c>
      <c r="AI150" s="107" t="str">
        <f aca="false">IF(AE150=12,AA150*AB150*AC150*AD150*(AE150/1000)*0.888*1,IF(AE150&gt;12,"",IF(AE150&lt;12,"")))</f>
        <v/>
      </c>
      <c r="AJ150" s="107" t="str">
        <f aca="false">IF(AE150=16,AA150*AB150*AC150*AD150*(AE150/1000)*1.578*1,IF(AE150&gt;16,"",IF(AE150&lt;16,"")))</f>
        <v/>
      </c>
      <c r="AK150" s="107" t="str">
        <f aca="false">IF(AE150=20,AA150*AB150*AC150*AD150*(AE150/1000)*2.466*1,IF(AE150&gt;20,"",IF(AE150&lt;20,"")))</f>
        <v/>
      </c>
      <c r="AL150" s="107" t="str">
        <f aca="false">IF(AE150=25,AA150*AB150*AC150*AD150*(AE150/1000)*3.853*1,IF(AE150&gt;25,"",IF(AE150&lt;25,"")))</f>
        <v/>
      </c>
      <c r="AM150" s="115" t="str">
        <f aca="false">IF(AE150=32,AA150*AB150*AC150*AD150*(AE150/1000)*6.313*1,IF(AE150&gt;32,"",IF(AE150&lt;32,"")))</f>
        <v/>
      </c>
      <c r="AN150" s="128"/>
      <c r="AO150" s="117" t="s">
        <v>170</v>
      </c>
      <c r="AP150" s="118" t="n">
        <f aca="false">SUM(R150:Y150)+SUM(AN150)</f>
        <v>17.61048</v>
      </c>
      <c r="AQ150" s="118" t="n">
        <f aca="false">SUM(AF150:AM150)</f>
        <v>0</v>
      </c>
      <c r="AR150" s="118"/>
      <c r="AS150" s="119" t="s">
        <v>482</v>
      </c>
      <c r="AT150" s="119" t="s">
        <v>162</v>
      </c>
    </row>
    <row r="151" customFormat="false" ht="13.5" hidden="false" customHeight="false" outlineLevel="0" collapsed="false">
      <c r="A151" s="129"/>
      <c r="B151" s="172"/>
      <c r="C151" s="110"/>
      <c r="D151" s="122"/>
      <c r="E151" s="122"/>
      <c r="F151" s="173"/>
      <c r="G151" s="123"/>
      <c r="H151" s="101"/>
      <c r="I151" s="123"/>
      <c r="J151" s="101"/>
      <c r="K151" s="124" t="s">
        <v>494</v>
      </c>
      <c r="L151" s="125"/>
      <c r="M151" s="125"/>
      <c r="N151" s="126" t="n">
        <f aca="false">$C$147</f>
        <v>1</v>
      </c>
      <c r="O151" s="126" t="n">
        <v>1</v>
      </c>
      <c r="P151" s="126" t="n">
        <v>12</v>
      </c>
      <c r="Q151" s="127" t="n">
        <f aca="false">3.98+2*50*12/1000</f>
        <v>5.18</v>
      </c>
      <c r="R151" s="105" t="str">
        <f aca="false">IF(P151=6,N151*O151*Q151*0.222*1,IF(P151&gt;6,"",IF(P151&lt;6,"")))</f>
        <v/>
      </c>
      <c r="S151" s="106" t="str">
        <f aca="false">IF(P151=8,N151*O151*Q151*0.395*1,IF(P151&gt;8,"",IF(P151&lt;8,"")))</f>
        <v/>
      </c>
      <c r="T151" s="106" t="str">
        <f aca="false">IF(P151=10,N151*O151*Q151*0.617*1,IF(P151&gt;10,"",IF(P151&lt;10,"")))</f>
        <v/>
      </c>
      <c r="U151" s="106" t="n">
        <f aca="false">IF(P151=12,N151*O151*Q151*0.888*1,IF(P151&gt;12,"",IF(P151&lt;12,"")))</f>
        <v>4.59984</v>
      </c>
      <c r="V151" s="107" t="str">
        <f aca="false">IF(P151=16,N151*O151*Q151*1.578*1,IF(P151&gt;16,"",IF(P151&lt;16,"")))</f>
        <v/>
      </c>
      <c r="W151" s="106" t="str">
        <f aca="false">IF(P151=20,N151*O151*Q151*2.466*1,IF(P151&gt;20,"",IF(P151&lt;20,"")))</f>
        <v/>
      </c>
      <c r="X151" s="106" t="str">
        <f aca="false">IF(P151=25,N151*O151*Q151*3.853*1,IF(P151&gt;25,"",IF(P151&lt;25,"")))</f>
        <v/>
      </c>
      <c r="Y151" s="108" t="str">
        <f aca="false">IF(P151=32,N151*O151*Q151*6.313*1,IF(P151&gt;32,"",IF(P151&lt;32,"")))</f>
        <v/>
      </c>
      <c r="Z151" s="109"/>
      <c r="AA151" s="110" t="str">
        <f aca="false">IF(AC151&gt;0,N151,"")</f>
        <v/>
      </c>
      <c r="AB151" s="111" t="str">
        <f aca="false">IF(AC151&gt;0,O151,"")</f>
        <v/>
      </c>
      <c r="AC151" s="112"/>
      <c r="AD151" s="112"/>
      <c r="AE151" s="113" t="str">
        <f aca="false">IF(AC151&gt;0,P151,"")</f>
        <v/>
      </c>
      <c r="AF151" s="114" t="str">
        <f aca="false">IF(AE151=6,AA151*AB151*AC151*AD151*(AE151/1000)*0.222*1,IF(AE151&gt;6,"",IF(AE151&lt;6,"")))</f>
        <v/>
      </c>
      <c r="AG151" s="107" t="str">
        <f aca="false">IF(AE151=8,AA151*AB151*AC151*AD151*(AE151/1000)*0.395*1,IF(AE151&gt;8,"",IF(AE151&lt;8,"")))</f>
        <v/>
      </c>
      <c r="AH151" s="107" t="str">
        <f aca="false">IF(AE151=10,AA151*AB151*AC151*AD151*(AE151/1000)*0.617*1,IF(AE151&gt;10,"",IF(AE151&lt;10,"")))</f>
        <v/>
      </c>
      <c r="AI151" s="107" t="str">
        <f aca="false">IF(AE151=12,AA151*AB151*AC151*AD151*(AE151/1000)*0.888*1,IF(AE151&gt;12,"",IF(AE151&lt;12,"")))</f>
        <v/>
      </c>
      <c r="AJ151" s="107" t="str">
        <f aca="false">IF(AE151=16,AA151*AB151*AC151*AD151*(AE151/1000)*1.578*1,IF(AE151&gt;16,"",IF(AE151&lt;16,"")))</f>
        <v/>
      </c>
      <c r="AK151" s="107" t="str">
        <f aca="false">IF(AE151=20,AA151*AB151*AC151*AD151*(AE151/1000)*2.466*1,IF(AE151&gt;20,"",IF(AE151&lt;20,"")))</f>
        <v/>
      </c>
      <c r="AL151" s="107" t="str">
        <f aca="false">IF(AE151=25,AA151*AB151*AC151*AD151*(AE151/1000)*3.853*1,IF(AE151&gt;25,"",IF(AE151&lt;25,"")))</f>
        <v/>
      </c>
      <c r="AM151" s="115" t="str">
        <f aca="false">IF(AE151=32,AA151*AB151*AC151*AD151*(AE151/1000)*6.313*1,IF(AE151&gt;32,"",IF(AE151&lt;32,"")))</f>
        <v/>
      </c>
      <c r="AN151" s="128"/>
      <c r="AO151" s="117" t="s">
        <v>170</v>
      </c>
      <c r="AP151" s="118" t="n">
        <f aca="false">SUM(R151:Y151)+SUM(AN151)</f>
        <v>4.59984</v>
      </c>
      <c r="AQ151" s="118" t="n">
        <f aca="false">SUM(AF151:AM151)</f>
        <v>0</v>
      </c>
      <c r="AR151" s="118"/>
      <c r="AS151" s="119" t="s">
        <v>482</v>
      </c>
      <c r="AT151" s="119" t="s">
        <v>162</v>
      </c>
    </row>
    <row r="152" customFormat="false" ht="13.5" hidden="false" customHeight="false" outlineLevel="0" collapsed="false">
      <c r="A152" s="129"/>
      <c r="B152" s="172"/>
      <c r="C152" s="110"/>
      <c r="D152" s="122"/>
      <c r="E152" s="122"/>
      <c r="F152" s="173"/>
      <c r="G152" s="123"/>
      <c r="H152" s="101"/>
      <c r="I152" s="123"/>
      <c r="J152" s="101"/>
      <c r="K152" s="124" t="s">
        <v>486</v>
      </c>
      <c r="L152" s="125" t="n">
        <f aca="false">$F$147</f>
        <v>3.98</v>
      </c>
      <c r="M152" s="125" t="n">
        <v>0.125</v>
      </c>
      <c r="N152" s="126" t="n">
        <f aca="false">$C$147</f>
        <v>1</v>
      </c>
      <c r="O152" s="126" t="n">
        <f aca="false">CEILING(L152/M152,1)+1</f>
        <v>33</v>
      </c>
      <c r="P152" s="126" t="n">
        <v>8</v>
      </c>
      <c r="Q152" s="127" t="n">
        <f aca="false">2*($D$147-2*0.035)+2*($E$147-2*0.035)+20*8/1000</f>
        <v>1.38</v>
      </c>
      <c r="R152" s="105" t="str">
        <f aca="false">IF(P152=6,N152*O152*Q152*0.222*1,IF(P152&gt;6,"",IF(P152&lt;6,"")))</f>
        <v/>
      </c>
      <c r="S152" s="106" t="n">
        <f aca="false">IF(P152=8,N152*O152*Q152*0.395*1,IF(P152&gt;8,"",IF(P152&lt;8,"")))</f>
        <v>17.9883</v>
      </c>
      <c r="T152" s="106" t="str">
        <f aca="false">IF(P152=10,N152*O152*Q152*0.617*1,IF(P152&gt;10,"",IF(P152&lt;10,"")))</f>
        <v/>
      </c>
      <c r="U152" s="106" t="str">
        <f aca="false">IF(P152=12,N152*O152*Q152*0.888*1,IF(P152&gt;12,"",IF(P152&lt;12,"")))</f>
        <v/>
      </c>
      <c r="V152" s="107" t="str">
        <f aca="false">IF(P152=16,N152*O152*Q152*1.578*1,IF(P152&gt;16,"",IF(P152&lt;16,"")))</f>
        <v/>
      </c>
      <c r="W152" s="106" t="str">
        <f aca="false">IF(P152=20,N152*O152*Q152*2.466*1,IF(P152&gt;20,"",IF(P152&lt;20,"")))</f>
        <v/>
      </c>
      <c r="X152" s="106" t="str">
        <f aca="false">IF(P152=25,N152*O152*Q152*3.853*1,IF(P152&gt;25,"",IF(P152&lt;25,"")))</f>
        <v/>
      </c>
      <c r="Y152" s="108" t="str">
        <f aca="false">IF(P152=32,N152*O152*Q152*6.313*1,IF(P152&gt;32,"",IF(P152&lt;32,"")))</f>
        <v/>
      </c>
      <c r="Z152" s="109"/>
      <c r="AA152" s="110" t="str">
        <f aca="false">IF(AC152&gt;0,N152,"")</f>
        <v/>
      </c>
      <c r="AB152" s="111" t="str">
        <f aca="false">IF(AC152&gt;0,O152,"")</f>
        <v/>
      </c>
      <c r="AC152" s="112"/>
      <c r="AD152" s="112"/>
      <c r="AE152" s="113" t="str">
        <f aca="false">IF(AC152&gt;0,P152,"")</f>
        <v/>
      </c>
      <c r="AF152" s="114" t="str">
        <f aca="false">IF(AE152=6,AA152*AB152*AC152*AD152*(AE152/1000)*0.222*1,IF(AE152&gt;6,"",IF(AE152&lt;6,"")))</f>
        <v/>
      </c>
      <c r="AG152" s="107" t="str">
        <f aca="false">IF(AE152=8,AA152*AB152*AC152*AD152*(AE152/1000)*0.395*1,IF(AE152&gt;8,"",IF(AE152&lt;8,"")))</f>
        <v/>
      </c>
      <c r="AH152" s="107" t="str">
        <f aca="false">IF(AE152=10,AA152*AB152*AC152*AD152*(AE152/1000)*0.617*1,IF(AE152&gt;10,"",IF(AE152&lt;10,"")))</f>
        <v/>
      </c>
      <c r="AI152" s="107" t="str">
        <f aca="false">IF(AE152=12,AA152*AB152*AC152*AD152*(AE152/1000)*0.888*1,IF(AE152&gt;12,"",IF(AE152&lt;12,"")))</f>
        <v/>
      </c>
      <c r="AJ152" s="107" t="str">
        <f aca="false">IF(AE152=16,AA152*AB152*AC152*AD152*(AE152/1000)*1.578*1,IF(AE152&gt;16,"",IF(AE152&lt;16,"")))</f>
        <v/>
      </c>
      <c r="AK152" s="107" t="str">
        <f aca="false">IF(AE152=20,AA152*AB152*AC152*AD152*(AE152/1000)*2.466*1,IF(AE152&gt;20,"",IF(AE152&lt;20,"")))</f>
        <v/>
      </c>
      <c r="AL152" s="107" t="str">
        <f aca="false">IF(AE152=25,AA152*AB152*AC152*AD152*(AE152/1000)*3.853*1,IF(AE152&gt;25,"",IF(AE152&lt;25,"")))</f>
        <v/>
      </c>
      <c r="AM152" s="115" t="str">
        <f aca="false">IF(AE152=32,AA152*AB152*AC152*AD152*(AE152/1000)*6.313*1,IF(AE152&gt;32,"",IF(AE152&lt;32,"")))</f>
        <v/>
      </c>
      <c r="AN152" s="128"/>
      <c r="AO152" s="117" t="s">
        <v>170</v>
      </c>
      <c r="AP152" s="118" t="n">
        <f aca="false">SUM(R152:Y152)+SUM(AN152)</f>
        <v>17.9883</v>
      </c>
      <c r="AQ152" s="118" t="n">
        <f aca="false">SUM(AF152:AM152)</f>
        <v>0</v>
      </c>
      <c r="AR152" s="118"/>
      <c r="AS152" s="119"/>
      <c r="AT152" s="119" t="s">
        <v>341</v>
      </c>
    </row>
    <row r="153" customFormat="false" ht="13.5" hidden="false" customHeight="false" outlineLevel="0" collapsed="false">
      <c r="A153" s="129"/>
      <c r="B153" s="130"/>
      <c r="C153" s="110"/>
      <c r="D153" s="122"/>
      <c r="E153" s="122"/>
      <c r="F153" s="122"/>
      <c r="G153" s="123"/>
      <c r="H153" s="101"/>
      <c r="I153" s="123"/>
      <c r="J153" s="101"/>
      <c r="K153" s="124"/>
      <c r="L153" s="125"/>
      <c r="M153" s="125"/>
      <c r="N153" s="126"/>
      <c r="O153" s="126"/>
      <c r="P153" s="126"/>
      <c r="Q153" s="127"/>
      <c r="R153" s="105"/>
      <c r="S153" s="106"/>
      <c r="T153" s="106"/>
      <c r="U153" s="106"/>
      <c r="V153" s="107"/>
      <c r="W153" s="106"/>
      <c r="X153" s="106"/>
      <c r="Y153" s="108"/>
      <c r="Z153" s="109"/>
      <c r="AA153" s="110"/>
      <c r="AB153" s="111"/>
      <c r="AC153" s="112"/>
      <c r="AD153" s="112"/>
      <c r="AE153" s="113"/>
      <c r="AF153" s="114"/>
      <c r="AG153" s="107"/>
      <c r="AH153" s="107"/>
      <c r="AI153" s="107"/>
      <c r="AJ153" s="107"/>
      <c r="AK153" s="107"/>
      <c r="AL153" s="107"/>
      <c r="AM153" s="115"/>
      <c r="AO153" s="117"/>
      <c r="AP153" s="118"/>
      <c r="AQ153" s="118"/>
      <c r="AR153" s="118"/>
      <c r="AS153" s="119"/>
      <c r="AT153" s="119"/>
    </row>
    <row r="154" customFormat="false" ht="13.5" hidden="false" customHeight="false" outlineLevel="0" collapsed="false">
      <c r="A154" s="96"/>
      <c r="B154" s="97" t="s">
        <v>547</v>
      </c>
      <c r="C154" s="98"/>
      <c r="D154" s="99"/>
      <c r="E154" s="99"/>
      <c r="F154" s="99"/>
      <c r="G154" s="100"/>
      <c r="H154" s="101"/>
      <c r="I154" s="100"/>
      <c r="J154" s="101"/>
      <c r="K154" s="102"/>
      <c r="L154" s="103"/>
      <c r="M154" s="103"/>
      <c r="N154" s="104"/>
      <c r="O154" s="104"/>
      <c r="P154" s="104"/>
      <c r="Q154" s="100"/>
      <c r="R154" s="105"/>
      <c r="S154" s="106"/>
      <c r="T154" s="106"/>
      <c r="U154" s="106"/>
      <c r="V154" s="107"/>
      <c r="W154" s="106"/>
      <c r="X154" s="106"/>
      <c r="Y154" s="108"/>
      <c r="Z154" s="109"/>
      <c r="AA154" s="110"/>
      <c r="AB154" s="111"/>
      <c r="AC154" s="112"/>
      <c r="AD154" s="112"/>
      <c r="AE154" s="113"/>
      <c r="AF154" s="114"/>
      <c r="AG154" s="107"/>
      <c r="AH154" s="107"/>
      <c r="AI154" s="107"/>
      <c r="AJ154" s="107"/>
      <c r="AK154" s="107"/>
      <c r="AL154" s="107"/>
      <c r="AM154" s="115"/>
      <c r="AO154" s="117"/>
      <c r="AP154" s="118"/>
      <c r="AQ154" s="118"/>
      <c r="AR154" s="118"/>
      <c r="AS154" s="119"/>
      <c r="AT154" s="119"/>
    </row>
    <row r="155" customFormat="false" ht="13.5" hidden="false" customHeight="false" outlineLevel="0" collapsed="false">
      <c r="A155" s="120"/>
      <c r="B155" s="121" t="s">
        <v>548</v>
      </c>
      <c r="C155" s="110" t="n">
        <v>1</v>
      </c>
      <c r="D155" s="122" t="n">
        <v>0.24</v>
      </c>
      <c r="E155" s="122" t="n">
        <v>0.55</v>
      </c>
      <c r="F155" s="122" t="n">
        <f aca="false">0.4437/(0.24*0.55)</f>
        <v>3.36136363636364</v>
      </c>
      <c r="G155" s="123" t="n">
        <f aca="false">C155*D155*E155*F155</f>
        <v>0.4437</v>
      </c>
      <c r="H155" s="101"/>
      <c r="I155" s="123" t="n">
        <f aca="false">C155*F155*(D155+(E155-0.2)+(E155))</f>
        <v>3.83195454545455</v>
      </c>
      <c r="J155" s="101"/>
      <c r="K155" s="124"/>
      <c r="L155" s="125"/>
      <c r="M155" s="125"/>
      <c r="N155" s="126"/>
      <c r="O155" s="126"/>
      <c r="P155" s="126"/>
      <c r="Q155" s="127"/>
      <c r="R155" s="105" t="str">
        <f aca="false">IF(P155=6,N155*O155*Q155*0.222*1,IF(P155&gt;6,"",IF(P155&lt;6,"")))</f>
        <v/>
      </c>
      <c r="S155" s="106" t="str">
        <f aca="false">IF(P155=8,N155*O155*Q155*0.395*1,IF(P155&gt;8,"",IF(P155&lt;8,"")))</f>
        <v/>
      </c>
      <c r="T155" s="106" t="str">
        <f aca="false">IF(P155=10,N155*O155*Q155*0.617*1,IF(P155&gt;10,"",IF(P155&lt;10,"")))</f>
        <v/>
      </c>
      <c r="U155" s="106" t="str">
        <f aca="false">IF(P155=12,N155*O155*Q155*0.888*1,IF(P155&gt;12,"",IF(P155&lt;12,"")))</f>
        <v/>
      </c>
      <c r="V155" s="107" t="str">
        <f aca="false">IF(P155=16,N155*O155*Q155*1.578*1,IF(P155&gt;16,"",IF(P155&lt;16,"")))</f>
        <v/>
      </c>
      <c r="W155" s="106" t="str">
        <f aca="false">IF(P155=20,N155*O155*Q155*2.466*1,IF(P155&gt;20,"",IF(P155&lt;20,"")))</f>
        <v/>
      </c>
      <c r="X155" s="106" t="str">
        <f aca="false">IF(P155=25,N155*O155*Q155*3.853*1,IF(P155&gt;25,"",IF(P155&lt;25,"")))</f>
        <v/>
      </c>
      <c r="Y155" s="108" t="str">
        <f aca="false">IF(P155=32,N155*O155*Q155*6.313*1,IF(P155&gt;32,"",IF(P155&lt;32,"")))</f>
        <v/>
      </c>
      <c r="Z155" s="109"/>
      <c r="AA155" s="110" t="str">
        <f aca="false">IF(AC155&gt;0,N155,"")</f>
        <v/>
      </c>
      <c r="AB155" s="111" t="str">
        <f aca="false">IF(AC155&gt;0,O155,"")</f>
        <v/>
      </c>
      <c r="AC155" s="112"/>
      <c r="AD155" s="112"/>
      <c r="AE155" s="113" t="str">
        <f aca="false">IF(AC155&gt;0,P155,"")</f>
        <v/>
      </c>
      <c r="AF155" s="114" t="str">
        <f aca="false">IF(AE155=6,AA155*AB155*AC155*AD155*(AE155/1000)*0.222*1,IF(AE155&gt;6,"",IF(AE155&lt;6,"")))</f>
        <v/>
      </c>
      <c r="AG155" s="107" t="str">
        <f aca="false">IF(AE155=8,AA155*AB155*AC155*AD155*(AE155/1000)*0.395*1,IF(AE155&gt;8,"",IF(AE155&lt;8,"")))</f>
        <v/>
      </c>
      <c r="AH155" s="107" t="str">
        <f aca="false">IF(AE155=10,AA155*AB155*AC155*AD155*(AE155/1000)*0.617*1,IF(AE155&gt;10,"",IF(AE155&lt;10,"")))</f>
        <v/>
      </c>
      <c r="AI155" s="107" t="str">
        <f aca="false">IF(AE155=12,AA155*AB155*AC155*AD155*(AE155/1000)*0.888*1,IF(AE155&gt;12,"",IF(AE155&lt;12,"")))</f>
        <v/>
      </c>
      <c r="AJ155" s="107" t="str">
        <f aca="false">IF(AE155=16,AA155*AB155*AC155*AD155*(AE155/1000)*1.578*1,IF(AE155&gt;16,"",IF(AE155&lt;16,"")))</f>
        <v/>
      </c>
      <c r="AK155" s="107" t="str">
        <f aca="false">IF(AE155=20,AA155*AB155*AC155*AD155*(AE155/1000)*2.466*1,IF(AE155&gt;20,"",IF(AE155&lt;20,"")))</f>
        <v/>
      </c>
      <c r="AL155" s="107" t="str">
        <f aca="false">IF(AE155=25,AA155*AB155*AC155*AD155*(AE155/1000)*3.853*1,IF(AE155&gt;25,"",IF(AE155&lt;25,"")))</f>
        <v/>
      </c>
      <c r="AM155" s="115" t="str">
        <f aca="false">IF(AE155=32,AA155*AB155*AC155*AD155*(AE155/1000)*6.313*1,IF(AE155&gt;32,"",IF(AE155&lt;32,"")))</f>
        <v/>
      </c>
      <c r="AN155" s="128"/>
      <c r="AO155" s="117" t="s">
        <v>178</v>
      </c>
      <c r="AP155" s="118" t="n">
        <f aca="false">SUM(R155:Y155)+SUM(AN155)</f>
        <v>0</v>
      </c>
      <c r="AQ155" s="118" t="n">
        <f aca="false">SUM(AF155:AM155)</f>
        <v>0</v>
      </c>
      <c r="AR155" s="118" t="n">
        <v>0.4437</v>
      </c>
      <c r="AS155" s="119" t="s">
        <v>549</v>
      </c>
      <c r="AT155" s="119" t="s">
        <v>209</v>
      </c>
    </row>
    <row r="156" customFormat="false" ht="13.5" hidden="false" customHeight="false" outlineLevel="0" collapsed="false">
      <c r="A156" s="129"/>
      <c r="B156" s="172"/>
      <c r="C156" s="110"/>
      <c r="D156" s="122"/>
      <c r="E156" s="122"/>
      <c r="F156" s="173"/>
      <c r="G156" s="123"/>
      <c r="H156" s="101"/>
      <c r="I156" s="123"/>
      <c r="J156" s="101"/>
      <c r="K156" s="124" t="s">
        <v>491</v>
      </c>
      <c r="L156" s="125"/>
      <c r="M156" s="125"/>
      <c r="N156" s="126" t="n">
        <f aca="false">$C$155</f>
        <v>1</v>
      </c>
      <c r="O156" s="126" t="n">
        <v>2</v>
      </c>
      <c r="P156" s="126" t="n">
        <v>16</v>
      </c>
      <c r="Q156" s="127" t="n">
        <f aca="false">3.5388+2*50*16/1000</f>
        <v>5.1388</v>
      </c>
      <c r="R156" s="105" t="str">
        <f aca="false">IF(P156=6,N156*O156*Q156*0.222*1,IF(P156&gt;6,"",IF(P156&lt;6,"")))</f>
        <v/>
      </c>
      <c r="S156" s="106" t="str">
        <f aca="false">IF(P156=8,N156*O156*Q156*0.395*1,IF(P156&gt;8,"",IF(P156&lt;8,"")))</f>
        <v/>
      </c>
      <c r="T156" s="106" t="str">
        <f aca="false">IF(P156=10,N156*O156*Q156*0.617*1,IF(P156&gt;10,"",IF(P156&lt;10,"")))</f>
        <v/>
      </c>
      <c r="U156" s="106" t="str">
        <f aca="false">IF(P156=12,N156*O156*Q156*0.888*1,IF(P156&gt;12,"",IF(P156&lt;12,"")))</f>
        <v/>
      </c>
      <c r="V156" s="107" t="n">
        <f aca="false">IF(P156=16,N156*O156*Q156*1.578*1,IF(P156&gt;16,"",IF(P156&lt;16,"")))</f>
        <v>16.2180528</v>
      </c>
      <c r="W156" s="106" t="str">
        <f aca="false">IF(P156=20,N156*O156*Q156*2.466*1,IF(P156&gt;20,"",IF(P156&lt;20,"")))</f>
        <v/>
      </c>
      <c r="X156" s="106" t="str">
        <f aca="false">IF(P156=25,N156*O156*Q156*3.853*1,IF(P156&gt;25,"",IF(P156&lt;25,"")))</f>
        <v/>
      </c>
      <c r="Y156" s="108" t="str">
        <f aca="false">IF(P156=32,N156*O156*Q156*6.313*1,IF(P156&gt;32,"",IF(P156&lt;32,"")))</f>
        <v/>
      </c>
      <c r="Z156" s="109"/>
      <c r="AA156" s="110" t="str">
        <f aca="false">IF(AC156&gt;0,N156,"")</f>
        <v/>
      </c>
      <c r="AB156" s="111" t="str">
        <f aca="false">IF(AC156&gt;0,O156,"")</f>
        <v/>
      </c>
      <c r="AC156" s="112"/>
      <c r="AD156" s="112"/>
      <c r="AE156" s="113" t="str">
        <f aca="false">IF(AC156&gt;0,P156,"")</f>
        <v/>
      </c>
      <c r="AF156" s="114" t="str">
        <f aca="false">IF(AE156=6,AA156*AB156*AC156*AD156*(AE156/1000)*0.222*1,IF(AE156&gt;6,"",IF(AE156&lt;6,"")))</f>
        <v/>
      </c>
      <c r="AG156" s="107" t="str">
        <f aca="false">IF(AE156=8,AA156*AB156*AC156*AD156*(AE156/1000)*0.395*1,IF(AE156&gt;8,"",IF(AE156&lt;8,"")))</f>
        <v/>
      </c>
      <c r="AH156" s="107" t="str">
        <f aca="false">IF(AE156=10,AA156*AB156*AC156*AD156*(AE156/1000)*0.617*1,IF(AE156&gt;10,"",IF(AE156&lt;10,"")))</f>
        <v/>
      </c>
      <c r="AI156" s="107" t="str">
        <f aca="false">IF(AE156=12,AA156*AB156*AC156*AD156*(AE156/1000)*0.888*1,IF(AE156&gt;12,"",IF(AE156&lt;12,"")))</f>
        <v/>
      </c>
      <c r="AJ156" s="107" t="str">
        <f aca="false">IF(AE156=16,AA156*AB156*AC156*AD156*(AE156/1000)*1.578*1,IF(AE156&gt;16,"",IF(AE156&lt;16,"")))</f>
        <v/>
      </c>
      <c r="AK156" s="107" t="str">
        <f aca="false">IF(AE156=20,AA156*AB156*AC156*AD156*(AE156/1000)*2.466*1,IF(AE156&gt;20,"",IF(AE156&lt;20,"")))</f>
        <v/>
      </c>
      <c r="AL156" s="107" t="str">
        <f aca="false">IF(AE156=25,AA156*AB156*AC156*AD156*(AE156/1000)*3.853*1,IF(AE156&gt;25,"",IF(AE156&lt;25,"")))</f>
        <v/>
      </c>
      <c r="AM156" s="115" t="str">
        <f aca="false">IF(AE156=32,AA156*AB156*AC156*AD156*(AE156/1000)*6.313*1,IF(AE156&gt;32,"",IF(AE156&lt;32,"")))</f>
        <v/>
      </c>
      <c r="AN156" s="128"/>
      <c r="AO156" s="117" t="s">
        <v>178</v>
      </c>
      <c r="AP156" s="118" t="n">
        <f aca="false">SUM(R156:Y156)+SUM(AN156)</f>
        <v>16.2180528</v>
      </c>
      <c r="AQ156" s="118" t="n">
        <f aca="false">SUM(AF156:AM156)</f>
        <v>0</v>
      </c>
      <c r="AR156" s="118"/>
      <c r="AS156" s="119" t="s">
        <v>482</v>
      </c>
      <c r="AT156" s="119" t="s">
        <v>162</v>
      </c>
    </row>
    <row r="157" customFormat="false" ht="13.5" hidden="false" customHeight="false" outlineLevel="0" collapsed="false">
      <c r="A157" s="129"/>
      <c r="B157" s="172"/>
      <c r="C157" s="110"/>
      <c r="D157" s="122"/>
      <c r="E157" s="122"/>
      <c r="F157" s="173"/>
      <c r="G157" s="123"/>
      <c r="H157" s="101"/>
      <c r="I157" s="123"/>
      <c r="J157" s="101"/>
      <c r="K157" s="124" t="s">
        <v>493</v>
      </c>
      <c r="L157" s="125"/>
      <c r="M157" s="125"/>
      <c r="N157" s="126" t="n">
        <f aca="false">$C$155</f>
        <v>1</v>
      </c>
      <c r="O157" s="126" t="n">
        <v>2</v>
      </c>
      <c r="P157" s="126" t="n">
        <v>16</v>
      </c>
      <c r="Q157" s="127" t="n">
        <f aca="false">3.5388+2*50*16/1000</f>
        <v>5.1388</v>
      </c>
      <c r="R157" s="105" t="str">
        <f aca="false">IF(P157=6,N157*O157*Q157*0.222*1,IF(P157&gt;6,"",IF(P157&lt;6,"")))</f>
        <v/>
      </c>
      <c r="S157" s="106" t="str">
        <f aca="false">IF(P157=8,N157*O157*Q157*0.395*1,IF(P157&gt;8,"",IF(P157&lt;8,"")))</f>
        <v/>
      </c>
      <c r="T157" s="106" t="str">
        <f aca="false">IF(P157=10,N157*O157*Q157*0.617*1,IF(P157&gt;10,"",IF(P157&lt;10,"")))</f>
        <v/>
      </c>
      <c r="U157" s="106" t="str">
        <f aca="false">IF(P157=12,N157*O157*Q157*0.888*1,IF(P157&gt;12,"",IF(P157&lt;12,"")))</f>
        <v/>
      </c>
      <c r="V157" s="107" t="n">
        <f aca="false">IF(P157=16,N157*O157*Q157*1.578*1,IF(P157&gt;16,"",IF(P157&lt;16,"")))</f>
        <v>16.2180528</v>
      </c>
      <c r="W157" s="106" t="str">
        <f aca="false">IF(P157=20,N157*O157*Q157*2.466*1,IF(P157&gt;20,"",IF(P157&lt;20,"")))</f>
        <v/>
      </c>
      <c r="X157" s="106" t="str">
        <f aca="false">IF(P157=25,N157*O157*Q157*3.853*1,IF(P157&gt;25,"",IF(P157&lt;25,"")))</f>
        <v/>
      </c>
      <c r="Y157" s="108" t="str">
        <f aca="false">IF(P157=32,N157*O157*Q157*6.313*1,IF(P157&gt;32,"",IF(P157&lt;32,"")))</f>
        <v/>
      </c>
      <c r="Z157" s="109"/>
      <c r="AA157" s="110" t="str">
        <f aca="false">IF(AC157&gt;0,N157,"")</f>
        <v/>
      </c>
      <c r="AB157" s="111" t="str">
        <f aca="false">IF(AC157&gt;0,O157,"")</f>
        <v/>
      </c>
      <c r="AC157" s="112"/>
      <c r="AD157" s="112"/>
      <c r="AE157" s="113" t="str">
        <f aca="false">IF(AC157&gt;0,P157,"")</f>
        <v/>
      </c>
      <c r="AF157" s="114" t="str">
        <f aca="false">IF(AE157=6,AA157*AB157*AC157*AD157*(AE157/1000)*0.222*1,IF(AE157&gt;6,"",IF(AE157&lt;6,"")))</f>
        <v/>
      </c>
      <c r="AG157" s="107" t="str">
        <f aca="false">IF(AE157=8,AA157*AB157*AC157*AD157*(AE157/1000)*0.395*1,IF(AE157&gt;8,"",IF(AE157&lt;8,"")))</f>
        <v/>
      </c>
      <c r="AH157" s="107" t="str">
        <f aca="false">IF(AE157=10,AA157*AB157*AC157*AD157*(AE157/1000)*0.617*1,IF(AE157&gt;10,"",IF(AE157&lt;10,"")))</f>
        <v/>
      </c>
      <c r="AI157" s="107" t="str">
        <f aca="false">IF(AE157=12,AA157*AB157*AC157*AD157*(AE157/1000)*0.888*1,IF(AE157&gt;12,"",IF(AE157&lt;12,"")))</f>
        <v/>
      </c>
      <c r="AJ157" s="107" t="str">
        <f aca="false">IF(AE157=16,AA157*AB157*AC157*AD157*(AE157/1000)*1.578*1,IF(AE157&gt;16,"",IF(AE157&lt;16,"")))</f>
        <v/>
      </c>
      <c r="AK157" s="107" t="str">
        <f aca="false">IF(AE157=20,AA157*AB157*AC157*AD157*(AE157/1000)*2.466*1,IF(AE157&gt;20,"",IF(AE157&lt;20,"")))</f>
        <v/>
      </c>
      <c r="AL157" s="107" t="str">
        <f aca="false">IF(AE157=25,AA157*AB157*AC157*AD157*(AE157/1000)*3.853*1,IF(AE157&gt;25,"",IF(AE157&lt;25,"")))</f>
        <v/>
      </c>
      <c r="AM157" s="115" t="str">
        <f aca="false">IF(AE157=32,AA157*AB157*AC157*AD157*(AE157/1000)*6.313*1,IF(AE157&gt;32,"",IF(AE157&lt;32,"")))</f>
        <v/>
      </c>
      <c r="AN157" s="128"/>
      <c r="AO157" s="117" t="s">
        <v>178</v>
      </c>
      <c r="AP157" s="118" t="n">
        <f aca="false">SUM(R157:Y157)+SUM(AN157)</f>
        <v>16.2180528</v>
      </c>
      <c r="AQ157" s="118" t="n">
        <f aca="false">SUM(AF157:AM157)</f>
        <v>0</v>
      </c>
      <c r="AR157" s="118"/>
      <c r="AS157" s="119" t="s">
        <v>482</v>
      </c>
      <c r="AT157" s="119" t="s">
        <v>162</v>
      </c>
    </row>
    <row r="158" customFormat="false" ht="13.5" hidden="false" customHeight="false" outlineLevel="0" collapsed="false">
      <c r="A158" s="129"/>
      <c r="B158" s="172"/>
      <c r="C158" s="110"/>
      <c r="D158" s="122"/>
      <c r="E158" s="122"/>
      <c r="F158" s="173"/>
      <c r="G158" s="123"/>
      <c r="H158" s="101"/>
      <c r="I158" s="123"/>
      <c r="J158" s="101"/>
      <c r="K158" s="124" t="s">
        <v>550</v>
      </c>
      <c r="L158" s="125" t="n">
        <f aca="false">$E$155</f>
        <v>0.55</v>
      </c>
      <c r="M158" s="125" t="n">
        <v>0.1</v>
      </c>
      <c r="N158" s="126" t="n">
        <f aca="false">2*$C$155</f>
        <v>2</v>
      </c>
      <c r="O158" s="126" t="n">
        <f aca="false">CEILING(L158/M158,1)+1</f>
        <v>7</v>
      </c>
      <c r="P158" s="126" t="n">
        <v>8</v>
      </c>
      <c r="Q158" s="127" t="n">
        <f aca="false">2*($D$155-2*0.035)+2*(0.485-2*0.035)+20*8/1000</f>
        <v>1.33</v>
      </c>
      <c r="R158" s="105" t="str">
        <f aca="false">IF(P158=6,N158*O158*Q158*0.222*1,IF(P158&gt;6,"",IF(P158&lt;6,"")))</f>
        <v/>
      </c>
      <c r="S158" s="106" t="n">
        <f aca="false">IF(P158=8,N158*O158*Q158*0.395*1,IF(P158&gt;8,"",IF(P158&lt;8,"")))</f>
        <v>7.3549</v>
      </c>
      <c r="T158" s="106" t="str">
        <f aca="false">IF(P158=10,N158*O158*Q158*0.617*1,IF(P158&gt;10,"",IF(P158&lt;10,"")))</f>
        <v/>
      </c>
      <c r="U158" s="106" t="str">
        <f aca="false">IF(P158=12,N158*O158*Q158*0.888*1,IF(P158&gt;12,"",IF(P158&lt;12,"")))</f>
        <v/>
      </c>
      <c r="V158" s="107" t="str">
        <f aca="false">IF(P158=16,N158*O158*Q158*1.578*1,IF(P158&gt;16,"",IF(P158&lt;16,"")))</f>
        <v/>
      </c>
      <c r="W158" s="106" t="str">
        <f aca="false">IF(P158=20,N158*O158*Q158*2.466*1,IF(P158&gt;20,"",IF(P158&lt;20,"")))</f>
        <v/>
      </c>
      <c r="X158" s="106" t="str">
        <f aca="false">IF(P158=25,N158*O158*Q158*3.853*1,IF(P158&gt;25,"",IF(P158&lt;25,"")))</f>
        <v/>
      </c>
      <c r="Y158" s="108" t="str">
        <f aca="false">IF(P158=32,N158*O158*Q158*6.313*1,IF(P158&gt;32,"",IF(P158&lt;32,"")))</f>
        <v/>
      </c>
      <c r="Z158" s="109"/>
      <c r="AA158" s="110" t="str">
        <f aca="false">IF(AC158&gt;0,N158,"")</f>
        <v/>
      </c>
      <c r="AB158" s="111" t="str">
        <f aca="false">IF(AC158&gt;0,O158,"")</f>
        <v/>
      </c>
      <c r="AC158" s="112"/>
      <c r="AD158" s="112"/>
      <c r="AE158" s="113" t="str">
        <f aca="false">IF(AC158&gt;0,P158,"")</f>
        <v/>
      </c>
      <c r="AF158" s="114" t="str">
        <f aca="false">IF(AE158=6,AA158*AB158*AC158*AD158*(AE158/1000)*0.222*1,IF(AE158&gt;6,"",IF(AE158&lt;6,"")))</f>
        <v/>
      </c>
      <c r="AG158" s="107" t="str">
        <f aca="false">IF(AE158=8,AA158*AB158*AC158*AD158*(AE158/1000)*0.395*1,IF(AE158&gt;8,"",IF(AE158&lt;8,"")))</f>
        <v/>
      </c>
      <c r="AH158" s="107" t="str">
        <f aca="false">IF(AE158=10,AA158*AB158*AC158*AD158*(AE158/1000)*0.617*1,IF(AE158&gt;10,"",IF(AE158&lt;10,"")))</f>
        <v/>
      </c>
      <c r="AI158" s="107" t="str">
        <f aca="false">IF(AE158=12,AA158*AB158*AC158*AD158*(AE158/1000)*0.888*1,IF(AE158&gt;12,"",IF(AE158&lt;12,"")))</f>
        <v/>
      </c>
      <c r="AJ158" s="107" t="str">
        <f aca="false">IF(AE158=16,AA158*AB158*AC158*AD158*(AE158/1000)*1.578*1,IF(AE158&gt;16,"",IF(AE158&lt;16,"")))</f>
        <v/>
      </c>
      <c r="AK158" s="107" t="str">
        <f aca="false">IF(AE158=20,AA158*AB158*AC158*AD158*(AE158/1000)*2.466*1,IF(AE158&gt;20,"",IF(AE158&lt;20,"")))</f>
        <v/>
      </c>
      <c r="AL158" s="107" t="str">
        <f aca="false">IF(AE158=25,AA158*AB158*AC158*AD158*(AE158/1000)*3.853*1,IF(AE158&gt;25,"",IF(AE158&lt;25,"")))</f>
        <v/>
      </c>
      <c r="AM158" s="115" t="str">
        <f aca="false">IF(AE158=32,AA158*AB158*AC158*AD158*(AE158/1000)*6.313*1,IF(AE158&gt;32,"",IF(AE158&lt;32,"")))</f>
        <v/>
      </c>
      <c r="AN158" s="128"/>
      <c r="AO158" s="117" t="s">
        <v>178</v>
      </c>
      <c r="AP158" s="118" t="n">
        <f aca="false">SUM(R158:Y158)+SUM(AN158)</f>
        <v>7.3549</v>
      </c>
      <c r="AQ158" s="118" t="n">
        <f aca="false">SUM(AF158:AM158)</f>
        <v>0</v>
      </c>
      <c r="AR158" s="118"/>
      <c r="AS158" s="119" t="s">
        <v>551</v>
      </c>
      <c r="AT158" s="119" t="s">
        <v>162</v>
      </c>
    </row>
    <row r="159" customFormat="false" ht="13.5" hidden="false" customHeight="false" outlineLevel="0" collapsed="false">
      <c r="A159" s="129"/>
      <c r="B159" s="172"/>
      <c r="C159" s="110"/>
      <c r="D159" s="122"/>
      <c r="E159" s="122"/>
      <c r="F159" s="173"/>
      <c r="G159" s="123"/>
      <c r="H159" s="101"/>
      <c r="I159" s="123"/>
      <c r="J159" s="101"/>
      <c r="K159" s="124" t="s">
        <v>552</v>
      </c>
      <c r="L159" s="125" t="n">
        <f aca="false">$F$155-2*$E$155</f>
        <v>2.26136363636364</v>
      </c>
      <c r="M159" s="125" t="n">
        <v>0.15</v>
      </c>
      <c r="N159" s="126" t="n">
        <f aca="false">$C$155</f>
        <v>1</v>
      </c>
      <c r="O159" s="126" t="n">
        <f aca="false">CEILING(L159/M159,1)-1</f>
        <v>15</v>
      </c>
      <c r="P159" s="126" t="n">
        <v>8</v>
      </c>
      <c r="Q159" s="127" t="n">
        <f aca="false">2*($D$155-2*0.035)+2*(0.485-2*0.035)+20*8/1000</f>
        <v>1.33</v>
      </c>
      <c r="R159" s="105" t="str">
        <f aca="false">IF(P159=6,N159*O159*Q159*0.222*1,IF(P159&gt;6,"",IF(P159&lt;6,"")))</f>
        <v/>
      </c>
      <c r="S159" s="106" t="n">
        <f aca="false">IF(P159=8,N159*O159*Q159*0.395*1,IF(P159&gt;8,"",IF(P159&lt;8,"")))</f>
        <v>7.88025</v>
      </c>
      <c r="T159" s="106" t="str">
        <f aca="false">IF(P159=10,N159*O159*Q159*0.617*1,IF(P159&gt;10,"",IF(P159&lt;10,"")))</f>
        <v/>
      </c>
      <c r="U159" s="106" t="str">
        <f aca="false">IF(P159=12,N159*O159*Q159*0.888*1,IF(P159&gt;12,"",IF(P159&lt;12,"")))</f>
        <v/>
      </c>
      <c r="V159" s="107" t="str">
        <f aca="false">IF(P159=16,N159*O159*Q159*1.578*1,IF(P159&gt;16,"",IF(P159&lt;16,"")))</f>
        <v/>
      </c>
      <c r="W159" s="106" t="str">
        <f aca="false">IF(P159=20,N159*O159*Q159*2.466*1,IF(P159&gt;20,"",IF(P159&lt;20,"")))</f>
        <v/>
      </c>
      <c r="X159" s="106" t="str">
        <f aca="false">IF(P159=25,N159*O159*Q159*3.853*1,IF(P159&gt;25,"",IF(P159&lt;25,"")))</f>
        <v/>
      </c>
      <c r="Y159" s="108" t="str">
        <f aca="false">IF(P159=32,N159*O159*Q159*6.313*1,IF(P159&gt;32,"",IF(P159&lt;32,"")))</f>
        <v/>
      </c>
      <c r="Z159" s="109"/>
      <c r="AA159" s="110" t="str">
        <f aca="false">IF(AC159&gt;0,N159,"")</f>
        <v/>
      </c>
      <c r="AB159" s="111" t="str">
        <f aca="false">IF(AC159&gt;0,O159,"")</f>
        <v/>
      </c>
      <c r="AC159" s="112"/>
      <c r="AD159" s="112"/>
      <c r="AE159" s="113" t="str">
        <f aca="false">IF(AC159&gt;0,P159,"")</f>
        <v/>
      </c>
      <c r="AF159" s="114" t="str">
        <f aca="false">IF(AE159=6,AA159*AB159*AC159*AD159*(AE159/1000)*0.222*1,IF(AE159&gt;6,"",IF(AE159&lt;6,"")))</f>
        <v/>
      </c>
      <c r="AG159" s="107" t="str">
        <f aca="false">IF(AE159=8,AA159*AB159*AC159*AD159*(AE159/1000)*0.395*1,IF(AE159&gt;8,"",IF(AE159&lt;8,"")))</f>
        <v/>
      </c>
      <c r="AH159" s="107" t="str">
        <f aca="false">IF(AE159=10,AA159*AB159*AC159*AD159*(AE159/1000)*0.617*1,IF(AE159&gt;10,"",IF(AE159&lt;10,"")))</f>
        <v/>
      </c>
      <c r="AI159" s="107" t="str">
        <f aca="false">IF(AE159=12,AA159*AB159*AC159*AD159*(AE159/1000)*0.888*1,IF(AE159&gt;12,"",IF(AE159&lt;12,"")))</f>
        <v/>
      </c>
      <c r="AJ159" s="107" t="str">
        <f aca="false">IF(AE159=16,AA159*AB159*AC159*AD159*(AE159/1000)*1.578*1,IF(AE159&gt;16,"",IF(AE159&lt;16,"")))</f>
        <v/>
      </c>
      <c r="AK159" s="107" t="str">
        <f aca="false">IF(AE159=20,AA159*AB159*AC159*AD159*(AE159/1000)*2.466*1,IF(AE159&gt;20,"",IF(AE159&lt;20,"")))</f>
        <v/>
      </c>
      <c r="AL159" s="107" t="str">
        <f aca="false">IF(AE159=25,AA159*AB159*AC159*AD159*(AE159/1000)*3.853*1,IF(AE159&gt;25,"",IF(AE159&lt;25,"")))</f>
        <v/>
      </c>
      <c r="AM159" s="115" t="str">
        <f aca="false">IF(AE159=32,AA159*AB159*AC159*AD159*(AE159/1000)*6.313*1,IF(AE159&gt;32,"",IF(AE159&lt;32,"")))</f>
        <v/>
      </c>
      <c r="AN159" s="128"/>
      <c r="AO159" s="117" t="s">
        <v>178</v>
      </c>
      <c r="AP159" s="118" t="n">
        <f aca="false">SUM(R159:Y159)+SUM(AN159)</f>
        <v>7.88025</v>
      </c>
      <c r="AQ159" s="118" t="n">
        <f aca="false">SUM(AF159:AM159)</f>
        <v>0</v>
      </c>
      <c r="AR159" s="118"/>
      <c r="AS159" s="119"/>
      <c r="AT159" s="119" t="s">
        <v>162</v>
      </c>
    </row>
    <row r="160" customFormat="false" ht="13.5" hidden="false" customHeight="false" outlineLevel="0" collapsed="false">
      <c r="A160" s="129"/>
      <c r="B160" s="130"/>
      <c r="C160" s="110"/>
      <c r="D160" s="122"/>
      <c r="E160" s="122"/>
      <c r="F160" s="122"/>
      <c r="G160" s="123"/>
      <c r="H160" s="101"/>
      <c r="I160" s="123"/>
      <c r="J160" s="101"/>
      <c r="K160" s="124"/>
      <c r="L160" s="125"/>
      <c r="M160" s="125"/>
      <c r="N160" s="126"/>
      <c r="O160" s="126"/>
      <c r="P160" s="126"/>
      <c r="Q160" s="127"/>
      <c r="R160" s="105"/>
      <c r="S160" s="106"/>
      <c r="T160" s="106"/>
      <c r="U160" s="106"/>
      <c r="V160" s="107"/>
      <c r="W160" s="106"/>
      <c r="X160" s="106"/>
      <c r="Y160" s="108"/>
      <c r="Z160" s="109"/>
      <c r="AA160" s="110"/>
      <c r="AB160" s="111"/>
      <c r="AC160" s="112"/>
      <c r="AD160" s="112"/>
      <c r="AE160" s="113"/>
      <c r="AF160" s="114"/>
      <c r="AG160" s="107"/>
      <c r="AH160" s="107"/>
      <c r="AI160" s="107"/>
      <c r="AJ160" s="107"/>
      <c r="AK160" s="107"/>
      <c r="AL160" s="107"/>
      <c r="AM160" s="115"/>
      <c r="AO160" s="117"/>
      <c r="AP160" s="118"/>
      <c r="AQ160" s="118"/>
      <c r="AR160" s="118"/>
      <c r="AS160" s="119"/>
      <c r="AT160" s="119"/>
    </row>
    <row r="161" customFormat="false" ht="13.5" hidden="false" customHeight="false" outlineLevel="0" collapsed="false">
      <c r="A161" s="120"/>
      <c r="B161" s="121" t="s">
        <v>553</v>
      </c>
      <c r="C161" s="110" t="n">
        <v>1</v>
      </c>
      <c r="D161" s="122" t="n">
        <v>0.24</v>
      </c>
      <c r="E161" s="122" t="n">
        <v>0.55</v>
      </c>
      <c r="F161" s="122" t="n">
        <f aca="false">0.4623/(0.24*0.55)</f>
        <v>3.50227272727273</v>
      </c>
      <c r="G161" s="123" t="n">
        <f aca="false">C161*D161*E161*F161</f>
        <v>0.4623</v>
      </c>
      <c r="H161" s="101"/>
      <c r="I161" s="123" t="n">
        <f aca="false">C161*F161*(D161+(E161-0.2)+(E161))</f>
        <v>3.99259090909091</v>
      </c>
      <c r="J161" s="101"/>
      <c r="K161" s="124"/>
      <c r="L161" s="125"/>
      <c r="M161" s="125"/>
      <c r="N161" s="126"/>
      <c r="O161" s="126"/>
      <c r="P161" s="126"/>
      <c r="Q161" s="127"/>
      <c r="R161" s="105" t="str">
        <f aca="false">IF(P161=6,N161*O161*Q161*0.222*1,IF(P161&gt;6,"",IF(P161&lt;6,"")))</f>
        <v/>
      </c>
      <c r="S161" s="106" t="str">
        <f aca="false">IF(P161=8,N161*O161*Q161*0.395*1,IF(P161&gt;8,"",IF(P161&lt;8,"")))</f>
        <v/>
      </c>
      <c r="T161" s="106" t="str">
        <f aca="false">IF(P161=10,N161*O161*Q161*0.617*1,IF(P161&gt;10,"",IF(P161&lt;10,"")))</f>
        <v/>
      </c>
      <c r="U161" s="106" t="str">
        <f aca="false">IF(P161=12,N161*O161*Q161*0.888*1,IF(P161&gt;12,"",IF(P161&lt;12,"")))</f>
        <v/>
      </c>
      <c r="V161" s="107" t="str">
        <f aca="false">IF(P161=16,N161*O161*Q161*1.578*1,IF(P161&gt;16,"",IF(P161&lt;16,"")))</f>
        <v/>
      </c>
      <c r="W161" s="106" t="str">
        <f aca="false">IF(P161=20,N161*O161*Q161*2.466*1,IF(P161&gt;20,"",IF(P161&lt;20,"")))</f>
        <v/>
      </c>
      <c r="X161" s="106" t="str">
        <f aca="false">IF(P161=25,N161*O161*Q161*3.853*1,IF(P161&gt;25,"",IF(P161&lt;25,"")))</f>
        <v/>
      </c>
      <c r="Y161" s="108" t="str">
        <f aca="false">IF(P161=32,N161*O161*Q161*6.313*1,IF(P161&gt;32,"",IF(P161&lt;32,"")))</f>
        <v/>
      </c>
      <c r="Z161" s="109"/>
      <c r="AA161" s="110" t="str">
        <f aca="false">IF(AC161&gt;0,N161,"")</f>
        <v/>
      </c>
      <c r="AB161" s="111" t="str">
        <f aca="false">IF(AC161&gt;0,O161,"")</f>
        <v/>
      </c>
      <c r="AC161" s="112"/>
      <c r="AD161" s="112"/>
      <c r="AE161" s="113" t="str">
        <f aca="false">IF(AC161&gt;0,P161,"")</f>
        <v/>
      </c>
      <c r="AF161" s="114" t="str">
        <f aca="false">IF(AE161=6,AA161*AB161*AC161*AD161*(AE161/1000)*0.222*1,IF(AE161&gt;6,"",IF(AE161&lt;6,"")))</f>
        <v/>
      </c>
      <c r="AG161" s="107" t="str">
        <f aca="false">IF(AE161=8,AA161*AB161*AC161*AD161*(AE161/1000)*0.395*1,IF(AE161&gt;8,"",IF(AE161&lt;8,"")))</f>
        <v/>
      </c>
      <c r="AH161" s="107" t="str">
        <f aca="false">IF(AE161=10,AA161*AB161*AC161*AD161*(AE161/1000)*0.617*1,IF(AE161&gt;10,"",IF(AE161&lt;10,"")))</f>
        <v/>
      </c>
      <c r="AI161" s="107" t="str">
        <f aca="false">IF(AE161=12,AA161*AB161*AC161*AD161*(AE161/1000)*0.888*1,IF(AE161&gt;12,"",IF(AE161&lt;12,"")))</f>
        <v/>
      </c>
      <c r="AJ161" s="107" t="str">
        <f aca="false">IF(AE161=16,AA161*AB161*AC161*AD161*(AE161/1000)*1.578*1,IF(AE161&gt;16,"",IF(AE161&lt;16,"")))</f>
        <v/>
      </c>
      <c r="AK161" s="107" t="str">
        <f aca="false">IF(AE161=20,AA161*AB161*AC161*AD161*(AE161/1000)*2.466*1,IF(AE161&gt;20,"",IF(AE161&lt;20,"")))</f>
        <v/>
      </c>
      <c r="AL161" s="107" t="str">
        <f aca="false">IF(AE161=25,AA161*AB161*AC161*AD161*(AE161/1000)*3.853*1,IF(AE161&gt;25,"",IF(AE161&lt;25,"")))</f>
        <v/>
      </c>
      <c r="AM161" s="115" t="str">
        <f aca="false">IF(AE161=32,AA161*AB161*AC161*AD161*(AE161/1000)*6.313*1,IF(AE161&gt;32,"",IF(AE161&lt;32,"")))</f>
        <v/>
      </c>
      <c r="AN161" s="128"/>
      <c r="AO161" s="117" t="s">
        <v>178</v>
      </c>
      <c r="AP161" s="118" t="n">
        <f aca="false">SUM(R161:Y161)+SUM(AN161)</f>
        <v>0</v>
      </c>
      <c r="AQ161" s="118" t="n">
        <f aca="false">SUM(AF161:AM161)</f>
        <v>0</v>
      </c>
      <c r="AR161" s="118" t="n">
        <v>0.4623</v>
      </c>
      <c r="AS161" s="119" t="s">
        <v>554</v>
      </c>
      <c r="AT161" s="119" t="s">
        <v>209</v>
      </c>
    </row>
    <row r="162" customFormat="false" ht="13.5" hidden="false" customHeight="false" outlineLevel="0" collapsed="false">
      <c r="A162" s="129"/>
      <c r="B162" s="172"/>
      <c r="C162" s="110"/>
      <c r="D162" s="122"/>
      <c r="E162" s="122"/>
      <c r="F162" s="173"/>
      <c r="G162" s="123"/>
      <c r="H162" s="101"/>
      <c r="I162" s="123"/>
      <c r="J162" s="101"/>
      <c r="K162" s="124" t="s">
        <v>491</v>
      </c>
      <c r="L162" s="125"/>
      <c r="M162" s="125"/>
      <c r="N162" s="126" t="n">
        <f aca="false">$C$161</f>
        <v>1</v>
      </c>
      <c r="O162" s="126" t="n">
        <v>2</v>
      </c>
      <c r="P162" s="126" t="n">
        <v>16</v>
      </c>
      <c r="Q162" s="127" t="n">
        <f aca="false">3.7231+2*50*16/1000</f>
        <v>5.3231</v>
      </c>
      <c r="R162" s="105" t="str">
        <f aca="false">IF(P162=6,N162*O162*Q162*0.222*1,IF(P162&gt;6,"",IF(P162&lt;6,"")))</f>
        <v/>
      </c>
      <c r="S162" s="106" t="str">
        <f aca="false">IF(P162=8,N162*O162*Q162*0.395*1,IF(P162&gt;8,"",IF(P162&lt;8,"")))</f>
        <v/>
      </c>
      <c r="T162" s="106" t="str">
        <f aca="false">IF(P162=10,N162*O162*Q162*0.617*1,IF(P162&gt;10,"",IF(P162&lt;10,"")))</f>
        <v/>
      </c>
      <c r="U162" s="106" t="str">
        <f aca="false">IF(P162=12,N162*O162*Q162*0.888*1,IF(P162&gt;12,"",IF(P162&lt;12,"")))</f>
        <v/>
      </c>
      <c r="V162" s="107" t="n">
        <f aca="false">IF(P162=16,N162*O162*Q162*1.578*1,IF(P162&gt;16,"",IF(P162&lt;16,"")))</f>
        <v>16.7997036</v>
      </c>
      <c r="W162" s="106" t="str">
        <f aca="false">IF(P162=20,N162*O162*Q162*2.466*1,IF(P162&gt;20,"",IF(P162&lt;20,"")))</f>
        <v/>
      </c>
      <c r="X162" s="106" t="str">
        <f aca="false">IF(P162=25,N162*O162*Q162*3.853*1,IF(P162&gt;25,"",IF(P162&lt;25,"")))</f>
        <v/>
      </c>
      <c r="Y162" s="108" t="str">
        <f aca="false">IF(P162=32,N162*O162*Q162*6.313*1,IF(P162&gt;32,"",IF(P162&lt;32,"")))</f>
        <v/>
      </c>
      <c r="Z162" s="109"/>
      <c r="AA162" s="110" t="str">
        <f aca="false">IF(AC162&gt;0,N162,"")</f>
        <v/>
      </c>
      <c r="AB162" s="111" t="str">
        <f aca="false">IF(AC162&gt;0,O162,"")</f>
        <v/>
      </c>
      <c r="AC162" s="112"/>
      <c r="AD162" s="112"/>
      <c r="AE162" s="113" t="str">
        <f aca="false">IF(AC162&gt;0,P162,"")</f>
        <v/>
      </c>
      <c r="AF162" s="114" t="str">
        <f aca="false">IF(AE162=6,AA162*AB162*AC162*AD162*(AE162/1000)*0.222*1,IF(AE162&gt;6,"",IF(AE162&lt;6,"")))</f>
        <v/>
      </c>
      <c r="AG162" s="107" t="str">
        <f aca="false">IF(AE162=8,AA162*AB162*AC162*AD162*(AE162/1000)*0.395*1,IF(AE162&gt;8,"",IF(AE162&lt;8,"")))</f>
        <v/>
      </c>
      <c r="AH162" s="107" t="str">
        <f aca="false">IF(AE162=10,AA162*AB162*AC162*AD162*(AE162/1000)*0.617*1,IF(AE162&gt;10,"",IF(AE162&lt;10,"")))</f>
        <v/>
      </c>
      <c r="AI162" s="107" t="str">
        <f aca="false">IF(AE162=12,AA162*AB162*AC162*AD162*(AE162/1000)*0.888*1,IF(AE162&gt;12,"",IF(AE162&lt;12,"")))</f>
        <v/>
      </c>
      <c r="AJ162" s="107" t="str">
        <f aca="false">IF(AE162=16,AA162*AB162*AC162*AD162*(AE162/1000)*1.578*1,IF(AE162&gt;16,"",IF(AE162&lt;16,"")))</f>
        <v/>
      </c>
      <c r="AK162" s="107" t="str">
        <f aca="false">IF(AE162=20,AA162*AB162*AC162*AD162*(AE162/1000)*2.466*1,IF(AE162&gt;20,"",IF(AE162&lt;20,"")))</f>
        <v/>
      </c>
      <c r="AL162" s="107" t="str">
        <f aca="false">IF(AE162=25,AA162*AB162*AC162*AD162*(AE162/1000)*3.853*1,IF(AE162&gt;25,"",IF(AE162&lt;25,"")))</f>
        <v/>
      </c>
      <c r="AM162" s="115" t="str">
        <f aca="false">IF(AE162=32,AA162*AB162*AC162*AD162*(AE162/1000)*6.313*1,IF(AE162&gt;32,"",IF(AE162&lt;32,"")))</f>
        <v/>
      </c>
      <c r="AN162" s="128"/>
      <c r="AO162" s="117" t="s">
        <v>178</v>
      </c>
      <c r="AP162" s="118" t="n">
        <f aca="false">SUM(R162:Y162)+SUM(AN162)</f>
        <v>16.7997036</v>
      </c>
      <c r="AQ162" s="118" t="n">
        <f aca="false">SUM(AF162:AM162)</f>
        <v>0</v>
      </c>
      <c r="AR162" s="118"/>
      <c r="AS162" s="119" t="s">
        <v>482</v>
      </c>
      <c r="AT162" s="119" t="s">
        <v>162</v>
      </c>
    </row>
    <row r="163" customFormat="false" ht="13.5" hidden="false" customHeight="false" outlineLevel="0" collapsed="false">
      <c r="A163" s="129"/>
      <c r="B163" s="172"/>
      <c r="C163" s="110"/>
      <c r="D163" s="122"/>
      <c r="E163" s="122"/>
      <c r="F163" s="173"/>
      <c r="G163" s="123"/>
      <c r="H163" s="101"/>
      <c r="I163" s="123"/>
      <c r="J163" s="101"/>
      <c r="K163" s="124" t="s">
        <v>493</v>
      </c>
      <c r="L163" s="125"/>
      <c r="M163" s="125"/>
      <c r="N163" s="126" t="n">
        <f aca="false">$C$161</f>
        <v>1</v>
      </c>
      <c r="O163" s="126" t="n">
        <v>2</v>
      </c>
      <c r="P163" s="126" t="n">
        <v>16</v>
      </c>
      <c r="Q163" s="127" t="n">
        <f aca="false">3.7231+2*50*16/1000</f>
        <v>5.3231</v>
      </c>
      <c r="R163" s="105" t="str">
        <f aca="false">IF(P163=6,N163*O163*Q163*0.222*1,IF(P163&gt;6,"",IF(P163&lt;6,"")))</f>
        <v/>
      </c>
      <c r="S163" s="106" t="str">
        <f aca="false">IF(P163=8,N163*O163*Q163*0.395*1,IF(P163&gt;8,"",IF(P163&lt;8,"")))</f>
        <v/>
      </c>
      <c r="T163" s="106" t="str">
        <f aca="false">IF(P163=10,N163*O163*Q163*0.617*1,IF(P163&gt;10,"",IF(P163&lt;10,"")))</f>
        <v/>
      </c>
      <c r="U163" s="106" t="str">
        <f aca="false">IF(P163=12,N163*O163*Q163*0.888*1,IF(P163&gt;12,"",IF(P163&lt;12,"")))</f>
        <v/>
      </c>
      <c r="V163" s="107" t="n">
        <f aca="false">IF(P163=16,N163*O163*Q163*1.578*1,IF(P163&gt;16,"",IF(P163&lt;16,"")))</f>
        <v>16.7997036</v>
      </c>
      <c r="W163" s="106" t="str">
        <f aca="false">IF(P163=20,N163*O163*Q163*2.466*1,IF(P163&gt;20,"",IF(P163&lt;20,"")))</f>
        <v/>
      </c>
      <c r="X163" s="106" t="str">
        <f aca="false">IF(P163=25,N163*O163*Q163*3.853*1,IF(P163&gt;25,"",IF(P163&lt;25,"")))</f>
        <v/>
      </c>
      <c r="Y163" s="108" t="str">
        <f aca="false">IF(P163=32,N163*O163*Q163*6.313*1,IF(P163&gt;32,"",IF(P163&lt;32,"")))</f>
        <v/>
      </c>
      <c r="Z163" s="109"/>
      <c r="AA163" s="110" t="str">
        <f aca="false">IF(AC163&gt;0,N163,"")</f>
        <v/>
      </c>
      <c r="AB163" s="111" t="str">
        <f aca="false">IF(AC163&gt;0,O163,"")</f>
        <v/>
      </c>
      <c r="AC163" s="112"/>
      <c r="AD163" s="112"/>
      <c r="AE163" s="113" t="str">
        <f aca="false">IF(AC163&gt;0,P163,"")</f>
        <v/>
      </c>
      <c r="AF163" s="114" t="str">
        <f aca="false">IF(AE163=6,AA163*AB163*AC163*AD163*(AE163/1000)*0.222*1,IF(AE163&gt;6,"",IF(AE163&lt;6,"")))</f>
        <v/>
      </c>
      <c r="AG163" s="107" t="str">
        <f aca="false">IF(AE163=8,AA163*AB163*AC163*AD163*(AE163/1000)*0.395*1,IF(AE163&gt;8,"",IF(AE163&lt;8,"")))</f>
        <v/>
      </c>
      <c r="AH163" s="107" t="str">
        <f aca="false">IF(AE163=10,AA163*AB163*AC163*AD163*(AE163/1000)*0.617*1,IF(AE163&gt;10,"",IF(AE163&lt;10,"")))</f>
        <v/>
      </c>
      <c r="AI163" s="107" t="str">
        <f aca="false">IF(AE163=12,AA163*AB163*AC163*AD163*(AE163/1000)*0.888*1,IF(AE163&gt;12,"",IF(AE163&lt;12,"")))</f>
        <v/>
      </c>
      <c r="AJ163" s="107" t="str">
        <f aca="false">IF(AE163=16,AA163*AB163*AC163*AD163*(AE163/1000)*1.578*1,IF(AE163&gt;16,"",IF(AE163&lt;16,"")))</f>
        <v/>
      </c>
      <c r="AK163" s="107" t="str">
        <f aca="false">IF(AE163=20,AA163*AB163*AC163*AD163*(AE163/1000)*2.466*1,IF(AE163&gt;20,"",IF(AE163&lt;20,"")))</f>
        <v/>
      </c>
      <c r="AL163" s="107" t="str">
        <f aca="false">IF(AE163=25,AA163*AB163*AC163*AD163*(AE163/1000)*3.853*1,IF(AE163&gt;25,"",IF(AE163&lt;25,"")))</f>
        <v/>
      </c>
      <c r="AM163" s="115" t="str">
        <f aca="false">IF(AE163=32,AA163*AB163*AC163*AD163*(AE163/1000)*6.313*1,IF(AE163&gt;32,"",IF(AE163&lt;32,"")))</f>
        <v/>
      </c>
      <c r="AN163" s="128"/>
      <c r="AO163" s="117" t="s">
        <v>178</v>
      </c>
      <c r="AP163" s="118" t="n">
        <f aca="false">SUM(R163:Y163)+SUM(AN163)</f>
        <v>16.7997036</v>
      </c>
      <c r="AQ163" s="118" t="n">
        <f aca="false">SUM(AF163:AM163)</f>
        <v>0</v>
      </c>
      <c r="AR163" s="118"/>
      <c r="AS163" s="119" t="s">
        <v>482</v>
      </c>
      <c r="AT163" s="119" t="s">
        <v>162</v>
      </c>
    </row>
    <row r="164" customFormat="false" ht="13.5" hidden="false" customHeight="false" outlineLevel="0" collapsed="false">
      <c r="A164" s="129"/>
      <c r="B164" s="172"/>
      <c r="C164" s="110"/>
      <c r="D164" s="122"/>
      <c r="E164" s="122"/>
      <c r="F164" s="173"/>
      <c r="G164" s="123"/>
      <c r="H164" s="101"/>
      <c r="I164" s="123"/>
      <c r="J164" s="101"/>
      <c r="K164" s="124" t="s">
        <v>550</v>
      </c>
      <c r="L164" s="125" t="n">
        <f aca="false">$E$161</f>
        <v>0.55</v>
      </c>
      <c r="M164" s="125" t="n">
        <v>0.1</v>
      </c>
      <c r="N164" s="126" t="n">
        <f aca="false">2*$C$161</f>
        <v>2</v>
      </c>
      <c r="O164" s="126" t="n">
        <f aca="false">CEILING(L164/M164,1)+1</f>
        <v>7</v>
      </c>
      <c r="P164" s="126" t="n">
        <v>8</v>
      </c>
      <c r="Q164" s="127" t="n">
        <f aca="false">2*($D$161-2*0.035)+2*(0.485-2*0.035)+20*8/1000</f>
        <v>1.33</v>
      </c>
      <c r="R164" s="105" t="str">
        <f aca="false">IF(P164=6,N164*O164*Q164*0.222*1,IF(P164&gt;6,"",IF(P164&lt;6,"")))</f>
        <v/>
      </c>
      <c r="S164" s="106" t="n">
        <f aca="false">IF(P164=8,N164*O164*Q164*0.395*1,IF(P164&gt;8,"",IF(P164&lt;8,"")))</f>
        <v>7.3549</v>
      </c>
      <c r="T164" s="106" t="str">
        <f aca="false">IF(P164=10,N164*O164*Q164*0.617*1,IF(P164&gt;10,"",IF(P164&lt;10,"")))</f>
        <v/>
      </c>
      <c r="U164" s="106" t="str">
        <f aca="false">IF(P164=12,N164*O164*Q164*0.888*1,IF(P164&gt;12,"",IF(P164&lt;12,"")))</f>
        <v/>
      </c>
      <c r="V164" s="107" t="str">
        <f aca="false">IF(P164=16,N164*O164*Q164*1.578*1,IF(P164&gt;16,"",IF(P164&lt;16,"")))</f>
        <v/>
      </c>
      <c r="W164" s="106" t="str">
        <f aca="false">IF(P164=20,N164*O164*Q164*2.466*1,IF(P164&gt;20,"",IF(P164&lt;20,"")))</f>
        <v/>
      </c>
      <c r="X164" s="106" t="str">
        <f aca="false">IF(P164=25,N164*O164*Q164*3.853*1,IF(P164&gt;25,"",IF(P164&lt;25,"")))</f>
        <v/>
      </c>
      <c r="Y164" s="108" t="str">
        <f aca="false">IF(P164=32,N164*O164*Q164*6.313*1,IF(P164&gt;32,"",IF(P164&lt;32,"")))</f>
        <v/>
      </c>
      <c r="Z164" s="109"/>
      <c r="AA164" s="110" t="str">
        <f aca="false">IF(AC164&gt;0,N164,"")</f>
        <v/>
      </c>
      <c r="AB164" s="111" t="str">
        <f aca="false">IF(AC164&gt;0,O164,"")</f>
        <v/>
      </c>
      <c r="AC164" s="112"/>
      <c r="AD164" s="112"/>
      <c r="AE164" s="113" t="str">
        <f aca="false">IF(AC164&gt;0,P164,"")</f>
        <v/>
      </c>
      <c r="AF164" s="114" t="str">
        <f aca="false">IF(AE164=6,AA164*AB164*AC164*AD164*(AE164/1000)*0.222*1,IF(AE164&gt;6,"",IF(AE164&lt;6,"")))</f>
        <v/>
      </c>
      <c r="AG164" s="107" t="str">
        <f aca="false">IF(AE164=8,AA164*AB164*AC164*AD164*(AE164/1000)*0.395*1,IF(AE164&gt;8,"",IF(AE164&lt;8,"")))</f>
        <v/>
      </c>
      <c r="AH164" s="107" t="str">
        <f aca="false">IF(AE164=10,AA164*AB164*AC164*AD164*(AE164/1000)*0.617*1,IF(AE164&gt;10,"",IF(AE164&lt;10,"")))</f>
        <v/>
      </c>
      <c r="AI164" s="107" t="str">
        <f aca="false">IF(AE164=12,AA164*AB164*AC164*AD164*(AE164/1000)*0.888*1,IF(AE164&gt;12,"",IF(AE164&lt;12,"")))</f>
        <v/>
      </c>
      <c r="AJ164" s="107" t="str">
        <f aca="false">IF(AE164=16,AA164*AB164*AC164*AD164*(AE164/1000)*1.578*1,IF(AE164&gt;16,"",IF(AE164&lt;16,"")))</f>
        <v/>
      </c>
      <c r="AK164" s="107" t="str">
        <f aca="false">IF(AE164=20,AA164*AB164*AC164*AD164*(AE164/1000)*2.466*1,IF(AE164&gt;20,"",IF(AE164&lt;20,"")))</f>
        <v/>
      </c>
      <c r="AL164" s="107" t="str">
        <f aca="false">IF(AE164=25,AA164*AB164*AC164*AD164*(AE164/1000)*3.853*1,IF(AE164&gt;25,"",IF(AE164&lt;25,"")))</f>
        <v/>
      </c>
      <c r="AM164" s="115" t="str">
        <f aca="false">IF(AE164=32,AA164*AB164*AC164*AD164*(AE164/1000)*6.313*1,IF(AE164&gt;32,"",IF(AE164&lt;32,"")))</f>
        <v/>
      </c>
      <c r="AN164" s="128"/>
      <c r="AO164" s="117" t="s">
        <v>178</v>
      </c>
      <c r="AP164" s="118" t="n">
        <f aca="false">SUM(R164:Y164)+SUM(AN164)</f>
        <v>7.3549</v>
      </c>
      <c r="AQ164" s="118" t="n">
        <f aca="false">SUM(AF164:AM164)</f>
        <v>0</v>
      </c>
      <c r="AR164" s="118"/>
      <c r="AS164" s="119" t="s">
        <v>551</v>
      </c>
      <c r="AT164" s="119" t="s">
        <v>162</v>
      </c>
    </row>
    <row r="165" customFormat="false" ht="13.5" hidden="false" customHeight="false" outlineLevel="0" collapsed="false">
      <c r="A165" s="129"/>
      <c r="B165" s="172"/>
      <c r="C165" s="110"/>
      <c r="D165" s="122"/>
      <c r="E165" s="122"/>
      <c r="F165" s="173"/>
      <c r="G165" s="123"/>
      <c r="H165" s="101"/>
      <c r="I165" s="123"/>
      <c r="J165" s="101"/>
      <c r="K165" s="124" t="s">
        <v>552</v>
      </c>
      <c r="L165" s="125" t="n">
        <f aca="false">$F$161-2*$E$161</f>
        <v>2.40227272727273</v>
      </c>
      <c r="M165" s="125" t="n">
        <v>0.15</v>
      </c>
      <c r="N165" s="126" t="n">
        <f aca="false">$C$161</f>
        <v>1</v>
      </c>
      <c r="O165" s="126" t="n">
        <f aca="false">CEILING(L165/M165,1)-1</f>
        <v>16</v>
      </c>
      <c r="P165" s="126" t="n">
        <v>8</v>
      </c>
      <c r="Q165" s="127" t="n">
        <f aca="false">2*($D$161-2*0.035)+2*(0.485-2*0.035)+20*8/1000</f>
        <v>1.33</v>
      </c>
      <c r="R165" s="105" t="str">
        <f aca="false">IF(P165=6,N165*O165*Q165*0.222*1,IF(P165&gt;6,"",IF(P165&lt;6,"")))</f>
        <v/>
      </c>
      <c r="S165" s="106" t="n">
        <f aca="false">IF(P165=8,N165*O165*Q165*0.395*1,IF(P165&gt;8,"",IF(P165&lt;8,"")))</f>
        <v>8.4056</v>
      </c>
      <c r="T165" s="106" t="str">
        <f aca="false">IF(P165=10,N165*O165*Q165*0.617*1,IF(P165&gt;10,"",IF(P165&lt;10,"")))</f>
        <v/>
      </c>
      <c r="U165" s="106" t="str">
        <f aca="false">IF(P165=12,N165*O165*Q165*0.888*1,IF(P165&gt;12,"",IF(P165&lt;12,"")))</f>
        <v/>
      </c>
      <c r="V165" s="107" t="str">
        <f aca="false">IF(P165=16,N165*O165*Q165*1.578*1,IF(P165&gt;16,"",IF(P165&lt;16,"")))</f>
        <v/>
      </c>
      <c r="W165" s="106" t="str">
        <f aca="false">IF(P165=20,N165*O165*Q165*2.466*1,IF(P165&gt;20,"",IF(P165&lt;20,"")))</f>
        <v/>
      </c>
      <c r="X165" s="106" t="str">
        <f aca="false">IF(P165=25,N165*O165*Q165*3.853*1,IF(P165&gt;25,"",IF(P165&lt;25,"")))</f>
        <v/>
      </c>
      <c r="Y165" s="108" t="str">
        <f aca="false">IF(P165=32,N165*O165*Q165*6.313*1,IF(P165&gt;32,"",IF(P165&lt;32,"")))</f>
        <v/>
      </c>
      <c r="Z165" s="109"/>
      <c r="AA165" s="110" t="str">
        <f aca="false">IF(AC165&gt;0,N165,"")</f>
        <v/>
      </c>
      <c r="AB165" s="111" t="str">
        <f aca="false">IF(AC165&gt;0,O165,"")</f>
        <v/>
      </c>
      <c r="AC165" s="112"/>
      <c r="AD165" s="112"/>
      <c r="AE165" s="113" t="str">
        <f aca="false">IF(AC165&gt;0,P165,"")</f>
        <v/>
      </c>
      <c r="AF165" s="114" t="str">
        <f aca="false">IF(AE165=6,AA165*AB165*AC165*AD165*(AE165/1000)*0.222*1,IF(AE165&gt;6,"",IF(AE165&lt;6,"")))</f>
        <v/>
      </c>
      <c r="AG165" s="107" t="str">
        <f aca="false">IF(AE165=8,AA165*AB165*AC165*AD165*(AE165/1000)*0.395*1,IF(AE165&gt;8,"",IF(AE165&lt;8,"")))</f>
        <v/>
      </c>
      <c r="AH165" s="107" t="str">
        <f aca="false">IF(AE165=10,AA165*AB165*AC165*AD165*(AE165/1000)*0.617*1,IF(AE165&gt;10,"",IF(AE165&lt;10,"")))</f>
        <v/>
      </c>
      <c r="AI165" s="107" t="str">
        <f aca="false">IF(AE165=12,AA165*AB165*AC165*AD165*(AE165/1000)*0.888*1,IF(AE165&gt;12,"",IF(AE165&lt;12,"")))</f>
        <v/>
      </c>
      <c r="AJ165" s="107" t="str">
        <f aca="false">IF(AE165=16,AA165*AB165*AC165*AD165*(AE165/1000)*1.578*1,IF(AE165&gt;16,"",IF(AE165&lt;16,"")))</f>
        <v/>
      </c>
      <c r="AK165" s="107" t="str">
        <f aca="false">IF(AE165=20,AA165*AB165*AC165*AD165*(AE165/1000)*2.466*1,IF(AE165&gt;20,"",IF(AE165&lt;20,"")))</f>
        <v/>
      </c>
      <c r="AL165" s="107" t="str">
        <f aca="false">IF(AE165=25,AA165*AB165*AC165*AD165*(AE165/1000)*3.853*1,IF(AE165&gt;25,"",IF(AE165&lt;25,"")))</f>
        <v/>
      </c>
      <c r="AM165" s="115" t="str">
        <f aca="false">IF(AE165=32,AA165*AB165*AC165*AD165*(AE165/1000)*6.313*1,IF(AE165&gt;32,"",IF(AE165&lt;32,"")))</f>
        <v/>
      </c>
      <c r="AN165" s="128"/>
      <c r="AO165" s="117" t="s">
        <v>178</v>
      </c>
      <c r="AP165" s="118" t="n">
        <f aca="false">SUM(R165:Y165)+SUM(AN165)</f>
        <v>8.4056</v>
      </c>
      <c r="AQ165" s="118" t="n">
        <f aca="false">SUM(AF165:AM165)</f>
        <v>0</v>
      </c>
      <c r="AR165" s="118"/>
      <c r="AS165" s="119"/>
      <c r="AT165" s="119" t="s">
        <v>162</v>
      </c>
    </row>
    <row r="166" customFormat="false" ht="13.5" hidden="false" customHeight="false" outlineLevel="0" collapsed="false">
      <c r="A166" s="129"/>
      <c r="B166" s="130"/>
      <c r="C166" s="110"/>
      <c r="D166" s="122"/>
      <c r="E166" s="122"/>
      <c r="F166" s="122"/>
      <c r="G166" s="123"/>
      <c r="H166" s="101"/>
      <c r="I166" s="123"/>
      <c r="J166" s="101"/>
      <c r="K166" s="124"/>
      <c r="L166" s="125"/>
      <c r="M166" s="125"/>
      <c r="N166" s="126"/>
      <c r="O166" s="126"/>
      <c r="P166" s="126"/>
      <c r="Q166" s="127"/>
      <c r="R166" s="105"/>
      <c r="S166" s="106"/>
      <c r="T166" s="106"/>
      <c r="U166" s="106"/>
      <c r="V166" s="107"/>
      <c r="W166" s="106"/>
      <c r="X166" s="106"/>
      <c r="Y166" s="108"/>
      <c r="Z166" s="109"/>
      <c r="AA166" s="110"/>
      <c r="AB166" s="111"/>
      <c r="AC166" s="112"/>
      <c r="AD166" s="112"/>
      <c r="AE166" s="113"/>
      <c r="AF166" s="114"/>
      <c r="AG166" s="107"/>
      <c r="AH166" s="107"/>
      <c r="AI166" s="107"/>
      <c r="AJ166" s="107"/>
      <c r="AK166" s="107"/>
      <c r="AL166" s="107"/>
      <c r="AM166" s="115"/>
      <c r="AO166" s="117"/>
      <c r="AP166" s="118"/>
      <c r="AQ166" s="118"/>
      <c r="AR166" s="118"/>
      <c r="AS166" s="119"/>
      <c r="AT166" s="119"/>
    </row>
    <row r="167" customFormat="false" ht="13.5" hidden="false" customHeight="false" outlineLevel="0" collapsed="false">
      <c r="A167" s="120"/>
      <c r="B167" s="121" t="s">
        <v>555</v>
      </c>
      <c r="C167" s="110" t="n">
        <v>1</v>
      </c>
      <c r="D167" s="122" t="n">
        <v>0.24</v>
      </c>
      <c r="E167" s="122" t="n">
        <v>0.67</v>
      </c>
      <c r="F167" s="122" t="n">
        <f aca="false">1.0595/(0.24*0.67)</f>
        <v>6.58893034825871</v>
      </c>
      <c r="G167" s="123" t="n">
        <f aca="false">C167*D167*E167*F167</f>
        <v>1.0595</v>
      </c>
      <c r="H167" s="101"/>
      <c r="I167" s="123" t="n">
        <f aca="false">C167*F167*(D167+(E167-0.34)+(E167))</f>
        <v>8.1702736318408</v>
      </c>
      <c r="J167" s="101"/>
      <c r="K167" s="124"/>
      <c r="L167" s="125"/>
      <c r="M167" s="125"/>
      <c r="N167" s="126"/>
      <c r="O167" s="126"/>
      <c r="P167" s="126"/>
      <c r="Q167" s="127"/>
      <c r="R167" s="105" t="str">
        <f aca="false">IF(P167=6,N167*O167*Q167*0.222*1,IF(P167&gt;6,"",IF(P167&lt;6,"")))</f>
        <v/>
      </c>
      <c r="S167" s="106" t="str">
        <f aca="false">IF(P167=8,N167*O167*Q167*0.395*1,IF(P167&gt;8,"",IF(P167&lt;8,"")))</f>
        <v/>
      </c>
      <c r="T167" s="106" t="str">
        <f aca="false">IF(P167=10,N167*O167*Q167*0.617*1,IF(P167&gt;10,"",IF(P167&lt;10,"")))</f>
        <v/>
      </c>
      <c r="U167" s="106" t="str">
        <f aca="false">IF(P167=12,N167*O167*Q167*0.888*1,IF(P167&gt;12,"",IF(P167&lt;12,"")))</f>
        <v/>
      </c>
      <c r="V167" s="107" t="str">
        <f aca="false">IF(P167=16,N167*O167*Q167*1.578*1,IF(P167&gt;16,"",IF(P167&lt;16,"")))</f>
        <v/>
      </c>
      <c r="W167" s="106" t="str">
        <f aca="false">IF(P167=20,N167*O167*Q167*2.466*1,IF(P167&gt;20,"",IF(P167&lt;20,"")))</f>
        <v/>
      </c>
      <c r="X167" s="106" t="str">
        <f aca="false">IF(P167=25,N167*O167*Q167*3.853*1,IF(P167&gt;25,"",IF(P167&lt;25,"")))</f>
        <v/>
      </c>
      <c r="Y167" s="108" t="str">
        <f aca="false">IF(P167=32,N167*O167*Q167*6.313*1,IF(P167&gt;32,"",IF(P167&lt;32,"")))</f>
        <v/>
      </c>
      <c r="Z167" s="109"/>
      <c r="AA167" s="110" t="str">
        <f aca="false">IF(AC167&gt;0,N167,"")</f>
        <v/>
      </c>
      <c r="AB167" s="111" t="str">
        <f aca="false">IF(AC167&gt;0,O167,"")</f>
        <v/>
      </c>
      <c r="AC167" s="112"/>
      <c r="AD167" s="112"/>
      <c r="AE167" s="113" t="str">
        <f aca="false">IF(AC167&gt;0,P167,"")</f>
        <v/>
      </c>
      <c r="AF167" s="114" t="str">
        <f aca="false">IF(AE167=6,AA167*AB167*AC167*AD167*(AE167/1000)*0.222*1,IF(AE167&gt;6,"",IF(AE167&lt;6,"")))</f>
        <v/>
      </c>
      <c r="AG167" s="107" t="str">
        <f aca="false">IF(AE167=8,AA167*AB167*AC167*AD167*(AE167/1000)*0.395*1,IF(AE167&gt;8,"",IF(AE167&lt;8,"")))</f>
        <v/>
      </c>
      <c r="AH167" s="107" t="str">
        <f aca="false">IF(AE167=10,AA167*AB167*AC167*AD167*(AE167/1000)*0.617*1,IF(AE167&gt;10,"",IF(AE167&lt;10,"")))</f>
        <v/>
      </c>
      <c r="AI167" s="107" t="str">
        <f aca="false">IF(AE167=12,AA167*AB167*AC167*AD167*(AE167/1000)*0.888*1,IF(AE167&gt;12,"",IF(AE167&lt;12,"")))</f>
        <v/>
      </c>
      <c r="AJ167" s="107" t="str">
        <f aca="false">IF(AE167=16,AA167*AB167*AC167*AD167*(AE167/1000)*1.578*1,IF(AE167&gt;16,"",IF(AE167&lt;16,"")))</f>
        <v/>
      </c>
      <c r="AK167" s="107" t="str">
        <f aca="false">IF(AE167=20,AA167*AB167*AC167*AD167*(AE167/1000)*2.466*1,IF(AE167&gt;20,"",IF(AE167&lt;20,"")))</f>
        <v/>
      </c>
      <c r="AL167" s="107" t="str">
        <f aca="false">IF(AE167=25,AA167*AB167*AC167*AD167*(AE167/1000)*3.853*1,IF(AE167&gt;25,"",IF(AE167&lt;25,"")))</f>
        <v/>
      </c>
      <c r="AM167" s="115" t="str">
        <f aca="false">IF(AE167=32,AA167*AB167*AC167*AD167*(AE167/1000)*6.313*1,IF(AE167&gt;32,"",IF(AE167&lt;32,"")))</f>
        <v/>
      </c>
      <c r="AN167" s="128"/>
      <c r="AO167" s="117" t="s">
        <v>178</v>
      </c>
      <c r="AP167" s="118" t="n">
        <f aca="false">SUM(R167:Y167)+SUM(AN167)</f>
        <v>0</v>
      </c>
      <c r="AQ167" s="118" t="n">
        <f aca="false">SUM(AF167:AM167)</f>
        <v>0</v>
      </c>
      <c r="AR167" s="118" t="n">
        <v>1.0595</v>
      </c>
      <c r="AS167" s="119" t="s">
        <v>556</v>
      </c>
      <c r="AT167" s="119" t="s">
        <v>209</v>
      </c>
    </row>
    <row r="168" customFormat="false" ht="13.5" hidden="false" customHeight="false" outlineLevel="0" collapsed="false">
      <c r="A168" s="129"/>
      <c r="B168" s="172"/>
      <c r="C168" s="110"/>
      <c r="D168" s="122"/>
      <c r="E168" s="122"/>
      <c r="F168" s="173"/>
      <c r="G168" s="123"/>
      <c r="H168" s="101"/>
      <c r="I168" s="123"/>
      <c r="J168" s="101"/>
      <c r="K168" s="124" t="s">
        <v>483</v>
      </c>
      <c r="L168" s="125"/>
      <c r="M168" s="125"/>
      <c r="N168" s="126" t="n">
        <f aca="false">$C$167</f>
        <v>1</v>
      </c>
      <c r="O168" s="126" t="n">
        <v>2</v>
      </c>
      <c r="P168" s="126" t="n">
        <v>20</v>
      </c>
      <c r="Q168" s="127" t="n">
        <f aca="false">7.0887+2*50*20/1000</f>
        <v>9.0887</v>
      </c>
      <c r="R168" s="105" t="str">
        <f aca="false">IF(P168=6,N168*O168*Q168*0.222*1,IF(P168&gt;6,"",IF(P168&lt;6,"")))</f>
        <v/>
      </c>
      <c r="S168" s="106" t="str">
        <f aca="false">IF(P168=8,N168*O168*Q168*0.395*1,IF(P168&gt;8,"",IF(P168&lt;8,"")))</f>
        <v/>
      </c>
      <c r="T168" s="106" t="str">
        <f aca="false">IF(P168=10,N168*O168*Q168*0.617*1,IF(P168&gt;10,"",IF(P168&lt;10,"")))</f>
        <v/>
      </c>
      <c r="U168" s="106" t="str">
        <f aca="false">IF(P168=12,N168*O168*Q168*0.888*1,IF(P168&gt;12,"",IF(P168&lt;12,"")))</f>
        <v/>
      </c>
      <c r="V168" s="107" t="str">
        <f aca="false">IF(P168=16,N168*O168*Q168*1.578*1,IF(P168&gt;16,"",IF(P168&lt;16,"")))</f>
        <v/>
      </c>
      <c r="W168" s="106" t="n">
        <f aca="false">IF(P168=20,N168*O168*Q168*2.466*1,IF(P168&gt;20,"",IF(P168&lt;20,"")))</f>
        <v>44.8254684</v>
      </c>
      <c r="X168" s="106" t="str">
        <f aca="false">IF(P168=25,N168*O168*Q168*3.853*1,IF(P168&gt;25,"",IF(P168&lt;25,"")))</f>
        <v/>
      </c>
      <c r="Y168" s="108" t="str">
        <f aca="false">IF(P168=32,N168*O168*Q168*6.313*1,IF(P168&gt;32,"",IF(P168&lt;32,"")))</f>
        <v/>
      </c>
      <c r="Z168" s="109"/>
      <c r="AA168" s="110" t="str">
        <f aca="false">IF(AC168&gt;0,N168,"")</f>
        <v/>
      </c>
      <c r="AB168" s="111" t="str">
        <f aca="false">IF(AC168&gt;0,O168,"")</f>
        <v/>
      </c>
      <c r="AC168" s="112"/>
      <c r="AD168" s="112"/>
      <c r="AE168" s="113" t="str">
        <f aca="false">IF(AC168&gt;0,P168,"")</f>
        <v/>
      </c>
      <c r="AF168" s="114" t="str">
        <f aca="false">IF(AE168=6,AA168*AB168*AC168*AD168*(AE168/1000)*0.222*1,IF(AE168&gt;6,"",IF(AE168&lt;6,"")))</f>
        <v/>
      </c>
      <c r="AG168" s="107" t="str">
        <f aca="false">IF(AE168=8,AA168*AB168*AC168*AD168*(AE168/1000)*0.395*1,IF(AE168&gt;8,"",IF(AE168&lt;8,"")))</f>
        <v/>
      </c>
      <c r="AH168" s="107" t="str">
        <f aca="false">IF(AE168=10,AA168*AB168*AC168*AD168*(AE168/1000)*0.617*1,IF(AE168&gt;10,"",IF(AE168&lt;10,"")))</f>
        <v/>
      </c>
      <c r="AI168" s="107" t="str">
        <f aca="false">IF(AE168=12,AA168*AB168*AC168*AD168*(AE168/1000)*0.888*1,IF(AE168&gt;12,"",IF(AE168&lt;12,"")))</f>
        <v/>
      </c>
      <c r="AJ168" s="107" t="str">
        <f aca="false">IF(AE168=16,AA168*AB168*AC168*AD168*(AE168/1000)*1.578*1,IF(AE168&gt;16,"",IF(AE168&lt;16,"")))</f>
        <v/>
      </c>
      <c r="AK168" s="107" t="str">
        <f aca="false">IF(AE168=20,AA168*AB168*AC168*AD168*(AE168/1000)*2.466*1,IF(AE168&gt;20,"",IF(AE168&lt;20,"")))</f>
        <v/>
      </c>
      <c r="AL168" s="107" t="str">
        <f aca="false">IF(AE168=25,AA168*AB168*AC168*AD168*(AE168/1000)*3.853*1,IF(AE168&gt;25,"",IF(AE168&lt;25,"")))</f>
        <v/>
      </c>
      <c r="AM168" s="115" t="str">
        <f aca="false">IF(AE168=32,AA168*AB168*AC168*AD168*(AE168/1000)*6.313*1,IF(AE168&gt;32,"",IF(AE168&lt;32,"")))</f>
        <v/>
      </c>
      <c r="AN168" s="128"/>
      <c r="AO168" s="117" t="s">
        <v>178</v>
      </c>
      <c r="AP168" s="118" t="n">
        <f aca="false">SUM(R168:Y168)+SUM(AN168)</f>
        <v>44.8254684</v>
      </c>
      <c r="AQ168" s="118" t="n">
        <f aca="false">SUM(AF168:AM168)</f>
        <v>0</v>
      </c>
      <c r="AR168" s="118"/>
      <c r="AS168" s="119" t="s">
        <v>482</v>
      </c>
      <c r="AT168" s="119" t="s">
        <v>162</v>
      </c>
    </row>
    <row r="169" s="55" customFormat="true" ht="13.5" hidden="false" customHeight="false" outlineLevel="0" collapsed="false">
      <c r="A169" s="129"/>
      <c r="B169" s="172"/>
      <c r="C169" s="110"/>
      <c r="D169" s="122"/>
      <c r="E169" s="122"/>
      <c r="F169" s="173"/>
      <c r="G169" s="123"/>
      <c r="H169" s="101"/>
      <c r="I169" s="123"/>
      <c r="J169" s="101"/>
      <c r="K169" s="124" t="s">
        <v>485</v>
      </c>
      <c r="L169" s="125"/>
      <c r="M169" s="125"/>
      <c r="N169" s="126" t="n">
        <f aca="false">$C$167</f>
        <v>1</v>
      </c>
      <c r="O169" s="126" t="n">
        <v>2</v>
      </c>
      <c r="P169" s="126" t="n">
        <v>20</v>
      </c>
      <c r="Q169" s="127" t="n">
        <f aca="false">7.0887+2*50*20/1000</f>
        <v>9.0887</v>
      </c>
      <c r="R169" s="105" t="str">
        <f aca="false">IF(P169=6,N169*O169*Q169*0.222*1,IF(P169&gt;6,"",IF(P169&lt;6,"")))</f>
        <v/>
      </c>
      <c r="S169" s="106" t="str">
        <f aca="false">IF(P169=8,N169*O169*Q169*0.395*1,IF(P169&gt;8,"",IF(P169&lt;8,"")))</f>
        <v/>
      </c>
      <c r="T169" s="106" t="str">
        <f aca="false">IF(P169=10,N169*O169*Q169*0.617*1,IF(P169&gt;10,"",IF(P169&lt;10,"")))</f>
        <v/>
      </c>
      <c r="U169" s="106" t="str">
        <f aca="false">IF(P169=12,N169*O169*Q169*0.888*1,IF(P169&gt;12,"",IF(P169&lt;12,"")))</f>
        <v/>
      </c>
      <c r="V169" s="107" t="str">
        <f aca="false">IF(P169=16,N169*O169*Q169*1.578*1,IF(P169&gt;16,"",IF(P169&lt;16,"")))</f>
        <v/>
      </c>
      <c r="W169" s="106" t="n">
        <f aca="false">IF(P169=20,N169*O169*Q169*2.466*1,IF(P169&gt;20,"",IF(P169&lt;20,"")))</f>
        <v>44.8254684</v>
      </c>
      <c r="X169" s="106" t="str">
        <f aca="false">IF(P169=25,N169*O169*Q169*3.853*1,IF(P169&gt;25,"",IF(P169&lt;25,"")))</f>
        <v/>
      </c>
      <c r="Y169" s="108" t="str">
        <f aca="false">IF(P169=32,N169*O169*Q169*6.313*1,IF(P169&gt;32,"",IF(P169&lt;32,"")))</f>
        <v/>
      </c>
      <c r="Z169" s="109"/>
      <c r="AA169" s="110" t="str">
        <f aca="false">IF(AC169&gt;0,N169,"")</f>
        <v/>
      </c>
      <c r="AB169" s="111" t="str">
        <f aca="false">IF(AC169&gt;0,O169,"")</f>
        <v/>
      </c>
      <c r="AC169" s="112"/>
      <c r="AD169" s="112"/>
      <c r="AE169" s="113" t="str">
        <f aca="false">IF(AC169&gt;0,P169,"")</f>
        <v/>
      </c>
      <c r="AF169" s="114" t="str">
        <f aca="false">IF(AE169=6,AA169*AB169*AC169*AD169*(AE169/1000)*0.222*1,IF(AE169&gt;6,"",IF(AE169&lt;6,"")))</f>
        <v/>
      </c>
      <c r="AG169" s="107" t="str">
        <f aca="false">IF(AE169=8,AA169*AB169*AC169*AD169*(AE169/1000)*0.395*1,IF(AE169&gt;8,"",IF(AE169&lt;8,"")))</f>
        <v/>
      </c>
      <c r="AH169" s="107" t="str">
        <f aca="false">IF(AE169=10,AA169*AB169*AC169*AD169*(AE169/1000)*0.617*1,IF(AE169&gt;10,"",IF(AE169&lt;10,"")))</f>
        <v/>
      </c>
      <c r="AI169" s="107" t="str">
        <f aca="false">IF(AE169=12,AA169*AB169*AC169*AD169*(AE169/1000)*0.888*1,IF(AE169&gt;12,"",IF(AE169&lt;12,"")))</f>
        <v/>
      </c>
      <c r="AJ169" s="107" t="str">
        <f aca="false">IF(AE169=16,AA169*AB169*AC169*AD169*(AE169/1000)*1.578*1,IF(AE169&gt;16,"",IF(AE169&lt;16,"")))</f>
        <v/>
      </c>
      <c r="AK169" s="107" t="str">
        <f aca="false">IF(AE169=20,AA169*AB169*AC169*AD169*(AE169/1000)*2.466*1,IF(AE169&gt;20,"",IF(AE169&lt;20,"")))</f>
        <v/>
      </c>
      <c r="AL169" s="107" t="str">
        <f aca="false">IF(AE169=25,AA169*AB169*AC169*AD169*(AE169/1000)*3.853*1,IF(AE169&gt;25,"",IF(AE169&lt;25,"")))</f>
        <v/>
      </c>
      <c r="AM169" s="115" t="str">
        <f aca="false">IF(AE169=32,AA169*AB169*AC169*AD169*(AE169/1000)*6.313*1,IF(AE169&gt;32,"",IF(AE169&lt;32,"")))</f>
        <v/>
      </c>
      <c r="AN169" s="128"/>
      <c r="AO169" s="117" t="s">
        <v>178</v>
      </c>
      <c r="AP169" s="118" t="n">
        <f aca="false">SUM(R169:Y169)+SUM(AN169)</f>
        <v>44.8254684</v>
      </c>
      <c r="AQ169" s="118" t="n">
        <f aca="false">SUM(AF169:AM169)</f>
        <v>0</v>
      </c>
      <c r="AR169" s="118"/>
      <c r="AS169" s="119" t="s">
        <v>482</v>
      </c>
      <c r="AT169" s="119" t="s">
        <v>162</v>
      </c>
    </row>
    <row r="170" s="55" customFormat="true" ht="13.5" hidden="false" customHeight="false" outlineLevel="0" collapsed="false">
      <c r="A170" s="129"/>
      <c r="B170" s="172"/>
      <c r="C170" s="110"/>
      <c r="D170" s="122"/>
      <c r="E170" s="122"/>
      <c r="F170" s="173"/>
      <c r="G170" s="123"/>
      <c r="H170" s="101"/>
      <c r="I170" s="123"/>
      <c r="J170" s="101"/>
      <c r="K170" s="124" t="s">
        <v>550</v>
      </c>
      <c r="L170" s="125" t="n">
        <f aca="false">$E$167</f>
        <v>0.67</v>
      </c>
      <c r="M170" s="125" t="n">
        <v>0.1</v>
      </c>
      <c r="N170" s="126" t="n">
        <f aca="false">2*$C$167</f>
        <v>2</v>
      </c>
      <c r="O170" s="126" t="n">
        <f aca="false">CEILING(L170/M170,1)+1</f>
        <v>8</v>
      </c>
      <c r="P170" s="126" t="n">
        <v>8</v>
      </c>
      <c r="Q170" s="127" t="n">
        <f aca="false">2*($D$167-2*0.035)+2*($E$167-2*0.035)+20*8/1000</f>
        <v>1.7</v>
      </c>
      <c r="R170" s="105" t="str">
        <f aca="false">IF(P170=6,N170*O170*Q170*0.222*1,IF(P170&gt;6,"",IF(P170&lt;6,"")))</f>
        <v/>
      </c>
      <c r="S170" s="106" t="n">
        <f aca="false">IF(P170=8,N170*O170*Q170*0.395*1,IF(P170&gt;8,"",IF(P170&lt;8,"")))</f>
        <v>10.744</v>
      </c>
      <c r="T170" s="106" t="str">
        <f aca="false">IF(P170=10,N170*O170*Q170*0.617*1,IF(P170&gt;10,"",IF(P170&lt;10,"")))</f>
        <v/>
      </c>
      <c r="U170" s="106" t="str">
        <f aca="false">IF(P170=12,N170*O170*Q170*0.888*1,IF(P170&gt;12,"",IF(P170&lt;12,"")))</f>
        <v/>
      </c>
      <c r="V170" s="107" t="str">
        <f aca="false">IF(P170=16,N170*O170*Q170*1.578*1,IF(P170&gt;16,"",IF(P170&lt;16,"")))</f>
        <v/>
      </c>
      <c r="W170" s="106" t="str">
        <f aca="false">IF(P170=20,N170*O170*Q170*2.466*1,IF(P170&gt;20,"",IF(P170&lt;20,"")))</f>
        <v/>
      </c>
      <c r="X170" s="106" t="str">
        <f aca="false">IF(P170=25,N170*O170*Q170*3.853*1,IF(P170&gt;25,"",IF(P170&lt;25,"")))</f>
        <v/>
      </c>
      <c r="Y170" s="108" t="str">
        <f aca="false">IF(P170=32,N170*O170*Q170*6.313*1,IF(P170&gt;32,"",IF(P170&lt;32,"")))</f>
        <v/>
      </c>
      <c r="Z170" s="109"/>
      <c r="AA170" s="110" t="str">
        <f aca="false">IF(AC170&gt;0,N170,"")</f>
        <v/>
      </c>
      <c r="AB170" s="111" t="str">
        <f aca="false">IF(AC170&gt;0,O170,"")</f>
        <v/>
      </c>
      <c r="AC170" s="112"/>
      <c r="AD170" s="112"/>
      <c r="AE170" s="113" t="str">
        <f aca="false">IF(AC170&gt;0,P170,"")</f>
        <v/>
      </c>
      <c r="AF170" s="114" t="str">
        <f aca="false">IF(AE170=6,AA170*AB170*AC170*AD170*(AE170/1000)*0.222*1,IF(AE170&gt;6,"",IF(AE170&lt;6,"")))</f>
        <v/>
      </c>
      <c r="AG170" s="107" t="str">
        <f aca="false">IF(AE170=8,AA170*AB170*AC170*AD170*(AE170/1000)*0.395*1,IF(AE170&gt;8,"",IF(AE170&lt;8,"")))</f>
        <v/>
      </c>
      <c r="AH170" s="107" t="str">
        <f aca="false">IF(AE170=10,AA170*AB170*AC170*AD170*(AE170/1000)*0.617*1,IF(AE170&gt;10,"",IF(AE170&lt;10,"")))</f>
        <v/>
      </c>
      <c r="AI170" s="107" t="str">
        <f aca="false">IF(AE170=12,AA170*AB170*AC170*AD170*(AE170/1000)*0.888*1,IF(AE170&gt;12,"",IF(AE170&lt;12,"")))</f>
        <v/>
      </c>
      <c r="AJ170" s="107" t="str">
        <f aca="false">IF(AE170=16,AA170*AB170*AC170*AD170*(AE170/1000)*1.578*1,IF(AE170&gt;16,"",IF(AE170&lt;16,"")))</f>
        <v/>
      </c>
      <c r="AK170" s="107" t="str">
        <f aca="false">IF(AE170=20,AA170*AB170*AC170*AD170*(AE170/1000)*2.466*1,IF(AE170&gt;20,"",IF(AE170&lt;20,"")))</f>
        <v/>
      </c>
      <c r="AL170" s="107" t="str">
        <f aca="false">IF(AE170=25,AA170*AB170*AC170*AD170*(AE170/1000)*3.853*1,IF(AE170&gt;25,"",IF(AE170&lt;25,"")))</f>
        <v/>
      </c>
      <c r="AM170" s="115" t="str">
        <f aca="false">IF(AE170=32,AA170*AB170*AC170*AD170*(AE170/1000)*6.313*1,IF(AE170&gt;32,"",IF(AE170&lt;32,"")))</f>
        <v/>
      </c>
      <c r="AN170" s="128"/>
      <c r="AO170" s="117" t="s">
        <v>178</v>
      </c>
      <c r="AP170" s="118" t="n">
        <f aca="false">SUM(R170:Y170)+SUM(AN170)</f>
        <v>10.744</v>
      </c>
      <c r="AQ170" s="118" t="n">
        <f aca="false">SUM(AF170:AM170)</f>
        <v>0</v>
      </c>
      <c r="AR170" s="118"/>
      <c r="AS170" s="119" t="s">
        <v>551</v>
      </c>
      <c r="AT170" s="119" t="s">
        <v>162</v>
      </c>
    </row>
    <row r="171" s="55" customFormat="true" ht="13.5" hidden="false" customHeight="false" outlineLevel="0" collapsed="false">
      <c r="A171" s="129"/>
      <c r="B171" s="172"/>
      <c r="C171" s="110"/>
      <c r="D171" s="122"/>
      <c r="E171" s="122"/>
      <c r="F171" s="173"/>
      <c r="G171" s="123"/>
      <c r="H171" s="101"/>
      <c r="I171" s="123"/>
      <c r="J171" s="101"/>
      <c r="K171" s="124" t="s">
        <v>552</v>
      </c>
      <c r="L171" s="125" t="n">
        <f aca="false">$F$167-2*$E$167</f>
        <v>5.24893034825871</v>
      </c>
      <c r="M171" s="125" t="n">
        <v>0.15</v>
      </c>
      <c r="N171" s="126" t="n">
        <f aca="false">$C$167</f>
        <v>1</v>
      </c>
      <c r="O171" s="126" t="n">
        <f aca="false">CEILING(L171/M171,1)-1</f>
        <v>34</v>
      </c>
      <c r="P171" s="126" t="n">
        <v>8</v>
      </c>
      <c r="Q171" s="127" t="n">
        <f aca="false">2*($D$167-2*0.035)+2*($E$167-2*0.035)+20*8/1000</f>
        <v>1.7</v>
      </c>
      <c r="R171" s="105" t="str">
        <f aca="false">IF(P171=6,N171*O171*Q171*0.222*1,IF(P171&gt;6,"",IF(P171&lt;6,"")))</f>
        <v/>
      </c>
      <c r="S171" s="106" t="n">
        <f aca="false">IF(P171=8,N171*O171*Q171*0.395*1,IF(P171&gt;8,"",IF(P171&lt;8,"")))</f>
        <v>22.831</v>
      </c>
      <c r="T171" s="106" t="str">
        <f aca="false">IF(P171=10,N171*O171*Q171*0.617*1,IF(P171&gt;10,"",IF(P171&lt;10,"")))</f>
        <v/>
      </c>
      <c r="U171" s="106" t="str">
        <f aca="false">IF(P171=12,N171*O171*Q171*0.888*1,IF(P171&gt;12,"",IF(P171&lt;12,"")))</f>
        <v/>
      </c>
      <c r="V171" s="107" t="str">
        <f aca="false">IF(P171=16,N171*O171*Q171*1.578*1,IF(P171&gt;16,"",IF(P171&lt;16,"")))</f>
        <v/>
      </c>
      <c r="W171" s="106" t="str">
        <f aca="false">IF(P171=20,N171*O171*Q171*2.466*1,IF(P171&gt;20,"",IF(P171&lt;20,"")))</f>
        <v/>
      </c>
      <c r="X171" s="106" t="str">
        <f aca="false">IF(P171=25,N171*O171*Q171*3.853*1,IF(P171&gt;25,"",IF(P171&lt;25,"")))</f>
        <v/>
      </c>
      <c r="Y171" s="108" t="str">
        <f aca="false">IF(P171=32,N171*O171*Q171*6.313*1,IF(P171&gt;32,"",IF(P171&lt;32,"")))</f>
        <v/>
      </c>
      <c r="Z171" s="109"/>
      <c r="AA171" s="110" t="str">
        <f aca="false">IF(AC171&gt;0,N171,"")</f>
        <v/>
      </c>
      <c r="AB171" s="111" t="str">
        <f aca="false">IF(AC171&gt;0,O171,"")</f>
        <v/>
      </c>
      <c r="AC171" s="112"/>
      <c r="AD171" s="112"/>
      <c r="AE171" s="113" t="str">
        <f aca="false">IF(AC171&gt;0,P171,"")</f>
        <v/>
      </c>
      <c r="AF171" s="114" t="str">
        <f aca="false">IF(AE171=6,AA171*AB171*AC171*AD171*(AE171/1000)*0.222*1,IF(AE171&gt;6,"",IF(AE171&lt;6,"")))</f>
        <v/>
      </c>
      <c r="AG171" s="107" t="str">
        <f aca="false">IF(AE171=8,AA171*AB171*AC171*AD171*(AE171/1000)*0.395*1,IF(AE171&gt;8,"",IF(AE171&lt;8,"")))</f>
        <v/>
      </c>
      <c r="AH171" s="107" t="str">
        <f aca="false">IF(AE171=10,AA171*AB171*AC171*AD171*(AE171/1000)*0.617*1,IF(AE171&gt;10,"",IF(AE171&lt;10,"")))</f>
        <v/>
      </c>
      <c r="AI171" s="107" t="str">
        <f aca="false">IF(AE171=12,AA171*AB171*AC171*AD171*(AE171/1000)*0.888*1,IF(AE171&gt;12,"",IF(AE171&lt;12,"")))</f>
        <v/>
      </c>
      <c r="AJ171" s="107" t="str">
        <f aca="false">IF(AE171=16,AA171*AB171*AC171*AD171*(AE171/1000)*1.578*1,IF(AE171&gt;16,"",IF(AE171&lt;16,"")))</f>
        <v/>
      </c>
      <c r="AK171" s="107" t="str">
        <f aca="false">IF(AE171=20,AA171*AB171*AC171*AD171*(AE171/1000)*2.466*1,IF(AE171&gt;20,"",IF(AE171&lt;20,"")))</f>
        <v/>
      </c>
      <c r="AL171" s="107" t="str">
        <f aca="false">IF(AE171=25,AA171*AB171*AC171*AD171*(AE171/1000)*3.853*1,IF(AE171&gt;25,"",IF(AE171&lt;25,"")))</f>
        <v/>
      </c>
      <c r="AM171" s="115" t="str">
        <f aca="false">IF(AE171=32,AA171*AB171*AC171*AD171*(AE171/1000)*6.313*1,IF(AE171&gt;32,"",IF(AE171&lt;32,"")))</f>
        <v/>
      </c>
      <c r="AN171" s="128"/>
      <c r="AO171" s="117" t="s">
        <v>178</v>
      </c>
      <c r="AP171" s="118" t="n">
        <f aca="false">SUM(R171:Y171)+SUM(AN171)</f>
        <v>22.831</v>
      </c>
      <c r="AQ171" s="118" t="n">
        <f aca="false">SUM(AF171:AM171)</f>
        <v>0</v>
      </c>
      <c r="AR171" s="118"/>
      <c r="AS171" s="119"/>
      <c r="AT171" s="119" t="s">
        <v>162</v>
      </c>
    </row>
    <row r="172" customFormat="false" ht="13.5" hidden="false" customHeight="false" outlineLevel="0" collapsed="false">
      <c r="A172" s="129"/>
      <c r="B172" s="130"/>
      <c r="C172" s="110"/>
      <c r="D172" s="122"/>
      <c r="E172" s="122"/>
      <c r="F172" s="122"/>
      <c r="G172" s="123"/>
      <c r="H172" s="101"/>
      <c r="I172" s="123"/>
      <c r="J172" s="101"/>
      <c r="K172" s="124"/>
      <c r="L172" s="125"/>
      <c r="M172" s="125"/>
      <c r="N172" s="126"/>
      <c r="O172" s="126"/>
      <c r="P172" s="126"/>
      <c r="Q172" s="127"/>
      <c r="R172" s="105"/>
      <c r="S172" s="106"/>
      <c r="T172" s="106"/>
      <c r="U172" s="106"/>
      <c r="V172" s="107"/>
      <c r="W172" s="106"/>
      <c r="X172" s="106"/>
      <c r="Y172" s="108"/>
      <c r="Z172" s="109"/>
      <c r="AA172" s="110"/>
      <c r="AB172" s="111"/>
      <c r="AC172" s="112"/>
      <c r="AD172" s="112"/>
      <c r="AE172" s="113"/>
      <c r="AF172" s="114"/>
      <c r="AG172" s="107"/>
      <c r="AH172" s="107"/>
      <c r="AI172" s="107"/>
      <c r="AJ172" s="107"/>
      <c r="AK172" s="107"/>
      <c r="AL172" s="107"/>
      <c r="AM172" s="115"/>
      <c r="AO172" s="117"/>
      <c r="AP172" s="118"/>
      <c r="AQ172" s="118"/>
      <c r="AR172" s="118"/>
      <c r="AS172" s="119"/>
      <c r="AT172" s="119"/>
    </row>
    <row r="173" customFormat="false" ht="13.5" hidden="false" customHeight="false" outlineLevel="0" collapsed="false">
      <c r="A173" s="120"/>
      <c r="B173" s="121" t="s">
        <v>557</v>
      </c>
      <c r="C173" s="110" t="n">
        <v>1</v>
      </c>
      <c r="D173" s="122" t="n">
        <v>0.24</v>
      </c>
      <c r="E173" s="122" t="n">
        <v>0.67</v>
      </c>
      <c r="F173" s="122" t="n">
        <f aca="false">1.1399/(0.24*0.67)</f>
        <v>7.08893034825871</v>
      </c>
      <c r="G173" s="123" t="n">
        <f aca="false">C173*D173*E173*F173</f>
        <v>1.1399</v>
      </c>
      <c r="H173" s="101"/>
      <c r="I173" s="123" t="n">
        <f aca="false">C173*F173*(D173+(E173-0.34)+(E173-0.34))</f>
        <v>6.38003731343284</v>
      </c>
      <c r="J173" s="101"/>
      <c r="K173" s="124"/>
      <c r="L173" s="125"/>
      <c r="M173" s="125"/>
      <c r="N173" s="126"/>
      <c r="O173" s="126"/>
      <c r="P173" s="126"/>
      <c r="Q173" s="127"/>
      <c r="R173" s="105" t="str">
        <f aca="false">IF(P173=6,N173*O173*Q173*0.222*1,IF(P173&gt;6,"",IF(P173&lt;6,"")))</f>
        <v/>
      </c>
      <c r="S173" s="106" t="str">
        <f aca="false">IF(P173=8,N173*O173*Q173*0.395*1,IF(P173&gt;8,"",IF(P173&lt;8,"")))</f>
        <v/>
      </c>
      <c r="T173" s="106" t="str">
        <f aca="false">IF(P173=10,N173*O173*Q173*0.617*1,IF(P173&gt;10,"",IF(P173&lt;10,"")))</f>
        <v/>
      </c>
      <c r="U173" s="106" t="str">
        <f aca="false">IF(P173=12,N173*O173*Q173*0.888*1,IF(P173&gt;12,"",IF(P173&lt;12,"")))</f>
        <v/>
      </c>
      <c r="V173" s="107" t="str">
        <f aca="false">IF(P173=16,N173*O173*Q173*1.578*1,IF(P173&gt;16,"",IF(P173&lt;16,"")))</f>
        <v/>
      </c>
      <c r="W173" s="106" t="str">
        <f aca="false">IF(P173=20,N173*O173*Q173*2.466*1,IF(P173&gt;20,"",IF(P173&lt;20,"")))</f>
        <v/>
      </c>
      <c r="X173" s="106" t="str">
        <f aca="false">IF(P173=25,N173*O173*Q173*3.853*1,IF(P173&gt;25,"",IF(P173&lt;25,"")))</f>
        <v/>
      </c>
      <c r="Y173" s="108" t="str">
        <f aca="false">IF(P173=32,N173*O173*Q173*6.313*1,IF(P173&gt;32,"",IF(P173&lt;32,"")))</f>
        <v/>
      </c>
      <c r="Z173" s="109"/>
      <c r="AA173" s="110" t="str">
        <f aca="false">IF(AC173&gt;0,N173,"")</f>
        <v/>
      </c>
      <c r="AB173" s="111" t="str">
        <f aca="false">IF(AC173&gt;0,O173,"")</f>
        <v/>
      </c>
      <c r="AC173" s="112"/>
      <c r="AD173" s="112"/>
      <c r="AE173" s="113" t="str">
        <f aca="false">IF(AC173&gt;0,P173,"")</f>
        <v/>
      </c>
      <c r="AF173" s="114" t="str">
        <f aca="false">IF(AE173=6,AA173*AB173*AC173*AD173*(AE173/1000)*0.222*1,IF(AE173&gt;6,"",IF(AE173&lt;6,"")))</f>
        <v/>
      </c>
      <c r="AG173" s="107" t="str">
        <f aca="false">IF(AE173=8,AA173*AB173*AC173*AD173*(AE173/1000)*0.395*1,IF(AE173&gt;8,"",IF(AE173&lt;8,"")))</f>
        <v/>
      </c>
      <c r="AH173" s="107" t="str">
        <f aca="false">IF(AE173=10,AA173*AB173*AC173*AD173*(AE173/1000)*0.617*1,IF(AE173&gt;10,"",IF(AE173&lt;10,"")))</f>
        <v/>
      </c>
      <c r="AI173" s="107" t="str">
        <f aca="false">IF(AE173=12,AA173*AB173*AC173*AD173*(AE173/1000)*0.888*1,IF(AE173&gt;12,"",IF(AE173&lt;12,"")))</f>
        <v/>
      </c>
      <c r="AJ173" s="107" t="str">
        <f aca="false">IF(AE173=16,AA173*AB173*AC173*AD173*(AE173/1000)*1.578*1,IF(AE173&gt;16,"",IF(AE173&lt;16,"")))</f>
        <v/>
      </c>
      <c r="AK173" s="107" t="str">
        <f aca="false">IF(AE173=20,AA173*AB173*AC173*AD173*(AE173/1000)*2.466*1,IF(AE173&gt;20,"",IF(AE173&lt;20,"")))</f>
        <v/>
      </c>
      <c r="AL173" s="107" t="str">
        <f aca="false">IF(AE173=25,AA173*AB173*AC173*AD173*(AE173/1000)*3.853*1,IF(AE173&gt;25,"",IF(AE173&lt;25,"")))</f>
        <v/>
      </c>
      <c r="AM173" s="115" t="str">
        <f aca="false">IF(AE173=32,AA173*AB173*AC173*AD173*(AE173/1000)*6.313*1,IF(AE173&gt;32,"",IF(AE173&lt;32,"")))</f>
        <v/>
      </c>
      <c r="AN173" s="128"/>
      <c r="AO173" s="117" t="s">
        <v>178</v>
      </c>
      <c r="AP173" s="118" t="n">
        <f aca="false">SUM(R173:Y173)+SUM(AN173)</f>
        <v>0</v>
      </c>
      <c r="AQ173" s="118" t="n">
        <f aca="false">SUM(AF173:AM173)</f>
        <v>0</v>
      </c>
      <c r="AR173" s="118" t="n">
        <v>1.1399</v>
      </c>
      <c r="AS173" s="119" t="s">
        <v>558</v>
      </c>
      <c r="AT173" s="119" t="s">
        <v>209</v>
      </c>
    </row>
    <row r="174" customFormat="false" ht="13.5" hidden="false" customHeight="false" outlineLevel="0" collapsed="false">
      <c r="A174" s="129"/>
      <c r="B174" s="172"/>
      <c r="C174" s="110"/>
      <c r="D174" s="122"/>
      <c r="E174" s="122"/>
      <c r="F174" s="173"/>
      <c r="G174" s="123"/>
      <c r="H174" s="101"/>
      <c r="I174" s="123"/>
      <c r="J174" s="101"/>
      <c r="K174" s="124" t="s">
        <v>483</v>
      </c>
      <c r="L174" s="125"/>
      <c r="M174" s="125"/>
      <c r="N174" s="126" t="n">
        <f aca="false">$C$173</f>
        <v>1</v>
      </c>
      <c r="O174" s="126" t="n">
        <v>2</v>
      </c>
      <c r="P174" s="126" t="n">
        <v>20</v>
      </c>
      <c r="Q174" s="127" t="n">
        <f aca="false">7.0887+2*50*20/1000</f>
        <v>9.0887</v>
      </c>
      <c r="R174" s="105" t="str">
        <f aca="false">IF(P174=6,N174*O174*Q174*0.222*1,IF(P174&gt;6,"",IF(P174&lt;6,"")))</f>
        <v/>
      </c>
      <c r="S174" s="106" t="str">
        <f aca="false">IF(P174=8,N174*O174*Q174*0.395*1,IF(P174&gt;8,"",IF(P174&lt;8,"")))</f>
        <v/>
      </c>
      <c r="T174" s="106" t="str">
        <f aca="false">IF(P174=10,N174*O174*Q174*0.617*1,IF(P174&gt;10,"",IF(P174&lt;10,"")))</f>
        <v/>
      </c>
      <c r="U174" s="106" t="str">
        <f aca="false">IF(P174=12,N174*O174*Q174*0.888*1,IF(P174&gt;12,"",IF(P174&lt;12,"")))</f>
        <v/>
      </c>
      <c r="V174" s="107" t="str">
        <f aca="false">IF(P174=16,N174*O174*Q174*1.578*1,IF(P174&gt;16,"",IF(P174&lt;16,"")))</f>
        <v/>
      </c>
      <c r="W174" s="106" t="n">
        <f aca="false">IF(P174=20,N174*O174*Q174*2.466*1,IF(P174&gt;20,"",IF(P174&lt;20,"")))</f>
        <v>44.8254684</v>
      </c>
      <c r="X174" s="106" t="str">
        <f aca="false">IF(P174=25,N174*O174*Q174*3.853*1,IF(P174&gt;25,"",IF(P174&lt;25,"")))</f>
        <v/>
      </c>
      <c r="Y174" s="108" t="str">
        <f aca="false">IF(P174=32,N174*O174*Q174*6.313*1,IF(P174&gt;32,"",IF(P174&lt;32,"")))</f>
        <v/>
      </c>
      <c r="Z174" s="109"/>
      <c r="AA174" s="110" t="str">
        <f aca="false">IF(AC174&gt;0,N174,"")</f>
        <v/>
      </c>
      <c r="AB174" s="111" t="str">
        <f aca="false">IF(AC174&gt;0,O174,"")</f>
        <v/>
      </c>
      <c r="AC174" s="112"/>
      <c r="AD174" s="112"/>
      <c r="AE174" s="113" t="str">
        <f aca="false">IF(AC174&gt;0,P174,"")</f>
        <v/>
      </c>
      <c r="AF174" s="114" t="str">
        <f aca="false">IF(AE174=6,AA174*AB174*AC174*AD174*(AE174/1000)*0.222*1,IF(AE174&gt;6,"",IF(AE174&lt;6,"")))</f>
        <v/>
      </c>
      <c r="AG174" s="107" t="str">
        <f aca="false">IF(AE174=8,AA174*AB174*AC174*AD174*(AE174/1000)*0.395*1,IF(AE174&gt;8,"",IF(AE174&lt;8,"")))</f>
        <v/>
      </c>
      <c r="AH174" s="107" t="str">
        <f aca="false">IF(AE174=10,AA174*AB174*AC174*AD174*(AE174/1000)*0.617*1,IF(AE174&gt;10,"",IF(AE174&lt;10,"")))</f>
        <v/>
      </c>
      <c r="AI174" s="107" t="str">
        <f aca="false">IF(AE174=12,AA174*AB174*AC174*AD174*(AE174/1000)*0.888*1,IF(AE174&gt;12,"",IF(AE174&lt;12,"")))</f>
        <v/>
      </c>
      <c r="AJ174" s="107" t="str">
        <f aca="false">IF(AE174=16,AA174*AB174*AC174*AD174*(AE174/1000)*1.578*1,IF(AE174&gt;16,"",IF(AE174&lt;16,"")))</f>
        <v/>
      </c>
      <c r="AK174" s="107" t="str">
        <f aca="false">IF(AE174=20,AA174*AB174*AC174*AD174*(AE174/1000)*2.466*1,IF(AE174&gt;20,"",IF(AE174&lt;20,"")))</f>
        <v/>
      </c>
      <c r="AL174" s="107" t="str">
        <f aca="false">IF(AE174=25,AA174*AB174*AC174*AD174*(AE174/1000)*3.853*1,IF(AE174&gt;25,"",IF(AE174&lt;25,"")))</f>
        <v/>
      </c>
      <c r="AM174" s="115" t="str">
        <f aca="false">IF(AE174=32,AA174*AB174*AC174*AD174*(AE174/1000)*6.313*1,IF(AE174&gt;32,"",IF(AE174&lt;32,"")))</f>
        <v/>
      </c>
      <c r="AN174" s="128"/>
      <c r="AO174" s="117" t="s">
        <v>178</v>
      </c>
      <c r="AP174" s="118" t="n">
        <f aca="false">SUM(R174:Y174)+SUM(AN174)</f>
        <v>44.8254684</v>
      </c>
      <c r="AQ174" s="118" t="n">
        <f aca="false">SUM(AF174:AM174)</f>
        <v>0</v>
      </c>
      <c r="AR174" s="118"/>
      <c r="AS174" s="119" t="s">
        <v>482</v>
      </c>
      <c r="AT174" s="119" t="s">
        <v>162</v>
      </c>
    </row>
    <row r="175" customFormat="false" ht="13.5" hidden="false" customHeight="false" outlineLevel="0" collapsed="false">
      <c r="A175" s="129"/>
      <c r="B175" s="172"/>
      <c r="C175" s="110"/>
      <c r="D175" s="122"/>
      <c r="E175" s="122"/>
      <c r="F175" s="173"/>
      <c r="G175" s="123"/>
      <c r="H175" s="101"/>
      <c r="I175" s="123"/>
      <c r="J175" s="101"/>
      <c r="K175" s="124" t="s">
        <v>485</v>
      </c>
      <c r="L175" s="125"/>
      <c r="M175" s="125"/>
      <c r="N175" s="126" t="n">
        <f aca="false">$C$173</f>
        <v>1</v>
      </c>
      <c r="O175" s="126" t="n">
        <v>2</v>
      </c>
      <c r="P175" s="126" t="n">
        <v>20</v>
      </c>
      <c r="Q175" s="127" t="n">
        <f aca="false">7.0887+2*50*20/1000</f>
        <v>9.0887</v>
      </c>
      <c r="R175" s="105" t="str">
        <f aca="false">IF(P175=6,N175*O175*Q175*0.222*1,IF(P175&gt;6,"",IF(P175&lt;6,"")))</f>
        <v/>
      </c>
      <c r="S175" s="106" t="str">
        <f aca="false">IF(P175=8,N175*O175*Q175*0.395*1,IF(P175&gt;8,"",IF(P175&lt;8,"")))</f>
        <v/>
      </c>
      <c r="T175" s="106" t="str">
        <f aca="false">IF(P175=10,N175*O175*Q175*0.617*1,IF(P175&gt;10,"",IF(P175&lt;10,"")))</f>
        <v/>
      </c>
      <c r="U175" s="106" t="str">
        <f aca="false">IF(P175=12,N175*O175*Q175*0.888*1,IF(P175&gt;12,"",IF(P175&lt;12,"")))</f>
        <v/>
      </c>
      <c r="V175" s="107" t="str">
        <f aca="false">IF(P175=16,N175*O175*Q175*1.578*1,IF(P175&gt;16,"",IF(P175&lt;16,"")))</f>
        <v/>
      </c>
      <c r="W175" s="106" t="n">
        <f aca="false">IF(P175=20,N175*O175*Q175*2.466*1,IF(P175&gt;20,"",IF(P175&lt;20,"")))</f>
        <v>44.8254684</v>
      </c>
      <c r="X175" s="106" t="str">
        <f aca="false">IF(P175=25,N175*O175*Q175*3.853*1,IF(P175&gt;25,"",IF(P175&lt;25,"")))</f>
        <v/>
      </c>
      <c r="Y175" s="108" t="str">
        <f aca="false">IF(P175=32,N175*O175*Q175*6.313*1,IF(P175&gt;32,"",IF(P175&lt;32,"")))</f>
        <v/>
      </c>
      <c r="Z175" s="109"/>
      <c r="AA175" s="110" t="str">
        <f aca="false">IF(AC175&gt;0,N175,"")</f>
        <v/>
      </c>
      <c r="AB175" s="111" t="str">
        <f aca="false">IF(AC175&gt;0,O175,"")</f>
        <v/>
      </c>
      <c r="AC175" s="112"/>
      <c r="AD175" s="112"/>
      <c r="AE175" s="113" t="str">
        <f aca="false">IF(AC175&gt;0,P175,"")</f>
        <v/>
      </c>
      <c r="AF175" s="114" t="str">
        <f aca="false">IF(AE175=6,AA175*AB175*AC175*AD175*(AE175/1000)*0.222*1,IF(AE175&gt;6,"",IF(AE175&lt;6,"")))</f>
        <v/>
      </c>
      <c r="AG175" s="107" t="str">
        <f aca="false">IF(AE175=8,AA175*AB175*AC175*AD175*(AE175/1000)*0.395*1,IF(AE175&gt;8,"",IF(AE175&lt;8,"")))</f>
        <v/>
      </c>
      <c r="AH175" s="107" t="str">
        <f aca="false">IF(AE175=10,AA175*AB175*AC175*AD175*(AE175/1000)*0.617*1,IF(AE175&gt;10,"",IF(AE175&lt;10,"")))</f>
        <v/>
      </c>
      <c r="AI175" s="107" t="str">
        <f aca="false">IF(AE175=12,AA175*AB175*AC175*AD175*(AE175/1000)*0.888*1,IF(AE175&gt;12,"",IF(AE175&lt;12,"")))</f>
        <v/>
      </c>
      <c r="AJ175" s="107" t="str">
        <f aca="false">IF(AE175=16,AA175*AB175*AC175*AD175*(AE175/1000)*1.578*1,IF(AE175&gt;16,"",IF(AE175&lt;16,"")))</f>
        <v/>
      </c>
      <c r="AK175" s="107" t="str">
        <f aca="false">IF(AE175=20,AA175*AB175*AC175*AD175*(AE175/1000)*2.466*1,IF(AE175&gt;20,"",IF(AE175&lt;20,"")))</f>
        <v/>
      </c>
      <c r="AL175" s="107" t="str">
        <f aca="false">IF(AE175=25,AA175*AB175*AC175*AD175*(AE175/1000)*3.853*1,IF(AE175&gt;25,"",IF(AE175&lt;25,"")))</f>
        <v/>
      </c>
      <c r="AM175" s="115" t="str">
        <f aca="false">IF(AE175=32,AA175*AB175*AC175*AD175*(AE175/1000)*6.313*1,IF(AE175&gt;32,"",IF(AE175&lt;32,"")))</f>
        <v/>
      </c>
      <c r="AN175" s="128"/>
      <c r="AO175" s="117" t="s">
        <v>178</v>
      </c>
      <c r="AP175" s="118" t="n">
        <f aca="false">SUM(R175:Y175)+SUM(AN175)</f>
        <v>44.8254684</v>
      </c>
      <c r="AQ175" s="118" t="n">
        <f aca="false">SUM(AF175:AM175)</f>
        <v>0</v>
      </c>
      <c r="AR175" s="118"/>
      <c r="AS175" s="119" t="s">
        <v>482</v>
      </c>
      <c r="AT175" s="119" t="s">
        <v>162</v>
      </c>
    </row>
    <row r="176" customFormat="false" ht="13.5" hidden="false" customHeight="false" outlineLevel="0" collapsed="false">
      <c r="A176" s="129"/>
      <c r="B176" s="172"/>
      <c r="C176" s="110"/>
      <c r="D176" s="122"/>
      <c r="E176" s="122"/>
      <c r="F176" s="173"/>
      <c r="G176" s="123"/>
      <c r="H176" s="101"/>
      <c r="I176" s="123"/>
      <c r="J176" s="101"/>
      <c r="K176" s="124" t="s">
        <v>550</v>
      </c>
      <c r="L176" s="125" t="n">
        <f aca="false">$E$173</f>
        <v>0.67</v>
      </c>
      <c r="M176" s="125" t="n">
        <v>0.1</v>
      </c>
      <c r="N176" s="126" t="n">
        <f aca="false">2*$C$173</f>
        <v>2</v>
      </c>
      <c r="O176" s="126" t="n">
        <f aca="false">CEILING(L176/M176,1)+1</f>
        <v>8</v>
      </c>
      <c r="P176" s="126" t="n">
        <v>8</v>
      </c>
      <c r="Q176" s="127" t="n">
        <f aca="false">2*($D$173-2*0.035)+2*($E$173-2*0.035)+20*8/1000</f>
        <v>1.7</v>
      </c>
      <c r="R176" s="105" t="str">
        <f aca="false">IF(P176=6,N176*O176*Q176*0.222*1,IF(P176&gt;6,"",IF(P176&lt;6,"")))</f>
        <v/>
      </c>
      <c r="S176" s="106" t="n">
        <f aca="false">IF(P176=8,N176*O176*Q176*0.395*1,IF(P176&gt;8,"",IF(P176&lt;8,"")))</f>
        <v>10.744</v>
      </c>
      <c r="T176" s="106" t="str">
        <f aca="false">IF(P176=10,N176*O176*Q176*0.617*1,IF(P176&gt;10,"",IF(P176&lt;10,"")))</f>
        <v/>
      </c>
      <c r="U176" s="106" t="str">
        <f aca="false">IF(P176=12,N176*O176*Q176*0.888*1,IF(P176&gt;12,"",IF(P176&lt;12,"")))</f>
        <v/>
      </c>
      <c r="V176" s="107" t="str">
        <f aca="false">IF(P176=16,N176*O176*Q176*1.578*1,IF(P176&gt;16,"",IF(P176&lt;16,"")))</f>
        <v/>
      </c>
      <c r="W176" s="106" t="str">
        <f aca="false">IF(P176=20,N176*O176*Q176*2.466*1,IF(P176&gt;20,"",IF(P176&lt;20,"")))</f>
        <v/>
      </c>
      <c r="X176" s="106" t="str">
        <f aca="false">IF(P176=25,N176*O176*Q176*3.853*1,IF(P176&gt;25,"",IF(P176&lt;25,"")))</f>
        <v/>
      </c>
      <c r="Y176" s="108" t="str">
        <f aca="false">IF(P176=32,N176*O176*Q176*6.313*1,IF(P176&gt;32,"",IF(P176&lt;32,"")))</f>
        <v/>
      </c>
      <c r="Z176" s="109"/>
      <c r="AA176" s="110" t="str">
        <f aca="false">IF(AC176&gt;0,N176,"")</f>
        <v/>
      </c>
      <c r="AB176" s="111" t="str">
        <f aca="false">IF(AC176&gt;0,O176,"")</f>
        <v/>
      </c>
      <c r="AC176" s="112"/>
      <c r="AD176" s="112"/>
      <c r="AE176" s="113" t="str">
        <f aca="false">IF(AC176&gt;0,P176,"")</f>
        <v/>
      </c>
      <c r="AF176" s="114" t="str">
        <f aca="false">IF(AE176=6,AA176*AB176*AC176*AD176*(AE176/1000)*0.222*1,IF(AE176&gt;6,"",IF(AE176&lt;6,"")))</f>
        <v/>
      </c>
      <c r="AG176" s="107" t="str">
        <f aca="false">IF(AE176=8,AA176*AB176*AC176*AD176*(AE176/1000)*0.395*1,IF(AE176&gt;8,"",IF(AE176&lt;8,"")))</f>
        <v/>
      </c>
      <c r="AH176" s="107" t="str">
        <f aca="false">IF(AE176=10,AA176*AB176*AC176*AD176*(AE176/1000)*0.617*1,IF(AE176&gt;10,"",IF(AE176&lt;10,"")))</f>
        <v/>
      </c>
      <c r="AI176" s="107" t="str">
        <f aca="false">IF(AE176=12,AA176*AB176*AC176*AD176*(AE176/1000)*0.888*1,IF(AE176&gt;12,"",IF(AE176&lt;12,"")))</f>
        <v/>
      </c>
      <c r="AJ176" s="107" t="str">
        <f aca="false">IF(AE176=16,AA176*AB176*AC176*AD176*(AE176/1000)*1.578*1,IF(AE176&gt;16,"",IF(AE176&lt;16,"")))</f>
        <v/>
      </c>
      <c r="AK176" s="107" t="str">
        <f aca="false">IF(AE176=20,AA176*AB176*AC176*AD176*(AE176/1000)*2.466*1,IF(AE176&gt;20,"",IF(AE176&lt;20,"")))</f>
        <v/>
      </c>
      <c r="AL176" s="107" t="str">
        <f aca="false">IF(AE176=25,AA176*AB176*AC176*AD176*(AE176/1000)*3.853*1,IF(AE176&gt;25,"",IF(AE176&lt;25,"")))</f>
        <v/>
      </c>
      <c r="AM176" s="115" t="str">
        <f aca="false">IF(AE176=32,AA176*AB176*AC176*AD176*(AE176/1000)*6.313*1,IF(AE176&gt;32,"",IF(AE176&lt;32,"")))</f>
        <v/>
      </c>
      <c r="AN176" s="128"/>
      <c r="AO176" s="117" t="s">
        <v>178</v>
      </c>
      <c r="AP176" s="118" t="n">
        <f aca="false">SUM(R176:Y176)+SUM(AN176)</f>
        <v>10.744</v>
      </c>
      <c r="AQ176" s="118" t="n">
        <f aca="false">SUM(AF176:AM176)</f>
        <v>0</v>
      </c>
      <c r="AR176" s="118"/>
      <c r="AS176" s="119" t="s">
        <v>551</v>
      </c>
      <c r="AT176" s="119" t="s">
        <v>162</v>
      </c>
    </row>
    <row r="177" customFormat="false" ht="13.5" hidden="false" customHeight="false" outlineLevel="0" collapsed="false">
      <c r="A177" s="129"/>
      <c r="B177" s="172"/>
      <c r="C177" s="110"/>
      <c r="D177" s="122"/>
      <c r="E177" s="122"/>
      <c r="F177" s="173"/>
      <c r="G177" s="123"/>
      <c r="H177" s="101"/>
      <c r="I177" s="123"/>
      <c r="J177" s="101"/>
      <c r="K177" s="124" t="s">
        <v>552</v>
      </c>
      <c r="L177" s="125" t="n">
        <f aca="false">$F$173-2*$E$173</f>
        <v>5.74893034825871</v>
      </c>
      <c r="M177" s="125" t="n">
        <v>0.15</v>
      </c>
      <c r="N177" s="126" t="n">
        <f aca="false">$C$173</f>
        <v>1</v>
      </c>
      <c r="O177" s="126" t="n">
        <f aca="false">CEILING(L177/M177,1)-1</f>
        <v>38</v>
      </c>
      <c r="P177" s="126" t="n">
        <v>8</v>
      </c>
      <c r="Q177" s="127" t="n">
        <f aca="false">2*($D$173-2*0.035)+2*($E$173-2*0.035)+20*8/1000</f>
        <v>1.7</v>
      </c>
      <c r="R177" s="105" t="str">
        <f aca="false">IF(P177=6,N177*O177*Q177*0.222*1,IF(P177&gt;6,"",IF(P177&lt;6,"")))</f>
        <v/>
      </c>
      <c r="S177" s="106" t="n">
        <f aca="false">IF(P177=8,N177*O177*Q177*0.395*1,IF(P177&gt;8,"",IF(P177&lt;8,"")))</f>
        <v>25.517</v>
      </c>
      <c r="T177" s="106" t="str">
        <f aca="false">IF(P177=10,N177*O177*Q177*0.617*1,IF(P177&gt;10,"",IF(P177&lt;10,"")))</f>
        <v/>
      </c>
      <c r="U177" s="106" t="str">
        <f aca="false">IF(P177=12,N177*O177*Q177*0.888*1,IF(P177&gt;12,"",IF(P177&lt;12,"")))</f>
        <v/>
      </c>
      <c r="V177" s="107" t="str">
        <f aca="false">IF(P177=16,N177*O177*Q177*1.578*1,IF(P177&gt;16,"",IF(P177&lt;16,"")))</f>
        <v/>
      </c>
      <c r="W177" s="106" t="str">
        <f aca="false">IF(P177=20,N177*O177*Q177*2.466*1,IF(P177&gt;20,"",IF(P177&lt;20,"")))</f>
        <v/>
      </c>
      <c r="X177" s="106" t="str">
        <f aca="false">IF(P177=25,N177*O177*Q177*3.853*1,IF(P177&gt;25,"",IF(P177&lt;25,"")))</f>
        <v/>
      </c>
      <c r="Y177" s="108" t="str">
        <f aca="false">IF(P177=32,N177*O177*Q177*6.313*1,IF(P177&gt;32,"",IF(P177&lt;32,"")))</f>
        <v/>
      </c>
      <c r="Z177" s="109"/>
      <c r="AA177" s="110" t="str">
        <f aca="false">IF(AC177&gt;0,N177,"")</f>
        <v/>
      </c>
      <c r="AB177" s="111" t="str">
        <f aca="false">IF(AC177&gt;0,O177,"")</f>
        <v/>
      </c>
      <c r="AC177" s="112"/>
      <c r="AD177" s="112"/>
      <c r="AE177" s="113" t="str">
        <f aca="false">IF(AC177&gt;0,P177,"")</f>
        <v/>
      </c>
      <c r="AF177" s="114" t="str">
        <f aca="false">IF(AE177=6,AA177*AB177*AC177*AD177*(AE177/1000)*0.222*1,IF(AE177&gt;6,"",IF(AE177&lt;6,"")))</f>
        <v/>
      </c>
      <c r="AG177" s="107" t="str">
        <f aca="false">IF(AE177=8,AA177*AB177*AC177*AD177*(AE177/1000)*0.395*1,IF(AE177&gt;8,"",IF(AE177&lt;8,"")))</f>
        <v/>
      </c>
      <c r="AH177" s="107" t="str">
        <f aca="false">IF(AE177=10,AA177*AB177*AC177*AD177*(AE177/1000)*0.617*1,IF(AE177&gt;10,"",IF(AE177&lt;10,"")))</f>
        <v/>
      </c>
      <c r="AI177" s="107" t="str">
        <f aca="false">IF(AE177=12,AA177*AB177*AC177*AD177*(AE177/1000)*0.888*1,IF(AE177&gt;12,"",IF(AE177&lt;12,"")))</f>
        <v/>
      </c>
      <c r="AJ177" s="107" t="str">
        <f aca="false">IF(AE177=16,AA177*AB177*AC177*AD177*(AE177/1000)*1.578*1,IF(AE177&gt;16,"",IF(AE177&lt;16,"")))</f>
        <v/>
      </c>
      <c r="AK177" s="107" t="str">
        <f aca="false">IF(AE177=20,AA177*AB177*AC177*AD177*(AE177/1000)*2.466*1,IF(AE177&gt;20,"",IF(AE177&lt;20,"")))</f>
        <v/>
      </c>
      <c r="AL177" s="107" t="str">
        <f aca="false">IF(AE177=25,AA177*AB177*AC177*AD177*(AE177/1000)*3.853*1,IF(AE177&gt;25,"",IF(AE177&lt;25,"")))</f>
        <v/>
      </c>
      <c r="AM177" s="115" t="str">
        <f aca="false">IF(AE177=32,AA177*AB177*AC177*AD177*(AE177/1000)*6.313*1,IF(AE177&gt;32,"",IF(AE177&lt;32,"")))</f>
        <v/>
      </c>
      <c r="AN177" s="128"/>
      <c r="AO177" s="117" t="s">
        <v>178</v>
      </c>
      <c r="AP177" s="118" t="n">
        <f aca="false">SUM(R177:Y177)+SUM(AN177)</f>
        <v>25.517</v>
      </c>
      <c r="AQ177" s="118" t="n">
        <f aca="false">SUM(AF177:AM177)</f>
        <v>0</v>
      </c>
      <c r="AR177" s="118"/>
      <c r="AS177" s="119"/>
      <c r="AT177" s="119" t="s">
        <v>162</v>
      </c>
    </row>
    <row r="178" customFormat="false" ht="13.5" hidden="false" customHeight="false" outlineLevel="0" collapsed="false">
      <c r="A178" s="129"/>
      <c r="B178" s="130"/>
      <c r="C178" s="110"/>
      <c r="D178" s="122"/>
      <c r="E178" s="122"/>
      <c r="F178" s="122"/>
      <c r="G178" s="123"/>
      <c r="H178" s="101"/>
      <c r="I178" s="123"/>
      <c r="J178" s="101"/>
      <c r="K178" s="124"/>
      <c r="L178" s="125"/>
      <c r="M178" s="125"/>
      <c r="N178" s="126"/>
      <c r="O178" s="126"/>
      <c r="P178" s="126"/>
      <c r="Q178" s="127"/>
      <c r="R178" s="105"/>
      <c r="S178" s="106"/>
      <c r="T178" s="106"/>
      <c r="U178" s="106"/>
      <c r="V178" s="107"/>
      <c r="W178" s="106"/>
      <c r="X178" s="106"/>
      <c r="Y178" s="108"/>
      <c r="Z178" s="109"/>
      <c r="AA178" s="110"/>
      <c r="AB178" s="111"/>
      <c r="AC178" s="112"/>
      <c r="AD178" s="112"/>
      <c r="AE178" s="113"/>
      <c r="AF178" s="114"/>
      <c r="AG178" s="107"/>
      <c r="AH178" s="107"/>
      <c r="AI178" s="107"/>
      <c r="AJ178" s="107"/>
      <c r="AK178" s="107"/>
      <c r="AL178" s="107"/>
      <c r="AM178" s="115"/>
      <c r="AO178" s="117"/>
      <c r="AP178" s="118"/>
      <c r="AQ178" s="118"/>
      <c r="AR178" s="118"/>
      <c r="AS178" s="119"/>
      <c r="AT178" s="119"/>
    </row>
    <row r="179" customFormat="false" ht="13.5" hidden="false" customHeight="false" outlineLevel="0" collapsed="false">
      <c r="A179" s="120"/>
      <c r="B179" s="121" t="s">
        <v>559</v>
      </c>
      <c r="C179" s="110" t="n">
        <v>1</v>
      </c>
      <c r="D179" s="122" t="n">
        <v>0.24</v>
      </c>
      <c r="E179" s="122" t="n">
        <v>0.67</v>
      </c>
      <c r="F179" s="122" t="n">
        <f aca="false">0.7359/(0.24*0.67)</f>
        <v>4.57649253731343</v>
      </c>
      <c r="G179" s="123" t="n">
        <f aca="false">C179*D179*E179*F179</f>
        <v>0.7359</v>
      </c>
      <c r="H179" s="101"/>
      <c r="I179" s="123" t="n">
        <f aca="false">C179*F179*(D179+(E179-0.34)+(E179))</f>
        <v>5.67485074626866</v>
      </c>
      <c r="J179" s="101"/>
      <c r="K179" s="124"/>
      <c r="L179" s="125"/>
      <c r="M179" s="125"/>
      <c r="N179" s="126"/>
      <c r="O179" s="126"/>
      <c r="P179" s="126"/>
      <c r="Q179" s="127"/>
      <c r="R179" s="105" t="str">
        <f aca="false">IF(P179=6,N179*O179*Q179*0.222*1,IF(P179&gt;6,"",IF(P179&lt;6,"")))</f>
        <v/>
      </c>
      <c r="S179" s="106" t="str">
        <f aca="false">IF(P179=8,N179*O179*Q179*0.395*1,IF(P179&gt;8,"",IF(P179&lt;8,"")))</f>
        <v/>
      </c>
      <c r="T179" s="106" t="str">
        <f aca="false">IF(P179=10,N179*O179*Q179*0.617*1,IF(P179&gt;10,"",IF(P179&lt;10,"")))</f>
        <v/>
      </c>
      <c r="U179" s="106" t="str">
        <f aca="false">IF(P179=12,N179*O179*Q179*0.888*1,IF(P179&gt;12,"",IF(P179&lt;12,"")))</f>
        <v/>
      </c>
      <c r="V179" s="107" t="str">
        <f aca="false">IF(P179=16,N179*O179*Q179*1.578*1,IF(P179&gt;16,"",IF(P179&lt;16,"")))</f>
        <v/>
      </c>
      <c r="W179" s="106" t="str">
        <f aca="false">IF(P179=20,N179*O179*Q179*2.466*1,IF(P179&gt;20,"",IF(P179&lt;20,"")))</f>
        <v/>
      </c>
      <c r="X179" s="106" t="str">
        <f aca="false">IF(P179=25,N179*O179*Q179*3.853*1,IF(P179&gt;25,"",IF(P179&lt;25,"")))</f>
        <v/>
      </c>
      <c r="Y179" s="108" t="str">
        <f aca="false">IF(P179=32,N179*O179*Q179*6.313*1,IF(P179&gt;32,"",IF(P179&lt;32,"")))</f>
        <v/>
      </c>
      <c r="Z179" s="109"/>
      <c r="AA179" s="110" t="str">
        <f aca="false">IF(AC179&gt;0,N179,"")</f>
        <v/>
      </c>
      <c r="AB179" s="111" t="str">
        <f aca="false">IF(AC179&gt;0,O179,"")</f>
        <v/>
      </c>
      <c r="AC179" s="112"/>
      <c r="AD179" s="112"/>
      <c r="AE179" s="113" t="str">
        <f aca="false">IF(AC179&gt;0,P179,"")</f>
        <v/>
      </c>
      <c r="AF179" s="114" t="str">
        <f aca="false">IF(AE179=6,AA179*AB179*AC179*AD179*(AE179/1000)*0.222*1,IF(AE179&gt;6,"",IF(AE179&lt;6,"")))</f>
        <v/>
      </c>
      <c r="AG179" s="107" t="str">
        <f aca="false">IF(AE179=8,AA179*AB179*AC179*AD179*(AE179/1000)*0.395*1,IF(AE179&gt;8,"",IF(AE179&lt;8,"")))</f>
        <v/>
      </c>
      <c r="AH179" s="107" t="str">
        <f aca="false">IF(AE179=10,AA179*AB179*AC179*AD179*(AE179/1000)*0.617*1,IF(AE179&gt;10,"",IF(AE179&lt;10,"")))</f>
        <v/>
      </c>
      <c r="AI179" s="107" t="str">
        <f aca="false">IF(AE179=12,AA179*AB179*AC179*AD179*(AE179/1000)*0.888*1,IF(AE179&gt;12,"",IF(AE179&lt;12,"")))</f>
        <v/>
      </c>
      <c r="AJ179" s="107" t="str">
        <f aca="false">IF(AE179=16,AA179*AB179*AC179*AD179*(AE179/1000)*1.578*1,IF(AE179&gt;16,"",IF(AE179&lt;16,"")))</f>
        <v/>
      </c>
      <c r="AK179" s="107" t="str">
        <f aca="false">IF(AE179=20,AA179*AB179*AC179*AD179*(AE179/1000)*2.466*1,IF(AE179&gt;20,"",IF(AE179&lt;20,"")))</f>
        <v/>
      </c>
      <c r="AL179" s="107" t="str">
        <f aca="false">IF(AE179=25,AA179*AB179*AC179*AD179*(AE179/1000)*3.853*1,IF(AE179&gt;25,"",IF(AE179&lt;25,"")))</f>
        <v/>
      </c>
      <c r="AM179" s="115" t="str">
        <f aca="false">IF(AE179=32,AA179*AB179*AC179*AD179*(AE179/1000)*6.313*1,IF(AE179&gt;32,"",IF(AE179&lt;32,"")))</f>
        <v/>
      </c>
      <c r="AN179" s="128"/>
      <c r="AO179" s="117" t="s">
        <v>178</v>
      </c>
      <c r="AP179" s="118" t="n">
        <f aca="false">SUM(R179:Y179)+SUM(AN179)</f>
        <v>0</v>
      </c>
      <c r="AQ179" s="118" t="n">
        <f aca="false">SUM(AF179:AM179)</f>
        <v>0</v>
      </c>
      <c r="AR179" s="118" t="n">
        <v>0.7359</v>
      </c>
      <c r="AS179" s="119" t="s">
        <v>560</v>
      </c>
      <c r="AT179" s="119" t="s">
        <v>209</v>
      </c>
    </row>
    <row r="180" customFormat="false" ht="13.5" hidden="false" customHeight="false" outlineLevel="0" collapsed="false">
      <c r="A180" s="129"/>
      <c r="B180" s="172"/>
      <c r="C180" s="110"/>
      <c r="D180" s="122"/>
      <c r="E180" s="122"/>
      <c r="F180" s="173"/>
      <c r="G180" s="123"/>
      <c r="H180" s="101"/>
      <c r="I180" s="123"/>
      <c r="J180" s="101"/>
      <c r="K180" s="124" t="s">
        <v>483</v>
      </c>
      <c r="L180" s="125"/>
      <c r="M180" s="125"/>
      <c r="N180" s="126" t="n">
        <f aca="false">$C$179</f>
        <v>1</v>
      </c>
      <c r="O180" s="126" t="n">
        <v>2</v>
      </c>
      <c r="P180" s="126" t="n">
        <v>20</v>
      </c>
      <c r="Q180" s="127" t="n">
        <f aca="false">5.3877+2*50*20/1000</f>
        <v>7.3877</v>
      </c>
      <c r="R180" s="105" t="str">
        <f aca="false">IF(P180=6,N180*O180*Q180*0.222*1,IF(P180&gt;6,"",IF(P180&lt;6,"")))</f>
        <v/>
      </c>
      <c r="S180" s="106" t="str">
        <f aca="false">IF(P180=8,N180*O180*Q180*0.395*1,IF(P180&gt;8,"",IF(P180&lt;8,"")))</f>
        <v/>
      </c>
      <c r="T180" s="106" t="str">
        <f aca="false">IF(P180=10,N180*O180*Q180*0.617*1,IF(P180&gt;10,"",IF(P180&lt;10,"")))</f>
        <v/>
      </c>
      <c r="U180" s="106" t="str">
        <f aca="false">IF(P180=12,N180*O180*Q180*0.888*1,IF(P180&gt;12,"",IF(P180&lt;12,"")))</f>
        <v/>
      </c>
      <c r="V180" s="107" t="str">
        <f aca="false">IF(P180=16,N180*O180*Q180*1.578*1,IF(P180&gt;16,"",IF(P180&lt;16,"")))</f>
        <v/>
      </c>
      <c r="W180" s="106" t="n">
        <f aca="false">IF(P180=20,N180*O180*Q180*2.466*1,IF(P180&gt;20,"",IF(P180&lt;20,"")))</f>
        <v>36.4361364</v>
      </c>
      <c r="X180" s="106" t="str">
        <f aca="false">IF(P180=25,N180*O180*Q180*3.853*1,IF(P180&gt;25,"",IF(P180&lt;25,"")))</f>
        <v/>
      </c>
      <c r="Y180" s="108" t="str">
        <f aca="false">IF(P180=32,N180*O180*Q180*6.313*1,IF(P180&gt;32,"",IF(P180&lt;32,"")))</f>
        <v/>
      </c>
      <c r="Z180" s="109"/>
      <c r="AA180" s="110" t="str">
        <f aca="false">IF(AC180&gt;0,N180,"")</f>
        <v/>
      </c>
      <c r="AB180" s="111" t="str">
        <f aca="false">IF(AC180&gt;0,O180,"")</f>
        <v/>
      </c>
      <c r="AC180" s="112"/>
      <c r="AD180" s="112"/>
      <c r="AE180" s="113" t="str">
        <f aca="false">IF(AC180&gt;0,P180,"")</f>
        <v/>
      </c>
      <c r="AF180" s="114" t="str">
        <f aca="false">IF(AE180=6,AA180*AB180*AC180*AD180*(AE180/1000)*0.222*1,IF(AE180&gt;6,"",IF(AE180&lt;6,"")))</f>
        <v/>
      </c>
      <c r="AG180" s="107" t="str">
        <f aca="false">IF(AE180=8,AA180*AB180*AC180*AD180*(AE180/1000)*0.395*1,IF(AE180&gt;8,"",IF(AE180&lt;8,"")))</f>
        <v/>
      </c>
      <c r="AH180" s="107" t="str">
        <f aca="false">IF(AE180=10,AA180*AB180*AC180*AD180*(AE180/1000)*0.617*1,IF(AE180&gt;10,"",IF(AE180&lt;10,"")))</f>
        <v/>
      </c>
      <c r="AI180" s="107" t="str">
        <f aca="false">IF(AE180=12,AA180*AB180*AC180*AD180*(AE180/1000)*0.888*1,IF(AE180&gt;12,"",IF(AE180&lt;12,"")))</f>
        <v/>
      </c>
      <c r="AJ180" s="107" t="str">
        <f aca="false">IF(AE180=16,AA180*AB180*AC180*AD180*(AE180/1000)*1.578*1,IF(AE180&gt;16,"",IF(AE180&lt;16,"")))</f>
        <v/>
      </c>
      <c r="AK180" s="107" t="str">
        <f aca="false">IF(AE180=20,AA180*AB180*AC180*AD180*(AE180/1000)*2.466*1,IF(AE180&gt;20,"",IF(AE180&lt;20,"")))</f>
        <v/>
      </c>
      <c r="AL180" s="107" t="str">
        <f aca="false">IF(AE180=25,AA180*AB180*AC180*AD180*(AE180/1000)*3.853*1,IF(AE180&gt;25,"",IF(AE180&lt;25,"")))</f>
        <v/>
      </c>
      <c r="AM180" s="115" t="str">
        <f aca="false">IF(AE180=32,AA180*AB180*AC180*AD180*(AE180/1000)*6.313*1,IF(AE180&gt;32,"",IF(AE180&lt;32,"")))</f>
        <v/>
      </c>
      <c r="AN180" s="128"/>
      <c r="AO180" s="117" t="s">
        <v>178</v>
      </c>
      <c r="AP180" s="118" t="n">
        <f aca="false">SUM(R180:Y180)+SUM(AN180)</f>
        <v>36.4361364</v>
      </c>
      <c r="AQ180" s="118" t="n">
        <f aca="false">SUM(AF180:AM180)</f>
        <v>0</v>
      </c>
      <c r="AR180" s="118"/>
      <c r="AS180" s="119" t="s">
        <v>482</v>
      </c>
      <c r="AT180" s="119" t="s">
        <v>162</v>
      </c>
    </row>
    <row r="181" customFormat="false" ht="13.5" hidden="false" customHeight="false" outlineLevel="0" collapsed="false">
      <c r="A181" s="129"/>
      <c r="B181" s="172"/>
      <c r="C181" s="110"/>
      <c r="D181" s="122"/>
      <c r="E181" s="122"/>
      <c r="F181" s="173"/>
      <c r="G181" s="123"/>
      <c r="H181" s="101"/>
      <c r="I181" s="123"/>
      <c r="J181" s="101"/>
      <c r="K181" s="124" t="s">
        <v>485</v>
      </c>
      <c r="L181" s="125"/>
      <c r="M181" s="125"/>
      <c r="N181" s="126" t="n">
        <f aca="false">$C$179</f>
        <v>1</v>
      </c>
      <c r="O181" s="126" t="n">
        <v>2</v>
      </c>
      <c r="P181" s="126" t="n">
        <v>20</v>
      </c>
      <c r="Q181" s="127" t="n">
        <f aca="false">5.3877+2*50*20/1000</f>
        <v>7.3877</v>
      </c>
      <c r="R181" s="105" t="str">
        <f aca="false">IF(P181=6,N181*O181*Q181*0.222*1,IF(P181&gt;6,"",IF(P181&lt;6,"")))</f>
        <v/>
      </c>
      <c r="S181" s="106" t="str">
        <f aca="false">IF(P181=8,N181*O181*Q181*0.395*1,IF(P181&gt;8,"",IF(P181&lt;8,"")))</f>
        <v/>
      </c>
      <c r="T181" s="106" t="str">
        <f aca="false">IF(P181=10,N181*O181*Q181*0.617*1,IF(P181&gt;10,"",IF(P181&lt;10,"")))</f>
        <v/>
      </c>
      <c r="U181" s="106" t="str">
        <f aca="false">IF(P181=12,N181*O181*Q181*0.888*1,IF(P181&gt;12,"",IF(P181&lt;12,"")))</f>
        <v/>
      </c>
      <c r="V181" s="107" t="str">
        <f aca="false">IF(P181=16,N181*O181*Q181*1.578*1,IF(P181&gt;16,"",IF(P181&lt;16,"")))</f>
        <v/>
      </c>
      <c r="W181" s="106" t="n">
        <f aca="false">IF(P181=20,N181*O181*Q181*2.466*1,IF(P181&gt;20,"",IF(P181&lt;20,"")))</f>
        <v>36.4361364</v>
      </c>
      <c r="X181" s="106" t="str">
        <f aca="false">IF(P181=25,N181*O181*Q181*3.853*1,IF(P181&gt;25,"",IF(P181&lt;25,"")))</f>
        <v/>
      </c>
      <c r="Y181" s="108" t="str">
        <f aca="false">IF(P181=32,N181*O181*Q181*6.313*1,IF(P181&gt;32,"",IF(P181&lt;32,"")))</f>
        <v/>
      </c>
      <c r="Z181" s="109"/>
      <c r="AA181" s="110" t="str">
        <f aca="false">IF(AC181&gt;0,N181,"")</f>
        <v/>
      </c>
      <c r="AB181" s="111" t="str">
        <f aca="false">IF(AC181&gt;0,O181,"")</f>
        <v/>
      </c>
      <c r="AC181" s="112"/>
      <c r="AD181" s="112"/>
      <c r="AE181" s="113" t="str">
        <f aca="false">IF(AC181&gt;0,P181,"")</f>
        <v/>
      </c>
      <c r="AF181" s="114" t="str">
        <f aca="false">IF(AE181=6,AA181*AB181*AC181*AD181*(AE181/1000)*0.222*1,IF(AE181&gt;6,"",IF(AE181&lt;6,"")))</f>
        <v/>
      </c>
      <c r="AG181" s="107" t="str">
        <f aca="false">IF(AE181=8,AA181*AB181*AC181*AD181*(AE181/1000)*0.395*1,IF(AE181&gt;8,"",IF(AE181&lt;8,"")))</f>
        <v/>
      </c>
      <c r="AH181" s="107" t="str">
        <f aca="false">IF(AE181=10,AA181*AB181*AC181*AD181*(AE181/1000)*0.617*1,IF(AE181&gt;10,"",IF(AE181&lt;10,"")))</f>
        <v/>
      </c>
      <c r="AI181" s="107" t="str">
        <f aca="false">IF(AE181=12,AA181*AB181*AC181*AD181*(AE181/1000)*0.888*1,IF(AE181&gt;12,"",IF(AE181&lt;12,"")))</f>
        <v/>
      </c>
      <c r="AJ181" s="107" t="str">
        <f aca="false">IF(AE181=16,AA181*AB181*AC181*AD181*(AE181/1000)*1.578*1,IF(AE181&gt;16,"",IF(AE181&lt;16,"")))</f>
        <v/>
      </c>
      <c r="AK181" s="107" t="str">
        <f aca="false">IF(AE181=20,AA181*AB181*AC181*AD181*(AE181/1000)*2.466*1,IF(AE181&gt;20,"",IF(AE181&lt;20,"")))</f>
        <v/>
      </c>
      <c r="AL181" s="107" t="str">
        <f aca="false">IF(AE181=25,AA181*AB181*AC181*AD181*(AE181/1000)*3.853*1,IF(AE181&gt;25,"",IF(AE181&lt;25,"")))</f>
        <v/>
      </c>
      <c r="AM181" s="115" t="str">
        <f aca="false">IF(AE181=32,AA181*AB181*AC181*AD181*(AE181/1000)*6.313*1,IF(AE181&gt;32,"",IF(AE181&lt;32,"")))</f>
        <v/>
      </c>
      <c r="AN181" s="128"/>
      <c r="AO181" s="117" t="s">
        <v>178</v>
      </c>
      <c r="AP181" s="118" t="n">
        <f aca="false">SUM(R181:Y181)+SUM(AN181)</f>
        <v>36.4361364</v>
      </c>
      <c r="AQ181" s="118" t="n">
        <f aca="false">SUM(AF181:AM181)</f>
        <v>0</v>
      </c>
      <c r="AR181" s="118"/>
      <c r="AS181" s="119" t="s">
        <v>482</v>
      </c>
      <c r="AT181" s="119" t="s">
        <v>162</v>
      </c>
    </row>
    <row r="182" customFormat="false" ht="13.5" hidden="false" customHeight="false" outlineLevel="0" collapsed="false">
      <c r="A182" s="129"/>
      <c r="B182" s="172"/>
      <c r="C182" s="110"/>
      <c r="D182" s="122"/>
      <c r="E182" s="122"/>
      <c r="F182" s="173"/>
      <c r="G182" s="123"/>
      <c r="H182" s="101"/>
      <c r="I182" s="123"/>
      <c r="J182" s="101"/>
      <c r="K182" s="124" t="s">
        <v>550</v>
      </c>
      <c r="L182" s="125" t="n">
        <f aca="false">$E$179</f>
        <v>0.67</v>
      </c>
      <c r="M182" s="125" t="n">
        <v>0.1</v>
      </c>
      <c r="N182" s="126" t="n">
        <f aca="false">2*$C$179</f>
        <v>2</v>
      </c>
      <c r="O182" s="126" t="n">
        <f aca="false">CEILING(L182/M182,1)+1</f>
        <v>8</v>
      </c>
      <c r="P182" s="126" t="n">
        <v>8</v>
      </c>
      <c r="Q182" s="127" t="n">
        <f aca="false">2*($D$179-2*0.035)+2*($E$179-2*0.035)+20*8/1000</f>
        <v>1.7</v>
      </c>
      <c r="R182" s="105" t="str">
        <f aca="false">IF(P182=6,N182*O182*Q182*0.222*1,IF(P182&gt;6,"",IF(P182&lt;6,"")))</f>
        <v/>
      </c>
      <c r="S182" s="106" t="n">
        <f aca="false">IF(P182=8,N182*O182*Q182*0.395*1,IF(P182&gt;8,"",IF(P182&lt;8,"")))</f>
        <v>10.744</v>
      </c>
      <c r="T182" s="106" t="str">
        <f aca="false">IF(P182=10,N182*O182*Q182*0.617*1,IF(P182&gt;10,"",IF(P182&lt;10,"")))</f>
        <v/>
      </c>
      <c r="U182" s="106" t="str">
        <f aca="false">IF(P182=12,N182*O182*Q182*0.888*1,IF(P182&gt;12,"",IF(P182&lt;12,"")))</f>
        <v/>
      </c>
      <c r="V182" s="107" t="str">
        <f aca="false">IF(P182=16,N182*O182*Q182*1.578*1,IF(P182&gt;16,"",IF(P182&lt;16,"")))</f>
        <v/>
      </c>
      <c r="W182" s="106" t="str">
        <f aca="false">IF(P182=20,N182*O182*Q182*2.466*1,IF(P182&gt;20,"",IF(P182&lt;20,"")))</f>
        <v/>
      </c>
      <c r="X182" s="106" t="str">
        <f aca="false">IF(P182=25,N182*O182*Q182*3.853*1,IF(P182&gt;25,"",IF(P182&lt;25,"")))</f>
        <v/>
      </c>
      <c r="Y182" s="108" t="str">
        <f aca="false">IF(P182=32,N182*O182*Q182*6.313*1,IF(P182&gt;32,"",IF(P182&lt;32,"")))</f>
        <v/>
      </c>
      <c r="Z182" s="109"/>
      <c r="AA182" s="110" t="str">
        <f aca="false">IF(AC182&gt;0,N182,"")</f>
        <v/>
      </c>
      <c r="AB182" s="111" t="str">
        <f aca="false">IF(AC182&gt;0,O182,"")</f>
        <v/>
      </c>
      <c r="AC182" s="112"/>
      <c r="AD182" s="112"/>
      <c r="AE182" s="113" t="str">
        <f aca="false">IF(AC182&gt;0,P182,"")</f>
        <v/>
      </c>
      <c r="AF182" s="114" t="str">
        <f aca="false">IF(AE182=6,AA182*AB182*AC182*AD182*(AE182/1000)*0.222*1,IF(AE182&gt;6,"",IF(AE182&lt;6,"")))</f>
        <v/>
      </c>
      <c r="AG182" s="107" t="str">
        <f aca="false">IF(AE182=8,AA182*AB182*AC182*AD182*(AE182/1000)*0.395*1,IF(AE182&gt;8,"",IF(AE182&lt;8,"")))</f>
        <v/>
      </c>
      <c r="AH182" s="107" t="str">
        <f aca="false">IF(AE182=10,AA182*AB182*AC182*AD182*(AE182/1000)*0.617*1,IF(AE182&gt;10,"",IF(AE182&lt;10,"")))</f>
        <v/>
      </c>
      <c r="AI182" s="107" t="str">
        <f aca="false">IF(AE182=12,AA182*AB182*AC182*AD182*(AE182/1000)*0.888*1,IF(AE182&gt;12,"",IF(AE182&lt;12,"")))</f>
        <v/>
      </c>
      <c r="AJ182" s="107" t="str">
        <f aca="false">IF(AE182=16,AA182*AB182*AC182*AD182*(AE182/1000)*1.578*1,IF(AE182&gt;16,"",IF(AE182&lt;16,"")))</f>
        <v/>
      </c>
      <c r="AK182" s="107" t="str">
        <f aca="false">IF(AE182=20,AA182*AB182*AC182*AD182*(AE182/1000)*2.466*1,IF(AE182&gt;20,"",IF(AE182&lt;20,"")))</f>
        <v/>
      </c>
      <c r="AL182" s="107" t="str">
        <f aca="false">IF(AE182=25,AA182*AB182*AC182*AD182*(AE182/1000)*3.853*1,IF(AE182&gt;25,"",IF(AE182&lt;25,"")))</f>
        <v/>
      </c>
      <c r="AM182" s="115" t="str">
        <f aca="false">IF(AE182=32,AA182*AB182*AC182*AD182*(AE182/1000)*6.313*1,IF(AE182&gt;32,"",IF(AE182&lt;32,"")))</f>
        <v/>
      </c>
      <c r="AN182" s="128"/>
      <c r="AO182" s="117" t="s">
        <v>178</v>
      </c>
      <c r="AP182" s="118" t="n">
        <f aca="false">SUM(R182:Y182)+SUM(AN182)</f>
        <v>10.744</v>
      </c>
      <c r="AQ182" s="118" t="n">
        <f aca="false">SUM(AF182:AM182)</f>
        <v>0</v>
      </c>
      <c r="AR182" s="118"/>
      <c r="AS182" s="119" t="s">
        <v>551</v>
      </c>
      <c r="AT182" s="119" t="s">
        <v>162</v>
      </c>
    </row>
    <row r="183" customFormat="false" ht="13.5" hidden="false" customHeight="false" outlineLevel="0" collapsed="false">
      <c r="A183" s="129"/>
      <c r="B183" s="172"/>
      <c r="C183" s="110"/>
      <c r="D183" s="122"/>
      <c r="E183" s="122"/>
      <c r="F183" s="173"/>
      <c r="G183" s="123"/>
      <c r="H183" s="101"/>
      <c r="I183" s="123"/>
      <c r="J183" s="101"/>
      <c r="K183" s="124" t="s">
        <v>552</v>
      </c>
      <c r="L183" s="125" t="n">
        <f aca="false">$F$179-2*$E$179</f>
        <v>3.23649253731343</v>
      </c>
      <c r="M183" s="125" t="n">
        <v>0.15</v>
      </c>
      <c r="N183" s="126" t="n">
        <f aca="false">$C$179</f>
        <v>1</v>
      </c>
      <c r="O183" s="126" t="n">
        <f aca="false">CEILING(L183/M183,1)-1</f>
        <v>21</v>
      </c>
      <c r="P183" s="126" t="n">
        <v>8</v>
      </c>
      <c r="Q183" s="127" t="n">
        <f aca="false">2*($D$179-2*0.035)+2*($E$179-2*0.035)+20*8/1000</f>
        <v>1.7</v>
      </c>
      <c r="R183" s="105" t="str">
        <f aca="false">IF(P183=6,N183*O183*Q183*0.222*1,IF(P183&gt;6,"",IF(P183&lt;6,"")))</f>
        <v/>
      </c>
      <c r="S183" s="106" t="n">
        <f aca="false">IF(P183=8,N183*O183*Q183*0.395*1,IF(P183&gt;8,"",IF(P183&lt;8,"")))</f>
        <v>14.1015</v>
      </c>
      <c r="T183" s="106" t="str">
        <f aca="false">IF(P183=10,N183*O183*Q183*0.617*1,IF(P183&gt;10,"",IF(P183&lt;10,"")))</f>
        <v/>
      </c>
      <c r="U183" s="106" t="str">
        <f aca="false">IF(P183=12,N183*O183*Q183*0.888*1,IF(P183&gt;12,"",IF(P183&lt;12,"")))</f>
        <v/>
      </c>
      <c r="V183" s="107" t="str">
        <f aca="false">IF(P183=16,N183*O183*Q183*1.578*1,IF(P183&gt;16,"",IF(P183&lt;16,"")))</f>
        <v/>
      </c>
      <c r="W183" s="106" t="str">
        <f aca="false">IF(P183=20,N183*O183*Q183*2.466*1,IF(P183&gt;20,"",IF(P183&lt;20,"")))</f>
        <v/>
      </c>
      <c r="X183" s="106" t="str">
        <f aca="false">IF(P183=25,N183*O183*Q183*3.853*1,IF(P183&gt;25,"",IF(P183&lt;25,"")))</f>
        <v/>
      </c>
      <c r="Y183" s="108" t="str">
        <f aca="false">IF(P183=32,N183*O183*Q183*6.313*1,IF(P183&gt;32,"",IF(P183&lt;32,"")))</f>
        <v/>
      </c>
      <c r="Z183" s="109"/>
      <c r="AA183" s="110" t="str">
        <f aca="false">IF(AC183&gt;0,N183,"")</f>
        <v/>
      </c>
      <c r="AB183" s="111" t="str">
        <f aca="false">IF(AC183&gt;0,O183,"")</f>
        <v/>
      </c>
      <c r="AC183" s="112"/>
      <c r="AD183" s="112"/>
      <c r="AE183" s="113" t="str">
        <f aca="false">IF(AC183&gt;0,P183,"")</f>
        <v/>
      </c>
      <c r="AF183" s="114" t="str">
        <f aca="false">IF(AE183=6,AA183*AB183*AC183*AD183*(AE183/1000)*0.222*1,IF(AE183&gt;6,"",IF(AE183&lt;6,"")))</f>
        <v/>
      </c>
      <c r="AG183" s="107" t="str">
        <f aca="false">IF(AE183=8,AA183*AB183*AC183*AD183*(AE183/1000)*0.395*1,IF(AE183&gt;8,"",IF(AE183&lt;8,"")))</f>
        <v/>
      </c>
      <c r="AH183" s="107" t="str">
        <f aca="false">IF(AE183=10,AA183*AB183*AC183*AD183*(AE183/1000)*0.617*1,IF(AE183&gt;10,"",IF(AE183&lt;10,"")))</f>
        <v/>
      </c>
      <c r="AI183" s="107" t="str">
        <f aca="false">IF(AE183=12,AA183*AB183*AC183*AD183*(AE183/1000)*0.888*1,IF(AE183&gt;12,"",IF(AE183&lt;12,"")))</f>
        <v/>
      </c>
      <c r="AJ183" s="107" t="str">
        <f aca="false">IF(AE183=16,AA183*AB183*AC183*AD183*(AE183/1000)*1.578*1,IF(AE183&gt;16,"",IF(AE183&lt;16,"")))</f>
        <v/>
      </c>
      <c r="AK183" s="107" t="str">
        <f aca="false">IF(AE183=20,AA183*AB183*AC183*AD183*(AE183/1000)*2.466*1,IF(AE183&gt;20,"",IF(AE183&lt;20,"")))</f>
        <v/>
      </c>
      <c r="AL183" s="107" t="str">
        <f aca="false">IF(AE183=25,AA183*AB183*AC183*AD183*(AE183/1000)*3.853*1,IF(AE183&gt;25,"",IF(AE183&lt;25,"")))</f>
        <v/>
      </c>
      <c r="AM183" s="115" t="str">
        <f aca="false">IF(AE183=32,AA183*AB183*AC183*AD183*(AE183/1000)*6.313*1,IF(AE183&gt;32,"",IF(AE183&lt;32,"")))</f>
        <v/>
      </c>
      <c r="AN183" s="128"/>
      <c r="AO183" s="117" t="s">
        <v>178</v>
      </c>
      <c r="AP183" s="118" t="n">
        <f aca="false">SUM(R183:Y183)+SUM(AN183)</f>
        <v>14.1015</v>
      </c>
      <c r="AQ183" s="118" t="n">
        <f aca="false">SUM(AF183:AM183)</f>
        <v>0</v>
      </c>
      <c r="AR183" s="118"/>
      <c r="AS183" s="119"/>
      <c r="AT183" s="119" t="s">
        <v>162</v>
      </c>
    </row>
    <row r="184" customFormat="false" ht="13.5" hidden="false" customHeight="false" outlineLevel="0" collapsed="false">
      <c r="A184" s="129"/>
      <c r="B184" s="130"/>
      <c r="C184" s="110"/>
      <c r="D184" s="122"/>
      <c r="E184" s="122"/>
      <c r="F184" s="122"/>
      <c r="G184" s="123"/>
      <c r="H184" s="101"/>
      <c r="I184" s="123"/>
      <c r="J184" s="101"/>
      <c r="K184" s="124"/>
      <c r="L184" s="125"/>
      <c r="M184" s="125"/>
      <c r="N184" s="126"/>
      <c r="O184" s="126"/>
      <c r="P184" s="126"/>
      <c r="Q184" s="127"/>
      <c r="R184" s="105"/>
      <c r="S184" s="106"/>
      <c r="T184" s="106"/>
      <c r="U184" s="106"/>
      <c r="V184" s="107"/>
      <c r="W184" s="106"/>
      <c r="X184" s="106"/>
      <c r="Y184" s="108"/>
      <c r="Z184" s="109"/>
      <c r="AA184" s="110"/>
      <c r="AB184" s="111"/>
      <c r="AC184" s="112"/>
      <c r="AD184" s="112"/>
      <c r="AE184" s="113"/>
      <c r="AF184" s="114"/>
      <c r="AG184" s="107"/>
      <c r="AH184" s="107"/>
      <c r="AI184" s="107"/>
      <c r="AJ184" s="107"/>
      <c r="AK184" s="107"/>
      <c r="AL184" s="107"/>
      <c r="AM184" s="115"/>
      <c r="AO184" s="117"/>
      <c r="AP184" s="118"/>
      <c r="AQ184" s="118"/>
      <c r="AR184" s="118"/>
      <c r="AS184" s="119"/>
      <c r="AT184" s="119"/>
    </row>
    <row r="185" customFormat="false" ht="13.5" hidden="false" customHeight="false" outlineLevel="0" collapsed="false">
      <c r="A185" s="120"/>
      <c r="B185" s="121" t="s">
        <v>561</v>
      </c>
      <c r="C185" s="110" t="n">
        <v>1</v>
      </c>
      <c r="D185" s="122" t="n">
        <v>0.24</v>
      </c>
      <c r="E185" s="122" t="n">
        <v>0.34</v>
      </c>
      <c r="F185" s="122" t="n">
        <f aca="false">0.1397/(0.24*0.34)</f>
        <v>1.71200980392157</v>
      </c>
      <c r="G185" s="123" t="n">
        <f aca="false">C185*D185*E185*F185</f>
        <v>0.1397</v>
      </c>
      <c r="H185" s="101"/>
      <c r="I185" s="123" t="n">
        <f aca="false">C185*F185*(D185+(E185-0.34)+(E185-0.2))</f>
        <v>0.650563725490196</v>
      </c>
      <c r="J185" s="101"/>
      <c r="K185" s="124"/>
      <c r="L185" s="125"/>
      <c r="M185" s="125"/>
      <c r="N185" s="126"/>
      <c r="O185" s="126"/>
      <c r="P185" s="126"/>
      <c r="Q185" s="127"/>
      <c r="R185" s="105" t="str">
        <f aca="false">IF(P185=6,N185*O185*Q185*0.222*1,IF(P185&gt;6,"",IF(P185&lt;6,"")))</f>
        <v/>
      </c>
      <c r="S185" s="106" t="str">
        <f aca="false">IF(P185=8,N185*O185*Q185*0.395*1,IF(P185&gt;8,"",IF(P185&lt;8,"")))</f>
        <v/>
      </c>
      <c r="T185" s="106" t="str">
        <f aca="false">IF(P185=10,N185*O185*Q185*0.617*1,IF(P185&gt;10,"",IF(P185&lt;10,"")))</f>
        <v/>
      </c>
      <c r="U185" s="106" t="str">
        <f aca="false">IF(P185=12,N185*O185*Q185*0.888*1,IF(P185&gt;12,"",IF(P185&lt;12,"")))</f>
        <v/>
      </c>
      <c r="V185" s="107" t="str">
        <f aca="false">IF(P185=16,N185*O185*Q185*1.578*1,IF(P185&gt;16,"",IF(P185&lt;16,"")))</f>
        <v/>
      </c>
      <c r="W185" s="106" t="str">
        <f aca="false">IF(P185=20,N185*O185*Q185*2.466*1,IF(P185&gt;20,"",IF(P185&lt;20,"")))</f>
        <v/>
      </c>
      <c r="X185" s="106" t="str">
        <f aca="false">IF(P185=25,N185*O185*Q185*3.853*1,IF(P185&gt;25,"",IF(P185&lt;25,"")))</f>
        <v/>
      </c>
      <c r="Y185" s="108" t="str">
        <f aca="false">IF(P185=32,N185*O185*Q185*6.313*1,IF(P185&gt;32,"",IF(P185&lt;32,"")))</f>
        <v/>
      </c>
      <c r="Z185" s="109"/>
      <c r="AA185" s="110" t="str">
        <f aca="false">IF(AC185&gt;0,N185,"")</f>
        <v/>
      </c>
      <c r="AB185" s="111" t="str">
        <f aca="false">IF(AC185&gt;0,O185,"")</f>
        <v/>
      </c>
      <c r="AC185" s="112"/>
      <c r="AD185" s="112"/>
      <c r="AE185" s="113" t="str">
        <f aca="false">IF(AC185&gt;0,P185,"")</f>
        <v/>
      </c>
      <c r="AF185" s="114" t="str">
        <f aca="false">IF(AE185=6,AA185*AB185*AC185*AD185*(AE185/1000)*0.222*1,IF(AE185&gt;6,"",IF(AE185&lt;6,"")))</f>
        <v/>
      </c>
      <c r="AG185" s="107" t="str">
        <f aca="false">IF(AE185=8,AA185*AB185*AC185*AD185*(AE185/1000)*0.395*1,IF(AE185&gt;8,"",IF(AE185&lt;8,"")))</f>
        <v/>
      </c>
      <c r="AH185" s="107" t="str">
        <f aca="false">IF(AE185=10,AA185*AB185*AC185*AD185*(AE185/1000)*0.617*1,IF(AE185&gt;10,"",IF(AE185&lt;10,"")))</f>
        <v/>
      </c>
      <c r="AI185" s="107" t="str">
        <f aca="false">IF(AE185=12,AA185*AB185*AC185*AD185*(AE185/1000)*0.888*1,IF(AE185&gt;12,"",IF(AE185&lt;12,"")))</f>
        <v/>
      </c>
      <c r="AJ185" s="107" t="str">
        <f aca="false">IF(AE185=16,AA185*AB185*AC185*AD185*(AE185/1000)*1.578*1,IF(AE185&gt;16,"",IF(AE185&lt;16,"")))</f>
        <v/>
      </c>
      <c r="AK185" s="107" t="str">
        <f aca="false">IF(AE185=20,AA185*AB185*AC185*AD185*(AE185/1000)*2.466*1,IF(AE185&gt;20,"",IF(AE185&lt;20,"")))</f>
        <v/>
      </c>
      <c r="AL185" s="107" t="str">
        <f aca="false">IF(AE185=25,AA185*AB185*AC185*AD185*(AE185/1000)*3.853*1,IF(AE185&gt;25,"",IF(AE185&lt;25,"")))</f>
        <v/>
      </c>
      <c r="AM185" s="115" t="str">
        <f aca="false">IF(AE185=32,AA185*AB185*AC185*AD185*(AE185/1000)*6.313*1,IF(AE185&gt;32,"",IF(AE185&lt;32,"")))</f>
        <v/>
      </c>
      <c r="AN185" s="128"/>
      <c r="AO185" s="117" t="s">
        <v>178</v>
      </c>
      <c r="AP185" s="118" t="n">
        <f aca="false">SUM(R185:Y185)+SUM(AN185)</f>
        <v>0</v>
      </c>
      <c r="AQ185" s="118" t="n">
        <f aca="false">SUM(AF185:AM185)</f>
        <v>0</v>
      </c>
      <c r="AR185" s="118" t="n">
        <v>0.1397</v>
      </c>
      <c r="AS185" s="119" t="s">
        <v>562</v>
      </c>
      <c r="AT185" s="119" t="s">
        <v>209</v>
      </c>
    </row>
    <row r="186" customFormat="false" ht="13.5" hidden="false" customHeight="false" outlineLevel="0" collapsed="false">
      <c r="A186" s="129"/>
      <c r="B186" s="172"/>
      <c r="C186" s="110"/>
      <c r="D186" s="122"/>
      <c r="E186" s="122"/>
      <c r="F186" s="173"/>
      <c r="G186" s="123"/>
      <c r="H186" s="101"/>
      <c r="I186" s="123"/>
      <c r="J186" s="101"/>
      <c r="K186" s="124" t="s">
        <v>525</v>
      </c>
      <c r="L186" s="125"/>
      <c r="M186" s="125"/>
      <c r="N186" s="126" t="n">
        <f aca="false">$C$185</f>
        <v>1</v>
      </c>
      <c r="O186" s="126" t="n">
        <v>3</v>
      </c>
      <c r="P186" s="126" t="n">
        <v>12</v>
      </c>
      <c r="Q186" s="127" t="n">
        <f aca="false">1.7234+2*50*12/1000</f>
        <v>2.9234</v>
      </c>
      <c r="R186" s="105" t="str">
        <f aca="false">IF(P186=6,N186*O186*Q186*0.222*1,IF(P186&gt;6,"",IF(P186&lt;6,"")))</f>
        <v/>
      </c>
      <c r="S186" s="106" t="str">
        <f aca="false">IF(P186=8,N186*O186*Q186*0.395*1,IF(P186&gt;8,"",IF(P186&lt;8,"")))</f>
        <v/>
      </c>
      <c r="T186" s="106" t="str">
        <f aca="false">IF(P186=10,N186*O186*Q186*0.617*1,IF(P186&gt;10,"",IF(P186&lt;10,"")))</f>
        <v/>
      </c>
      <c r="U186" s="106" t="n">
        <f aca="false">IF(P186=12,N186*O186*Q186*0.888*1,IF(P186&gt;12,"",IF(P186&lt;12,"")))</f>
        <v>7.7879376</v>
      </c>
      <c r="V186" s="107" t="str">
        <f aca="false">IF(P186=16,N186*O186*Q186*1.578*1,IF(P186&gt;16,"",IF(P186&lt;16,"")))</f>
        <v/>
      </c>
      <c r="W186" s="106" t="str">
        <f aca="false">IF(P186=20,N186*O186*Q186*2.466*1,IF(P186&gt;20,"",IF(P186&lt;20,"")))</f>
        <v/>
      </c>
      <c r="X186" s="106" t="str">
        <f aca="false">IF(P186=25,N186*O186*Q186*3.853*1,IF(P186&gt;25,"",IF(P186&lt;25,"")))</f>
        <v/>
      </c>
      <c r="Y186" s="108" t="str">
        <f aca="false">IF(P186=32,N186*O186*Q186*6.313*1,IF(P186&gt;32,"",IF(P186&lt;32,"")))</f>
        <v/>
      </c>
      <c r="Z186" s="109"/>
      <c r="AA186" s="110" t="str">
        <f aca="false">IF(AC186&gt;0,N186,"")</f>
        <v/>
      </c>
      <c r="AB186" s="111" t="str">
        <f aca="false">IF(AC186&gt;0,O186,"")</f>
        <v/>
      </c>
      <c r="AC186" s="112"/>
      <c r="AD186" s="112"/>
      <c r="AE186" s="113" t="str">
        <f aca="false">IF(AC186&gt;0,P186,"")</f>
        <v/>
      </c>
      <c r="AF186" s="114" t="str">
        <f aca="false">IF(AE186=6,AA186*AB186*AC186*AD186*(AE186/1000)*0.222*1,IF(AE186&gt;6,"",IF(AE186&lt;6,"")))</f>
        <v/>
      </c>
      <c r="AG186" s="107" t="str">
        <f aca="false">IF(AE186=8,AA186*AB186*AC186*AD186*(AE186/1000)*0.395*1,IF(AE186&gt;8,"",IF(AE186&lt;8,"")))</f>
        <v/>
      </c>
      <c r="AH186" s="107" t="str">
        <f aca="false">IF(AE186=10,AA186*AB186*AC186*AD186*(AE186/1000)*0.617*1,IF(AE186&gt;10,"",IF(AE186&lt;10,"")))</f>
        <v/>
      </c>
      <c r="AI186" s="107" t="str">
        <f aca="false">IF(AE186=12,AA186*AB186*AC186*AD186*(AE186/1000)*0.888*1,IF(AE186&gt;12,"",IF(AE186&lt;12,"")))</f>
        <v/>
      </c>
      <c r="AJ186" s="107" t="str">
        <f aca="false">IF(AE186=16,AA186*AB186*AC186*AD186*(AE186/1000)*1.578*1,IF(AE186&gt;16,"",IF(AE186&lt;16,"")))</f>
        <v/>
      </c>
      <c r="AK186" s="107" t="str">
        <f aca="false">IF(AE186=20,AA186*AB186*AC186*AD186*(AE186/1000)*2.466*1,IF(AE186&gt;20,"",IF(AE186&lt;20,"")))</f>
        <v/>
      </c>
      <c r="AL186" s="107" t="str">
        <f aca="false">IF(AE186=25,AA186*AB186*AC186*AD186*(AE186/1000)*3.853*1,IF(AE186&gt;25,"",IF(AE186&lt;25,"")))</f>
        <v/>
      </c>
      <c r="AM186" s="115" t="str">
        <f aca="false">IF(AE186=32,AA186*AB186*AC186*AD186*(AE186/1000)*6.313*1,IF(AE186&gt;32,"",IF(AE186&lt;32,"")))</f>
        <v/>
      </c>
      <c r="AN186" s="128"/>
      <c r="AO186" s="117" t="s">
        <v>178</v>
      </c>
      <c r="AP186" s="118" t="n">
        <f aca="false">SUM(R186:Y186)+SUM(AN186)</f>
        <v>7.7879376</v>
      </c>
      <c r="AQ186" s="118" t="n">
        <f aca="false">SUM(AF186:AM186)</f>
        <v>0</v>
      </c>
      <c r="AR186" s="118"/>
      <c r="AS186" s="119" t="s">
        <v>482</v>
      </c>
      <c r="AT186" s="119" t="s">
        <v>162</v>
      </c>
    </row>
    <row r="187" customFormat="false" ht="13.5" hidden="false" customHeight="false" outlineLevel="0" collapsed="false">
      <c r="A187" s="129"/>
      <c r="B187" s="172"/>
      <c r="C187" s="110"/>
      <c r="D187" s="122"/>
      <c r="E187" s="122"/>
      <c r="F187" s="173"/>
      <c r="G187" s="123"/>
      <c r="H187" s="101"/>
      <c r="I187" s="123"/>
      <c r="J187" s="101"/>
      <c r="K187" s="124" t="s">
        <v>526</v>
      </c>
      <c r="L187" s="125"/>
      <c r="M187" s="125"/>
      <c r="N187" s="126" t="n">
        <f aca="false">$C$185</f>
        <v>1</v>
      </c>
      <c r="O187" s="126" t="n">
        <v>3</v>
      </c>
      <c r="P187" s="126" t="n">
        <v>12</v>
      </c>
      <c r="Q187" s="127" t="n">
        <f aca="false">1.7234+2*50*12/1000</f>
        <v>2.9234</v>
      </c>
      <c r="R187" s="105" t="str">
        <f aca="false">IF(P187=6,N187*O187*Q187*0.222*1,IF(P187&gt;6,"",IF(P187&lt;6,"")))</f>
        <v/>
      </c>
      <c r="S187" s="106" t="str">
        <f aca="false">IF(P187=8,N187*O187*Q187*0.395*1,IF(P187&gt;8,"",IF(P187&lt;8,"")))</f>
        <v/>
      </c>
      <c r="T187" s="106" t="str">
        <f aca="false">IF(P187=10,N187*O187*Q187*0.617*1,IF(P187&gt;10,"",IF(P187&lt;10,"")))</f>
        <v/>
      </c>
      <c r="U187" s="106" t="n">
        <f aca="false">IF(P187=12,N187*O187*Q187*0.888*1,IF(P187&gt;12,"",IF(P187&lt;12,"")))</f>
        <v>7.7879376</v>
      </c>
      <c r="V187" s="107" t="str">
        <f aca="false">IF(P187=16,N187*O187*Q187*1.578*1,IF(P187&gt;16,"",IF(P187&lt;16,"")))</f>
        <v/>
      </c>
      <c r="W187" s="106" t="str">
        <f aca="false">IF(P187=20,N187*O187*Q187*2.466*1,IF(P187&gt;20,"",IF(P187&lt;20,"")))</f>
        <v/>
      </c>
      <c r="X187" s="106" t="str">
        <f aca="false">IF(P187=25,N187*O187*Q187*3.853*1,IF(P187&gt;25,"",IF(P187&lt;25,"")))</f>
        <v/>
      </c>
      <c r="Y187" s="108" t="str">
        <f aca="false">IF(P187=32,N187*O187*Q187*6.313*1,IF(P187&gt;32,"",IF(P187&lt;32,"")))</f>
        <v/>
      </c>
      <c r="Z187" s="109"/>
      <c r="AA187" s="110" t="str">
        <f aca="false">IF(AC187&gt;0,N187,"")</f>
        <v/>
      </c>
      <c r="AB187" s="111" t="str">
        <f aca="false">IF(AC187&gt;0,O187,"")</f>
        <v/>
      </c>
      <c r="AC187" s="112"/>
      <c r="AD187" s="112"/>
      <c r="AE187" s="113" t="str">
        <f aca="false">IF(AC187&gt;0,P187,"")</f>
        <v/>
      </c>
      <c r="AF187" s="114" t="str">
        <f aca="false">IF(AE187=6,AA187*AB187*AC187*AD187*(AE187/1000)*0.222*1,IF(AE187&gt;6,"",IF(AE187&lt;6,"")))</f>
        <v/>
      </c>
      <c r="AG187" s="107" t="str">
        <f aca="false">IF(AE187=8,AA187*AB187*AC187*AD187*(AE187/1000)*0.395*1,IF(AE187&gt;8,"",IF(AE187&lt;8,"")))</f>
        <v/>
      </c>
      <c r="AH187" s="107" t="str">
        <f aca="false">IF(AE187=10,AA187*AB187*AC187*AD187*(AE187/1000)*0.617*1,IF(AE187&gt;10,"",IF(AE187&lt;10,"")))</f>
        <v/>
      </c>
      <c r="AI187" s="107" t="str">
        <f aca="false">IF(AE187=12,AA187*AB187*AC187*AD187*(AE187/1000)*0.888*1,IF(AE187&gt;12,"",IF(AE187&lt;12,"")))</f>
        <v/>
      </c>
      <c r="AJ187" s="107" t="str">
        <f aca="false">IF(AE187=16,AA187*AB187*AC187*AD187*(AE187/1000)*1.578*1,IF(AE187&gt;16,"",IF(AE187&lt;16,"")))</f>
        <v/>
      </c>
      <c r="AK187" s="107" t="str">
        <f aca="false">IF(AE187=20,AA187*AB187*AC187*AD187*(AE187/1000)*2.466*1,IF(AE187&gt;20,"",IF(AE187&lt;20,"")))</f>
        <v/>
      </c>
      <c r="AL187" s="107" t="str">
        <f aca="false">IF(AE187=25,AA187*AB187*AC187*AD187*(AE187/1000)*3.853*1,IF(AE187&gt;25,"",IF(AE187&lt;25,"")))</f>
        <v/>
      </c>
      <c r="AM187" s="115" t="str">
        <f aca="false">IF(AE187=32,AA187*AB187*AC187*AD187*(AE187/1000)*6.313*1,IF(AE187&gt;32,"",IF(AE187&lt;32,"")))</f>
        <v/>
      </c>
      <c r="AN187" s="128"/>
      <c r="AO187" s="117" t="s">
        <v>178</v>
      </c>
      <c r="AP187" s="118" t="n">
        <f aca="false">SUM(R187:Y187)+SUM(AN187)</f>
        <v>7.7879376</v>
      </c>
      <c r="AQ187" s="118" t="n">
        <f aca="false">SUM(AF187:AM187)</f>
        <v>0</v>
      </c>
      <c r="AR187" s="118"/>
      <c r="AS187" s="119" t="s">
        <v>482</v>
      </c>
      <c r="AT187" s="119" t="s">
        <v>162</v>
      </c>
    </row>
    <row r="188" customFormat="false" ht="13.5" hidden="false" customHeight="false" outlineLevel="0" collapsed="false">
      <c r="A188" s="129"/>
      <c r="B188" s="172"/>
      <c r="C188" s="110"/>
      <c r="D188" s="122"/>
      <c r="E188" s="122"/>
      <c r="F188" s="173"/>
      <c r="G188" s="123"/>
      <c r="H188" s="101"/>
      <c r="I188" s="123"/>
      <c r="J188" s="101"/>
      <c r="K188" s="124" t="s">
        <v>550</v>
      </c>
      <c r="L188" s="125" t="n">
        <f aca="false">$E$185</f>
        <v>0.34</v>
      </c>
      <c r="M188" s="125" t="n">
        <v>0.1</v>
      </c>
      <c r="N188" s="126" t="n">
        <f aca="false">2*$C$185</f>
        <v>2</v>
      </c>
      <c r="O188" s="126" t="n">
        <f aca="false">CEILING(L188/M188,1)+1</f>
        <v>5</v>
      </c>
      <c r="P188" s="126" t="n">
        <v>8</v>
      </c>
      <c r="Q188" s="127" t="n">
        <f aca="false">2*($D$185-2*0.035)+2*($E$185-2*0.035)+20*8/1000</f>
        <v>1.04</v>
      </c>
      <c r="R188" s="105" t="str">
        <f aca="false">IF(P188=6,N188*O188*Q188*0.222*1,IF(P188&gt;6,"",IF(P188&lt;6,"")))</f>
        <v/>
      </c>
      <c r="S188" s="106" t="n">
        <f aca="false">IF(P188=8,N188*O188*Q188*0.395*1,IF(P188&gt;8,"",IF(P188&lt;8,"")))</f>
        <v>4.108</v>
      </c>
      <c r="T188" s="106" t="str">
        <f aca="false">IF(P188=10,N188*O188*Q188*0.617*1,IF(P188&gt;10,"",IF(P188&lt;10,"")))</f>
        <v/>
      </c>
      <c r="U188" s="106" t="str">
        <f aca="false">IF(P188=12,N188*O188*Q188*0.888*1,IF(P188&gt;12,"",IF(P188&lt;12,"")))</f>
        <v/>
      </c>
      <c r="V188" s="107" t="str">
        <f aca="false">IF(P188=16,N188*O188*Q188*1.578*1,IF(P188&gt;16,"",IF(P188&lt;16,"")))</f>
        <v/>
      </c>
      <c r="W188" s="106" t="str">
        <f aca="false">IF(P188=20,N188*O188*Q188*2.466*1,IF(P188&gt;20,"",IF(P188&lt;20,"")))</f>
        <v/>
      </c>
      <c r="X188" s="106" t="str">
        <f aca="false">IF(P188=25,N188*O188*Q188*3.853*1,IF(P188&gt;25,"",IF(P188&lt;25,"")))</f>
        <v/>
      </c>
      <c r="Y188" s="108" t="str">
        <f aca="false">IF(P188=32,N188*O188*Q188*6.313*1,IF(P188&gt;32,"",IF(P188&lt;32,"")))</f>
        <v/>
      </c>
      <c r="Z188" s="109"/>
      <c r="AA188" s="110" t="str">
        <f aca="false">IF(AC188&gt;0,N188,"")</f>
        <v/>
      </c>
      <c r="AB188" s="111" t="str">
        <f aca="false">IF(AC188&gt;0,O188,"")</f>
        <v/>
      </c>
      <c r="AC188" s="112"/>
      <c r="AD188" s="112"/>
      <c r="AE188" s="113" t="str">
        <f aca="false">IF(AC188&gt;0,P188,"")</f>
        <v/>
      </c>
      <c r="AF188" s="114" t="str">
        <f aca="false">IF(AE188=6,AA188*AB188*AC188*AD188*(AE188/1000)*0.222*1,IF(AE188&gt;6,"",IF(AE188&lt;6,"")))</f>
        <v/>
      </c>
      <c r="AG188" s="107" t="str">
        <f aca="false">IF(AE188=8,AA188*AB188*AC188*AD188*(AE188/1000)*0.395*1,IF(AE188&gt;8,"",IF(AE188&lt;8,"")))</f>
        <v/>
      </c>
      <c r="AH188" s="107" t="str">
        <f aca="false">IF(AE188=10,AA188*AB188*AC188*AD188*(AE188/1000)*0.617*1,IF(AE188&gt;10,"",IF(AE188&lt;10,"")))</f>
        <v/>
      </c>
      <c r="AI188" s="107" t="str">
        <f aca="false">IF(AE188=12,AA188*AB188*AC188*AD188*(AE188/1000)*0.888*1,IF(AE188&gt;12,"",IF(AE188&lt;12,"")))</f>
        <v/>
      </c>
      <c r="AJ188" s="107" t="str">
        <f aca="false">IF(AE188=16,AA188*AB188*AC188*AD188*(AE188/1000)*1.578*1,IF(AE188&gt;16,"",IF(AE188&lt;16,"")))</f>
        <v/>
      </c>
      <c r="AK188" s="107" t="str">
        <f aca="false">IF(AE188=20,AA188*AB188*AC188*AD188*(AE188/1000)*2.466*1,IF(AE188&gt;20,"",IF(AE188&lt;20,"")))</f>
        <v/>
      </c>
      <c r="AL188" s="107" t="str">
        <f aca="false">IF(AE188=25,AA188*AB188*AC188*AD188*(AE188/1000)*3.853*1,IF(AE188&gt;25,"",IF(AE188&lt;25,"")))</f>
        <v/>
      </c>
      <c r="AM188" s="115" t="str">
        <f aca="false">IF(AE188=32,AA188*AB188*AC188*AD188*(AE188/1000)*6.313*1,IF(AE188&gt;32,"",IF(AE188&lt;32,"")))</f>
        <v/>
      </c>
      <c r="AN188" s="128"/>
      <c r="AO188" s="117" t="s">
        <v>178</v>
      </c>
      <c r="AP188" s="118" t="n">
        <f aca="false">SUM(R188:Y188)+SUM(AN188)</f>
        <v>4.108</v>
      </c>
      <c r="AQ188" s="118" t="n">
        <f aca="false">SUM(AF188:AM188)</f>
        <v>0</v>
      </c>
      <c r="AR188" s="118"/>
      <c r="AS188" s="119" t="s">
        <v>551</v>
      </c>
      <c r="AT188" s="119" t="s">
        <v>162</v>
      </c>
    </row>
    <row r="189" customFormat="false" ht="13.5" hidden="false" customHeight="false" outlineLevel="0" collapsed="false">
      <c r="A189" s="129"/>
      <c r="B189" s="172"/>
      <c r="C189" s="110"/>
      <c r="D189" s="122"/>
      <c r="E189" s="122"/>
      <c r="F189" s="173"/>
      <c r="G189" s="123"/>
      <c r="H189" s="101"/>
      <c r="I189" s="123"/>
      <c r="J189" s="101"/>
      <c r="K189" s="124" t="s">
        <v>563</v>
      </c>
      <c r="L189" s="125" t="n">
        <f aca="false">$F$185-2*$E$185</f>
        <v>1.03200980392157</v>
      </c>
      <c r="M189" s="125" t="n">
        <v>0.2</v>
      </c>
      <c r="N189" s="126" t="n">
        <f aca="false">$C$185</f>
        <v>1</v>
      </c>
      <c r="O189" s="126" t="n">
        <f aca="false">CEILING(L189/M189,1)-1</f>
        <v>5</v>
      </c>
      <c r="P189" s="126" t="n">
        <v>8</v>
      </c>
      <c r="Q189" s="127" t="n">
        <f aca="false">2*($D$185-2*0.035)+2*($E$185-2*0.035)+20*8/1000</f>
        <v>1.04</v>
      </c>
      <c r="R189" s="105" t="str">
        <f aca="false">IF(P189=6,N189*O189*Q189*0.222*1,IF(P189&gt;6,"",IF(P189&lt;6,"")))</f>
        <v/>
      </c>
      <c r="S189" s="106" t="n">
        <f aca="false">IF(P189=8,N189*O189*Q189*0.395*1,IF(P189&gt;8,"",IF(P189&lt;8,"")))</f>
        <v>2.054</v>
      </c>
      <c r="T189" s="106" t="str">
        <f aca="false">IF(P189=10,N189*O189*Q189*0.617*1,IF(P189&gt;10,"",IF(P189&lt;10,"")))</f>
        <v/>
      </c>
      <c r="U189" s="106" t="str">
        <f aca="false">IF(P189=12,N189*O189*Q189*0.888*1,IF(P189&gt;12,"",IF(P189&lt;12,"")))</f>
        <v/>
      </c>
      <c r="V189" s="107" t="str">
        <f aca="false">IF(P189=16,N189*O189*Q189*1.578*1,IF(P189&gt;16,"",IF(P189&lt;16,"")))</f>
        <v/>
      </c>
      <c r="W189" s="106" t="str">
        <f aca="false">IF(P189=20,N189*O189*Q189*2.466*1,IF(P189&gt;20,"",IF(P189&lt;20,"")))</f>
        <v/>
      </c>
      <c r="X189" s="106" t="str">
        <f aca="false">IF(P189=25,N189*O189*Q189*3.853*1,IF(P189&gt;25,"",IF(P189&lt;25,"")))</f>
        <v/>
      </c>
      <c r="Y189" s="108" t="str">
        <f aca="false">IF(P189=32,N189*O189*Q189*6.313*1,IF(P189&gt;32,"",IF(P189&lt;32,"")))</f>
        <v/>
      </c>
      <c r="Z189" s="109"/>
      <c r="AA189" s="110" t="str">
        <f aca="false">IF(AC189&gt;0,N189,"")</f>
        <v/>
      </c>
      <c r="AB189" s="111" t="str">
        <f aca="false">IF(AC189&gt;0,O189,"")</f>
        <v/>
      </c>
      <c r="AC189" s="112"/>
      <c r="AD189" s="112"/>
      <c r="AE189" s="113" t="str">
        <f aca="false">IF(AC189&gt;0,P189,"")</f>
        <v/>
      </c>
      <c r="AF189" s="114" t="str">
        <f aca="false">IF(AE189=6,AA189*AB189*AC189*AD189*(AE189/1000)*0.222*1,IF(AE189&gt;6,"",IF(AE189&lt;6,"")))</f>
        <v/>
      </c>
      <c r="AG189" s="107" t="str">
        <f aca="false">IF(AE189=8,AA189*AB189*AC189*AD189*(AE189/1000)*0.395*1,IF(AE189&gt;8,"",IF(AE189&lt;8,"")))</f>
        <v/>
      </c>
      <c r="AH189" s="107" t="str">
        <f aca="false">IF(AE189=10,AA189*AB189*AC189*AD189*(AE189/1000)*0.617*1,IF(AE189&gt;10,"",IF(AE189&lt;10,"")))</f>
        <v/>
      </c>
      <c r="AI189" s="107" t="str">
        <f aca="false">IF(AE189=12,AA189*AB189*AC189*AD189*(AE189/1000)*0.888*1,IF(AE189&gt;12,"",IF(AE189&lt;12,"")))</f>
        <v/>
      </c>
      <c r="AJ189" s="107" t="str">
        <f aca="false">IF(AE189=16,AA189*AB189*AC189*AD189*(AE189/1000)*1.578*1,IF(AE189&gt;16,"",IF(AE189&lt;16,"")))</f>
        <v/>
      </c>
      <c r="AK189" s="107" t="str">
        <f aca="false">IF(AE189=20,AA189*AB189*AC189*AD189*(AE189/1000)*2.466*1,IF(AE189&gt;20,"",IF(AE189&lt;20,"")))</f>
        <v/>
      </c>
      <c r="AL189" s="107" t="str">
        <f aca="false">IF(AE189=25,AA189*AB189*AC189*AD189*(AE189/1000)*3.853*1,IF(AE189&gt;25,"",IF(AE189&lt;25,"")))</f>
        <v/>
      </c>
      <c r="AM189" s="115" t="str">
        <f aca="false">IF(AE189=32,AA189*AB189*AC189*AD189*(AE189/1000)*6.313*1,IF(AE189&gt;32,"",IF(AE189&lt;32,"")))</f>
        <v/>
      </c>
      <c r="AN189" s="128"/>
      <c r="AO189" s="117" t="s">
        <v>178</v>
      </c>
      <c r="AP189" s="118" t="n">
        <f aca="false">SUM(R189:Y189)+SUM(AN189)</f>
        <v>2.054</v>
      </c>
      <c r="AQ189" s="118" t="n">
        <f aca="false">SUM(AF189:AM189)</f>
        <v>0</v>
      </c>
      <c r="AR189" s="118"/>
      <c r="AS189" s="119"/>
      <c r="AT189" s="119" t="s">
        <v>162</v>
      </c>
    </row>
    <row r="190" customFormat="false" ht="13.5" hidden="false" customHeight="false" outlineLevel="0" collapsed="false">
      <c r="A190" s="129"/>
      <c r="B190" s="130"/>
      <c r="C190" s="110"/>
      <c r="D190" s="122"/>
      <c r="E190" s="122"/>
      <c r="F190" s="122"/>
      <c r="G190" s="123"/>
      <c r="H190" s="101"/>
      <c r="I190" s="123"/>
      <c r="J190" s="101"/>
      <c r="K190" s="124"/>
      <c r="L190" s="125"/>
      <c r="M190" s="125"/>
      <c r="N190" s="126"/>
      <c r="O190" s="126"/>
      <c r="P190" s="126"/>
      <c r="Q190" s="127"/>
      <c r="R190" s="105"/>
      <c r="S190" s="106"/>
      <c r="T190" s="106"/>
      <c r="U190" s="106"/>
      <c r="V190" s="107"/>
      <c r="W190" s="106"/>
      <c r="X190" s="106"/>
      <c r="Y190" s="108"/>
      <c r="Z190" s="109"/>
      <c r="AA190" s="110"/>
      <c r="AB190" s="111"/>
      <c r="AC190" s="112"/>
      <c r="AD190" s="112"/>
      <c r="AE190" s="113"/>
      <c r="AF190" s="114"/>
      <c r="AG190" s="107"/>
      <c r="AH190" s="107"/>
      <c r="AI190" s="107"/>
      <c r="AJ190" s="107"/>
      <c r="AK190" s="107"/>
      <c r="AL190" s="107"/>
      <c r="AM190" s="115"/>
      <c r="AO190" s="117"/>
      <c r="AP190" s="118"/>
      <c r="AQ190" s="118"/>
      <c r="AR190" s="118"/>
      <c r="AS190" s="119"/>
      <c r="AT190" s="119"/>
    </row>
    <row r="191" customFormat="false" ht="13.5" hidden="false" customHeight="false" outlineLevel="0" collapsed="false">
      <c r="A191" s="120"/>
      <c r="B191" s="121" t="s">
        <v>564</v>
      </c>
      <c r="C191" s="110" t="n">
        <v>1</v>
      </c>
      <c r="D191" s="122" t="n">
        <v>0.24</v>
      </c>
      <c r="E191" s="122" t="n">
        <v>0.67</v>
      </c>
      <c r="F191" s="122" t="n">
        <f aca="false">1.133/(0.24*0.67)</f>
        <v>7.04601990049751</v>
      </c>
      <c r="G191" s="123" t="n">
        <f aca="false">C191*D191*E191*F191</f>
        <v>1.133</v>
      </c>
      <c r="H191" s="101"/>
      <c r="I191" s="123" t="n">
        <f aca="false">C191*F191*(D191+(E191-0.34)+(E191))</f>
        <v>8.73706467661692</v>
      </c>
      <c r="J191" s="101"/>
      <c r="K191" s="124"/>
      <c r="L191" s="125"/>
      <c r="M191" s="125"/>
      <c r="N191" s="126"/>
      <c r="O191" s="126"/>
      <c r="P191" s="126"/>
      <c r="Q191" s="127"/>
      <c r="R191" s="105" t="str">
        <f aca="false">IF(P191=6,N191*O191*Q191*0.222*1,IF(P191&gt;6,"",IF(P191&lt;6,"")))</f>
        <v/>
      </c>
      <c r="S191" s="106" t="str">
        <f aca="false">IF(P191=8,N191*O191*Q191*0.395*1,IF(P191&gt;8,"",IF(P191&lt;8,"")))</f>
        <v/>
      </c>
      <c r="T191" s="106" t="str">
        <f aca="false">IF(P191=10,N191*O191*Q191*0.617*1,IF(P191&gt;10,"",IF(P191&lt;10,"")))</f>
        <v/>
      </c>
      <c r="U191" s="106" t="str">
        <f aca="false">IF(P191=12,N191*O191*Q191*0.888*1,IF(P191&gt;12,"",IF(P191&lt;12,"")))</f>
        <v/>
      </c>
      <c r="V191" s="107" t="str">
        <f aca="false">IF(P191=16,N191*O191*Q191*1.578*1,IF(P191&gt;16,"",IF(P191&lt;16,"")))</f>
        <v/>
      </c>
      <c r="W191" s="106" t="str">
        <f aca="false">IF(P191=20,N191*O191*Q191*2.466*1,IF(P191&gt;20,"",IF(P191&lt;20,"")))</f>
        <v/>
      </c>
      <c r="X191" s="106" t="str">
        <f aca="false">IF(P191=25,N191*O191*Q191*3.853*1,IF(P191&gt;25,"",IF(P191&lt;25,"")))</f>
        <v/>
      </c>
      <c r="Y191" s="108" t="str">
        <f aca="false">IF(P191=32,N191*O191*Q191*6.313*1,IF(P191&gt;32,"",IF(P191&lt;32,"")))</f>
        <v/>
      </c>
      <c r="Z191" s="109"/>
      <c r="AA191" s="110" t="str">
        <f aca="false">IF(AC191&gt;0,N191,"")</f>
        <v/>
      </c>
      <c r="AB191" s="111" t="str">
        <f aca="false">IF(AC191&gt;0,O191,"")</f>
        <v/>
      </c>
      <c r="AC191" s="112"/>
      <c r="AD191" s="112"/>
      <c r="AE191" s="113" t="str">
        <f aca="false">IF(AC191&gt;0,P191,"")</f>
        <v/>
      </c>
      <c r="AF191" s="114" t="str">
        <f aca="false">IF(AE191=6,AA191*AB191*AC191*AD191*(AE191/1000)*0.222*1,IF(AE191&gt;6,"",IF(AE191&lt;6,"")))</f>
        <v/>
      </c>
      <c r="AG191" s="107" t="str">
        <f aca="false">IF(AE191=8,AA191*AB191*AC191*AD191*(AE191/1000)*0.395*1,IF(AE191&gt;8,"",IF(AE191&lt;8,"")))</f>
        <v/>
      </c>
      <c r="AH191" s="107" t="str">
        <f aca="false">IF(AE191=10,AA191*AB191*AC191*AD191*(AE191/1000)*0.617*1,IF(AE191&gt;10,"",IF(AE191&lt;10,"")))</f>
        <v/>
      </c>
      <c r="AI191" s="107" t="str">
        <f aca="false">IF(AE191=12,AA191*AB191*AC191*AD191*(AE191/1000)*0.888*1,IF(AE191&gt;12,"",IF(AE191&lt;12,"")))</f>
        <v/>
      </c>
      <c r="AJ191" s="107" t="str">
        <f aca="false">IF(AE191=16,AA191*AB191*AC191*AD191*(AE191/1000)*1.578*1,IF(AE191&gt;16,"",IF(AE191&lt;16,"")))</f>
        <v/>
      </c>
      <c r="AK191" s="107" t="str">
        <f aca="false">IF(AE191=20,AA191*AB191*AC191*AD191*(AE191/1000)*2.466*1,IF(AE191&gt;20,"",IF(AE191&lt;20,"")))</f>
        <v/>
      </c>
      <c r="AL191" s="107" t="str">
        <f aca="false">IF(AE191=25,AA191*AB191*AC191*AD191*(AE191/1000)*3.853*1,IF(AE191&gt;25,"",IF(AE191&lt;25,"")))</f>
        <v/>
      </c>
      <c r="AM191" s="115" t="str">
        <f aca="false">IF(AE191=32,AA191*AB191*AC191*AD191*(AE191/1000)*6.313*1,IF(AE191&gt;32,"",IF(AE191&lt;32,"")))</f>
        <v/>
      </c>
      <c r="AN191" s="128"/>
      <c r="AO191" s="117" t="s">
        <v>178</v>
      </c>
      <c r="AP191" s="118" t="n">
        <f aca="false">SUM(R191:Y191)+SUM(AN191)</f>
        <v>0</v>
      </c>
      <c r="AQ191" s="118" t="n">
        <f aca="false">SUM(AF191:AM191)</f>
        <v>0</v>
      </c>
      <c r="AR191" s="118" t="n">
        <v>1.133</v>
      </c>
      <c r="AS191" s="119" t="s">
        <v>565</v>
      </c>
      <c r="AT191" s="119" t="s">
        <v>209</v>
      </c>
    </row>
    <row r="192" customFormat="false" ht="13.5" hidden="false" customHeight="false" outlineLevel="0" collapsed="false">
      <c r="A192" s="129"/>
      <c r="B192" s="172"/>
      <c r="C192" s="110"/>
      <c r="D192" s="122"/>
      <c r="E192" s="122"/>
      <c r="F192" s="173"/>
      <c r="G192" s="123"/>
      <c r="H192" s="101"/>
      <c r="I192" s="123"/>
      <c r="J192" s="101"/>
      <c r="K192" s="124" t="s">
        <v>483</v>
      </c>
      <c r="L192" s="125"/>
      <c r="M192" s="125"/>
      <c r="N192" s="126" t="n">
        <f aca="false">$C$191</f>
        <v>1</v>
      </c>
      <c r="O192" s="126" t="n">
        <v>2</v>
      </c>
      <c r="P192" s="126" t="n">
        <v>20</v>
      </c>
      <c r="Q192" s="127" t="n">
        <f aca="false">7.5463+2*50*20/1000</f>
        <v>9.5463</v>
      </c>
      <c r="R192" s="105" t="str">
        <f aca="false">IF(P192=6,N192*O192*Q192*0.222*1,IF(P192&gt;6,"",IF(P192&lt;6,"")))</f>
        <v/>
      </c>
      <c r="S192" s="106" t="str">
        <f aca="false">IF(P192=8,N192*O192*Q192*0.395*1,IF(P192&gt;8,"",IF(P192&lt;8,"")))</f>
        <v/>
      </c>
      <c r="T192" s="106" t="str">
        <f aca="false">IF(P192=10,N192*O192*Q192*0.617*1,IF(P192&gt;10,"",IF(P192&lt;10,"")))</f>
        <v/>
      </c>
      <c r="U192" s="106" t="str">
        <f aca="false">IF(P192=12,N192*O192*Q192*0.888*1,IF(P192&gt;12,"",IF(P192&lt;12,"")))</f>
        <v/>
      </c>
      <c r="V192" s="107" t="str">
        <f aca="false">IF(P192=16,N192*O192*Q192*1.578*1,IF(P192&gt;16,"",IF(P192&lt;16,"")))</f>
        <v/>
      </c>
      <c r="W192" s="106" t="n">
        <f aca="false">IF(P192=20,N192*O192*Q192*2.466*1,IF(P192&gt;20,"",IF(P192&lt;20,"")))</f>
        <v>47.0823516</v>
      </c>
      <c r="X192" s="106" t="str">
        <f aca="false">IF(P192=25,N192*O192*Q192*3.853*1,IF(P192&gt;25,"",IF(P192&lt;25,"")))</f>
        <v/>
      </c>
      <c r="Y192" s="108" t="str">
        <f aca="false">IF(P192=32,N192*O192*Q192*6.313*1,IF(P192&gt;32,"",IF(P192&lt;32,"")))</f>
        <v/>
      </c>
      <c r="Z192" s="109"/>
      <c r="AA192" s="110" t="str">
        <f aca="false">IF(AC192&gt;0,N192,"")</f>
        <v/>
      </c>
      <c r="AB192" s="111" t="str">
        <f aca="false">IF(AC192&gt;0,O192,"")</f>
        <v/>
      </c>
      <c r="AC192" s="112"/>
      <c r="AD192" s="112"/>
      <c r="AE192" s="113" t="str">
        <f aca="false">IF(AC192&gt;0,P192,"")</f>
        <v/>
      </c>
      <c r="AF192" s="114" t="str">
        <f aca="false">IF(AE192=6,AA192*AB192*AC192*AD192*(AE192/1000)*0.222*1,IF(AE192&gt;6,"",IF(AE192&lt;6,"")))</f>
        <v/>
      </c>
      <c r="AG192" s="107" t="str">
        <f aca="false">IF(AE192=8,AA192*AB192*AC192*AD192*(AE192/1000)*0.395*1,IF(AE192&gt;8,"",IF(AE192&lt;8,"")))</f>
        <v/>
      </c>
      <c r="AH192" s="107" t="str">
        <f aca="false">IF(AE192=10,AA192*AB192*AC192*AD192*(AE192/1000)*0.617*1,IF(AE192&gt;10,"",IF(AE192&lt;10,"")))</f>
        <v/>
      </c>
      <c r="AI192" s="107" t="str">
        <f aca="false">IF(AE192=12,AA192*AB192*AC192*AD192*(AE192/1000)*0.888*1,IF(AE192&gt;12,"",IF(AE192&lt;12,"")))</f>
        <v/>
      </c>
      <c r="AJ192" s="107" t="str">
        <f aca="false">IF(AE192=16,AA192*AB192*AC192*AD192*(AE192/1000)*1.578*1,IF(AE192&gt;16,"",IF(AE192&lt;16,"")))</f>
        <v/>
      </c>
      <c r="AK192" s="107" t="str">
        <f aca="false">IF(AE192=20,AA192*AB192*AC192*AD192*(AE192/1000)*2.466*1,IF(AE192&gt;20,"",IF(AE192&lt;20,"")))</f>
        <v/>
      </c>
      <c r="AL192" s="107" t="str">
        <f aca="false">IF(AE192=25,AA192*AB192*AC192*AD192*(AE192/1000)*3.853*1,IF(AE192&gt;25,"",IF(AE192&lt;25,"")))</f>
        <v/>
      </c>
      <c r="AM192" s="115" t="str">
        <f aca="false">IF(AE192=32,AA192*AB192*AC192*AD192*(AE192/1000)*6.313*1,IF(AE192&gt;32,"",IF(AE192&lt;32,"")))</f>
        <v/>
      </c>
      <c r="AN192" s="128"/>
      <c r="AO192" s="117" t="s">
        <v>178</v>
      </c>
      <c r="AP192" s="118" t="n">
        <f aca="false">SUM(R192:Y192)+SUM(AN192)</f>
        <v>47.0823516</v>
      </c>
      <c r="AQ192" s="118" t="n">
        <f aca="false">SUM(AF192:AM192)</f>
        <v>0</v>
      </c>
      <c r="AR192" s="118"/>
      <c r="AS192" s="119" t="s">
        <v>482</v>
      </c>
      <c r="AT192" s="119" t="s">
        <v>162</v>
      </c>
    </row>
    <row r="193" customFormat="false" ht="13.5" hidden="false" customHeight="false" outlineLevel="0" collapsed="false">
      <c r="A193" s="129"/>
      <c r="B193" s="172"/>
      <c r="C193" s="110"/>
      <c r="D193" s="122"/>
      <c r="E193" s="122"/>
      <c r="F193" s="173"/>
      <c r="G193" s="123"/>
      <c r="H193" s="101"/>
      <c r="I193" s="123"/>
      <c r="J193" s="101"/>
      <c r="K193" s="124" t="s">
        <v>485</v>
      </c>
      <c r="L193" s="125"/>
      <c r="M193" s="125"/>
      <c r="N193" s="126" t="n">
        <f aca="false">$C$191</f>
        <v>1</v>
      </c>
      <c r="O193" s="126" t="n">
        <v>2</v>
      </c>
      <c r="P193" s="126" t="n">
        <v>20</v>
      </c>
      <c r="Q193" s="127" t="n">
        <f aca="false">7.5463+2*50*20/1000</f>
        <v>9.5463</v>
      </c>
      <c r="R193" s="105" t="str">
        <f aca="false">IF(P193=6,N193*O193*Q193*0.222*1,IF(P193&gt;6,"",IF(P193&lt;6,"")))</f>
        <v/>
      </c>
      <c r="S193" s="106" t="str">
        <f aca="false">IF(P193=8,N193*O193*Q193*0.395*1,IF(P193&gt;8,"",IF(P193&lt;8,"")))</f>
        <v/>
      </c>
      <c r="T193" s="106" t="str">
        <f aca="false">IF(P193=10,N193*O193*Q193*0.617*1,IF(P193&gt;10,"",IF(P193&lt;10,"")))</f>
        <v/>
      </c>
      <c r="U193" s="106" t="str">
        <f aca="false">IF(P193=12,N193*O193*Q193*0.888*1,IF(P193&gt;12,"",IF(P193&lt;12,"")))</f>
        <v/>
      </c>
      <c r="V193" s="107" t="str">
        <f aca="false">IF(P193=16,N193*O193*Q193*1.578*1,IF(P193&gt;16,"",IF(P193&lt;16,"")))</f>
        <v/>
      </c>
      <c r="W193" s="106" t="n">
        <f aca="false">IF(P193=20,N193*O193*Q193*2.466*1,IF(P193&gt;20,"",IF(P193&lt;20,"")))</f>
        <v>47.0823516</v>
      </c>
      <c r="X193" s="106" t="str">
        <f aca="false">IF(P193=25,N193*O193*Q193*3.853*1,IF(P193&gt;25,"",IF(P193&lt;25,"")))</f>
        <v/>
      </c>
      <c r="Y193" s="108" t="str">
        <f aca="false">IF(P193=32,N193*O193*Q193*6.313*1,IF(P193&gt;32,"",IF(P193&lt;32,"")))</f>
        <v/>
      </c>
      <c r="Z193" s="109"/>
      <c r="AA193" s="110" t="str">
        <f aca="false">IF(AC193&gt;0,N193,"")</f>
        <v/>
      </c>
      <c r="AB193" s="111" t="str">
        <f aca="false">IF(AC193&gt;0,O193,"")</f>
        <v/>
      </c>
      <c r="AC193" s="112"/>
      <c r="AD193" s="112"/>
      <c r="AE193" s="113" t="str">
        <f aca="false">IF(AC193&gt;0,P193,"")</f>
        <v/>
      </c>
      <c r="AF193" s="114" t="str">
        <f aca="false">IF(AE193=6,AA193*AB193*AC193*AD193*(AE193/1000)*0.222*1,IF(AE193&gt;6,"",IF(AE193&lt;6,"")))</f>
        <v/>
      </c>
      <c r="AG193" s="107" t="str">
        <f aca="false">IF(AE193=8,AA193*AB193*AC193*AD193*(AE193/1000)*0.395*1,IF(AE193&gt;8,"",IF(AE193&lt;8,"")))</f>
        <v/>
      </c>
      <c r="AH193" s="107" t="str">
        <f aca="false">IF(AE193=10,AA193*AB193*AC193*AD193*(AE193/1000)*0.617*1,IF(AE193&gt;10,"",IF(AE193&lt;10,"")))</f>
        <v/>
      </c>
      <c r="AI193" s="107" t="str">
        <f aca="false">IF(AE193=12,AA193*AB193*AC193*AD193*(AE193/1000)*0.888*1,IF(AE193&gt;12,"",IF(AE193&lt;12,"")))</f>
        <v/>
      </c>
      <c r="AJ193" s="107" t="str">
        <f aca="false">IF(AE193=16,AA193*AB193*AC193*AD193*(AE193/1000)*1.578*1,IF(AE193&gt;16,"",IF(AE193&lt;16,"")))</f>
        <v/>
      </c>
      <c r="AK193" s="107" t="str">
        <f aca="false">IF(AE193=20,AA193*AB193*AC193*AD193*(AE193/1000)*2.466*1,IF(AE193&gt;20,"",IF(AE193&lt;20,"")))</f>
        <v/>
      </c>
      <c r="AL193" s="107" t="str">
        <f aca="false">IF(AE193=25,AA193*AB193*AC193*AD193*(AE193/1000)*3.853*1,IF(AE193&gt;25,"",IF(AE193&lt;25,"")))</f>
        <v/>
      </c>
      <c r="AM193" s="115" t="str">
        <f aca="false">IF(AE193=32,AA193*AB193*AC193*AD193*(AE193/1000)*6.313*1,IF(AE193&gt;32,"",IF(AE193&lt;32,"")))</f>
        <v/>
      </c>
      <c r="AN193" s="128"/>
      <c r="AO193" s="117" t="s">
        <v>178</v>
      </c>
      <c r="AP193" s="118" t="n">
        <f aca="false">SUM(R193:Y193)+SUM(AN193)</f>
        <v>47.0823516</v>
      </c>
      <c r="AQ193" s="118" t="n">
        <f aca="false">SUM(AF193:AM193)</f>
        <v>0</v>
      </c>
      <c r="AR193" s="118"/>
      <c r="AS193" s="119" t="s">
        <v>482</v>
      </c>
      <c r="AT193" s="119" t="s">
        <v>162</v>
      </c>
    </row>
    <row r="194" customFormat="false" ht="13.5" hidden="false" customHeight="false" outlineLevel="0" collapsed="false">
      <c r="A194" s="129"/>
      <c r="B194" s="172"/>
      <c r="C194" s="110"/>
      <c r="D194" s="122"/>
      <c r="E194" s="122"/>
      <c r="F194" s="173"/>
      <c r="G194" s="123"/>
      <c r="H194" s="101"/>
      <c r="I194" s="123"/>
      <c r="J194" s="101"/>
      <c r="K194" s="124" t="s">
        <v>550</v>
      </c>
      <c r="L194" s="125" t="n">
        <f aca="false">$E$191</f>
        <v>0.67</v>
      </c>
      <c r="M194" s="125" t="n">
        <v>0.1</v>
      </c>
      <c r="N194" s="126" t="n">
        <f aca="false">2*$C$191</f>
        <v>2</v>
      </c>
      <c r="O194" s="126" t="n">
        <f aca="false">CEILING(L194/M194,1)+1</f>
        <v>8</v>
      </c>
      <c r="P194" s="126" t="n">
        <v>8</v>
      </c>
      <c r="Q194" s="127" t="n">
        <f aca="false">2*($D$191-2*0.035)+2*($E$191-2*0.035)+20*8/1000</f>
        <v>1.7</v>
      </c>
      <c r="R194" s="105" t="str">
        <f aca="false">IF(P194=6,N194*O194*Q194*0.222*1,IF(P194&gt;6,"",IF(P194&lt;6,"")))</f>
        <v/>
      </c>
      <c r="S194" s="106" t="n">
        <f aca="false">IF(P194=8,N194*O194*Q194*0.395*1,IF(P194&gt;8,"",IF(P194&lt;8,"")))</f>
        <v>10.744</v>
      </c>
      <c r="T194" s="106" t="str">
        <f aca="false">IF(P194=10,N194*O194*Q194*0.617*1,IF(P194&gt;10,"",IF(P194&lt;10,"")))</f>
        <v/>
      </c>
      <c r="U194" s="106" t="str">
        <f aca="false">IF(P194=12,N194*O194*Q194*0.888*1,IF(P194&gt;12,"",IF(P194&lt;12,"")))</f>
        <v/>
      </c>
      <c r="V194" s="107" t="str">
        <f aca="false">IF(P194=16,N194*O194*Q194*1.578*1,IF(P194&gt;16,"",IF(P194&lt;16,"")))</f>
        <v/>
      </c>
      <c r="W194" s="106" t="str">
        <f aca="false">IF(P194=20,N194*O194*Q194*2.466*1,IF(P194&gt;20,"",IF(P194&lt;20,"")))</f>
        <v/>
      </c>
      <c r="X194" s="106" t="str">
        <f aca="false">IF(P194=25,N194*O194*Q194*3.853*1,IF(P194&gt;25,"",IF(P194&lt;25,"")))</f>
        <v/>
      </c>
      <c r="Y194" s="108" t="str">
        <f aca="false">IF(P194=32,N194*O194*Q194*6.313*1,IF(P194&gt;32,"",IF(P194&lt;32,"")))</f>
        <v/>
      </c>
      <c r="Z194" s="109"/>
      <c r="AA194" s="110" t="str">
        <f aca="false">IF(AC194&gt;0,N194,"")</f>
        <v/>
      </c>
      <c r="AB194" s="111" t="str">
        <f aca="false">IF(AC194&gt;0,O194,"")</f>
        <v/>
      </c>
      <c r="AC194" s="112"/>
      <c r="AD194" s="112"/>
      <c r="AE194" s="113" t="str">
        <f aca="false">IF(AC194&gt;0,P194,"")</f>
        <v/>
      </c>
      <c r="AF194" s="114" t="str">
        <f aca="false">IF(AE194=6,AA194*AB194*AC194*AD194*(AE194/1000)*0.222*1,IF(AE194&gt;6,"",IF(AE194&lt;6,"")))</f>
        <v/>
      </c>
      <c r="AG194" s="107" t="str">
        <f aca="false">IF(AE194=8,AA194*AB194*AC194*AD194*(AE194/1000)*0.395*1,IF(AE194&gt;8,"",IF(AE194&lt;8,"")))</f>
        <v/>
      </c>
      <c r="AH194" s="107" t="str">
        <f aca="false">IF(AE194=10,AA194*AB194*AC194*AD194*(AE194/1000)*0.617*1,IF(AE194&gt;10,"",IF(AE194&lt;10,"")))</f>
        <v/>
      </c>
      <c r="AI194" s="107" t="str">
        <f aca="false">IF(AE194=12,AA194*AB194*AC194*AD194*(AE194/1000)*0.888*1,IF(AE194&gt;12,"",IF(AE194&lt;12,"")))</f>
        <v/>
      </c>
      <c r="AJ194" s="107" t="str">
        <f aca="false">IF(AE194=16,AA194*AB194*AC194*AD194*(AE194/1000)*1.578*1,IF(AE194&gt;16,"",IF(AE194&lt;16,"")))</f>
        <v/>
      </c>
      <c r="AK194" s="107" t="str">
        <f aca="false">IF(AE194=20,AA194*AB194*AC194*AD194*(AE194/1000)*2.466*1,IF(AE194&gt;20,"",IF(AE194&lt;20,"")))</f>
        <v/>
      </c>
      <c r="AL194" s="107" t="str">
        <f aca="false">IF(AE194=25,AA194*AB194*AC194*AD194*(AE194/1000)*3.853*1,IF(AE194&gt;25,"",IF(AE194&lt;25,"")))</f>
        <v/>
      </c>
      <c r="AM194" s="115" t="str">
        <f aca="false">IF(AE194=32,AA194*AB194*AC194*AD194*(AE194/1000)*6.313*1,IF(AE194&gt;32,"",IF(AE194&lt;32,"")))</f>
        <v/>
      </c>
      <c r="AN194" s="128"/>
      <c r="AO194" s="117" t="s">
        <v>178</v>
      </c>
      <c r="AP194" s="118" t="n">
        <f aca="false">SUM(R194:Y194)+SUM(AN194)</f>
        <v>10.744</v>
      </c>
      <c r="AQ194" s="118" t="n">
        <f aca="false">SUM(AF194:AM194)</f>
        <v>0</v>
      </c>
      <c r="AR194" s="118"/>
      <c r="AS194" s="119" t="s">
        <v>551</v>
      </c>
      <c r="AT194" s="119" t="s">
        <v>162</v>
      </c>
    </row>
    <row r="195" customFormat="false" ht="13.5" hidden="false" customHeight="false" outlineLevel="0" collapsed="false">
      <c r="A195" s="129"/>
      <c r="B195" s="172"/>
      <c r="C195" s="110"/>
      <c r="D195" s="122"/>
      <c r="E195" s="122"/>
      <c r="F195" s="173"/>
      <c r="G195" s="123"/>
      <c r="H195" s="101"/>
      <c r="I195" s="123"/>
      <c r="J195" s="101"/>
      <c r="K195" s="124" t="s">
        <v>552</v>
      </c>
      <c r="L195" s="125" t="n">
        <f aca="false">$F$191-2*$E$191</f>
        <v>5.70601990049751</v>
      </c>
      <c r="M195" s="125" t="n">
        <v>0.15</v>
      </c>
      <c r="N195" s="126" t="n">
        <f aca="false">$C$191</f>
        <v>1</v>
      </c>
      <c r="O195" s="126" t="n">
        <f aca="false">CEILING(L195/M195,1)-1</f>
        <v>38</v>
      </c>
      <c r="P195" s="126" t="n">
        <v>8</v>
      </c>
      <c r="Q195" s="127" t="n">
        <f aca="false">2*($D$191-2*0.035)+2*($E$191-2*0.035)+20*8/1000</f>
        <v>1.7</v>
      </c>
      <c r="R195" s="105" t="str">
        <f aca="false">IF(P195=6,N195*O195*Q195*0.222*1,IF(P195&gt;6,"",IF(P195&lt;6,"")))</f>
        <v/>
      </c>
      <c r="S195" s="106" t="n">
        <f aca="false">IF(P195=8,N195*O195*Q195*0.395*1,IF(P195&gt;8,"",IF(P195&lt;8,"")))</f>
        <v>25.517</v>
      </c>
      <c r="T195" s="106" t="str">
        <f aca="false">IF(P195=10,N195*O195*Q195*0.617*1,IF(P195&gt;10,"",IF(P195&lt;10,"")))</f>
        <v/>
      </c>
      <c r="U195" s="106" t="str">
        <f aca="false">IF(P195=12,N195*O195*Q195*0.888*1,IF(P195&gt;12,"",IF(P195&lt;12,"")))</f>
        <v/>
      </c>
      <c r="V195" s="107" t="str">
        <f aca="false">IF(P195=16,N195*O195*Q195*1.578*1,IF(P195&gt;16,"",IF(P195&lt;16,"")))</f>
        <v/>
      </c>
      <c r="W195" s="106" t="str">
        <f aca="false">IF(P195=20,N195*O195*Q195*2.466*1,IF(P195&gt;20,"",IF(P195&lt;20,"")))</f>
        <v/>
      </c>
      <c r="X195" s="106" t="str">
        <f aca="false">IF(P195=25,N195*O195*Q195*3.853*1,IF(P195&gt;25,"",IF(P195&lt;25,"")))</f>
        <v/>
      </c>
      <c r="Y195" s="108" t="str">
        <f aca="false">IF(P195=32,N195*O195*Q195*6.313*1,IF(P195&gt;32,"",IF(P195&lt;32,"")))</f>
        <v/>
      </c>
      <c r="Z195" s="109"/>
      <c r="AA195" s="110" t="str">
        <f aca="false">IF(AC195&gt;0,N195,"")</f>
        <v/>
      </c>
      <c r="AB195" s="111" t="str">
        <f aca="false">IF(AC195&gt;0,O195,"")</f>
        <v/>
      </c>
      <c r="AC195" s="112"/>
      <c r="AD195" s="112"/>
      <c r="AE195" s="113" t="str">
        <f aca="false">IF(AC195&gt;0,P195,"")</f>
        <v/>
      </c>
      <c r="AF195" s="114" t="str">
        <f aca="false">IF(AE195=6,AA195*AB195*AC195*AD195*(AE195/1000)*0.222*1,IF(AE195&gt;6,"",IF(AE195&lt;6,"")))</f>
        <v/>
      </c>
      <c r="AG195" s="107" t="str">
        <f aca="false">IF(AE195=8,AA195*AB195*AC195*AD195*(AE195/1000)*0.395*1,IF(AE195&gt;8,"",IF(AE195&lt;8,"")))</f>
        <v/>
      </c>
      <c r="AH195" s="107" t="str">
        <f aca="false">IF(AE195=10,AA195*AB195*AC195*AD195*(AE195/1000)*0.617*1,IF(AE195&gt;10,"",IF(AE195&lt;10,"")))</f>
        <v/>
      </c>
      <c r="AI195" s="107" t="str">
        <f aca="false">IF(AE195=12,AA195*AB195*AC195*AD195*(AE195/1000)*0.888*1,IF(AE195&gt;12,"",IF(AE195&lt;12,"")))</f>
        <v/>
      </c>
      <c r="AJ195" s="107" t="str">
        <f aca="false">IF(AE195=16,AA195*AB195*AC195*AD195*(AE195/1000)*1.578*1,IF(AE195&gt;16,"",IF(AE195&lt;16,"")))</f>
        <v/>
      </c>
      <c r="AK195" s="107" t="str">
        <f aca="false">IF(AE195=20,AA195*AB195*AC195*AD195*(AE195/1000)*2.466*1,IF(AE195&gt;20,"",IF(AE195&lt;20,"")))</f>
        <v/>
      </c>
      <c r="AL195" s="107" t="str">
        <f aca="false">IF(AE195=25,AA195*AB195*AC195*AD195*(AE195/1000)*3.853*1,IF(AE195&gt;25,"",IF(AE195&lt;25,"")))</f>
        <v/>
      </c>
      <c r="AM195" s="115" t="str">
        <f aca="false">IF(AE195=32,AA195*AB195*AC195*AD195*(AE195/1000)*6.313*1,IF(AE195&gt;32,"",IF(AE195&lt;32,"")))</f>
        <v/>
      </c>
      <c r="AN195" s="128"/>
      <c r="AO195" s="117" t="s">
        <v>178</v>
      </c>
      <c r="AP195" s="118" t="n">
        <f aca="false">SUM(R195:Y195)+SUM(AN195)</f>
        <v>25.517</v>
      </c>
      <c r="AQ195" s="118" t="n">
        <f aca="false">SUM(AF195:AM195)</f>
        <v>0</v>
      </c>
      <c r="AR195" s="118"/>
      <c r="AS195" s="119"/>
      <c r="AT195" s="119" t="s">
        <v>162</v>
      </c>
    </row>
    <row r="196" customFormat="false" ht="13.5" hidden="false" customHeight="false" outlineLevel="0" collapsed="false">
      <c r="A196" s="129"/>
      <c r="B196" s="130"/>
      <c r="C196" s="110"/>
      <c r="D196" s="122"/>
      <c r="E196" s="122"/>
      <c r="F196" s="122"/>
      <c r="G196" s="123"/>
      <c r="H196" s="101"/>
      <c r="I196" s="123"/>
      <c r="J196" s="101"/>
      <c r="K196" s="124"/>
      <c r="L196" s="125"/>
      <c r="M196" s="125"/>
      <c r="N196" s="126"/>
      <c r="O196" s="126"/>
      <c r="P196" s="126"/>
      <c r="Q196" s="127"/>
      <c r="R196" s="105"/>
      <c r="S196" s="106"/>
      <c r="T196" s="106"/>
      <c r="U196" s="106"/>
      <c r="V196" s="107"/>
      <c r="W196" s="106"/>
      <c r="X196" s="106"/>
      <c r="Y196" s="108"/>
      <c r="Z196" s="109"/>
      <c r="AA196" s="110"/>
      <c r="AB196" s="111"/>
      <c r="AC196" s="112"/>
      <c r="AD196" s="112"/>
      <c r="AE196" s="113"/>
      <c r="AF196" s="114"/>
      <c r="AG196" s="107"/>
      <c r="AH196" s="107"/>
      <c r="AI196" s="107"/>
      <c r="AJ196" s="107"/>
      <c r="AK196" s="107"/>
      <c r="AL196" s="107"/>
      <c r="AM196" s="115"/>
      <c r="AO196" s="117"/>
      <c r="AP196" s="118"/>
      <c r="AQ196" s="118"/>
      <c r="AR196" s="118"/>
      <c r="AS196" s="119"/>
      <c r="AT196" s="119"/>
    </row>
    <row r="197" customFormat="false" ht="13.5" hidden="false" customHeight="false" outlineLevel="0" collapsed="false">
      <c r="A197" s="120"/>
      <c r="B197" s="121" t="s">
        <v>566</v>
      </c>
      <c r="C197" s="110" t="n">
        <v>1</v>
      </c>
      <c r="D197" s="122" t="n">
        <v>0.24</v>
      </c>
      <c r="E197" s="122" t="n">
        <v>0.67</v>
      </c>
      <c r="F197" s="122" t="n">
        <f aca="false">0.5012/(0.24*0.67)</f>
        <v>3.11691542288557</v>
      </c>
      <c r="G197" s="123" t="n">
        <f aca="false">C197*D197*E197*F197</f>
        <v>0.5012</v>
      </c>
      <c r="H197" s="101"/>
      <c r="I197" s="123" t="n">
        <f aca="false">C197*F197*(D197+(E197-0.2)+(E197))</f>
        <v>4.30134328358209</v>
      </c>
      <c r="J197" s="101"/>
      <c r="K197" s="124"/>
      <c r="L197" s="125"/>
      <c r="M197" s="125"/>
      <c r="N197" s="126"/>
      <c r="O197" s="126"/>
      <c r="P197" s="126"/>
      <c r="Q197" s="127"/>
      <c r="R197" s="105" t="str">
        <f aca="false">IF(P197=6,N197*O197*Q197*0.222*1,IF(P197&gt;6,"",IF(P197&lt;6,"")))</f>
        <v/>
      </c>
      <c r="S197" s="106" t="str">
        <f aca="false">IF(P197=8,N197*O197*Q197*0.395*1,IF(P197&gt;8,"",IF(P197&lt;8,"")))</f>
        <v/>
      </c>
      <c r="T197" s="106" t="str">
        <f aca="false">IF(P197=10,N197*O197*Q197*0.617*1,IF(P197&gt;10,"",IF(P197&lt;10,"")))</f>
        <v/>
      </c>
      <c r="U197" s="106" t="str">
        <f aca="false">IF(P197=12,N197*O197*Q197*0.888*1,IF(P197&gt;12,"",IF(P197&lt;12,"")))</f>
        <v/>
      </c>
      <c r="V197" s="107" t="str">
        <f aca="false">IF(P197=16,N197*O197*Q197*1.578*1,IF(P197&gt;16,"",IF(P197&lt;16,"")))</f>
        <v/>
      </c>
      <c r="W197" s="106" t="str">
        <f aca="false">IF(P197=20,N197*O197*Q197*2.466*1,IF(P197&gt;20,"",IF(P197&lt;20,"")))</f>
        <v/>
      </c>
      <c r="X197" s="106" t="str">
        <f aca="false">IF(P197=25,N197*O197*Q197*3.853*1,IF(P197&gt;25,"",IF(P197&lt;25,"")))</f>
        <v/>
      </c>
      <c r="Y197" s="108" t="str">
        <f aca="false">IF(P197=32,N197*O197*Q197*6.313*1,IF(P197&gt;32,"",IF(P197&lt;32,"")))</f>
        <v/>
      </c>
      <c r="Z197" s="109"/>
      <c r="AA197" s="110" t="str">
        <f aca="false">IF(AC197&gt;0,N197,"")</f>
        <v/>
      </c>
      <c r="AB197" s="111" t="str">
        <f aca="false">IF(AC197&gt;0,O197,"")</f>
        <v/>
      </c>
      <c r="AC197" s="112"/>
      <c r="AD197" s="112"/>
      <c r="AE197" s="113" t="str">
        <f aca="false">IF(AC197&gt;0,P197,"")</f>
        <v/>
      </c>
      <c r="AF197" s="114" t="str">
        <f aca="false">IF(AE197=6,AA197*AB197*AC197*AD197*(AE197/1000)*0.222*1,IF(AE197&gt;6,"",IF(AE197&lt;6,"")))</f>
        <v/>
      </c>
      <c r="AG197" s="107" t="str">
        <f aca="false">IF(AE197=8,AA197*AB197*AC197*AD197*(AE197/1000)*0.395*1,IF(AE197&gt;8,"",IF(AE197&lt;8,"")))</f>
        <v/>
      </c>
      <c r="AH197" s="107" t="str">
        <f aca="false">IF(AE197=10,AA197*AB197*AC197*AD197*(AE197/1000)*0.617*1,IF(AE197&gt;10,"",IF(AE197&lt;10,"")))</f>
        <v/>
      </c>
      <c r="AI197" s="107" t="str">
        <f aca="false">IF(AE197=12,AA197*AB197*AC197*AD197*(AE197/1000)*0.888*1,IF(AE197&gt;12,"",IF(AE197&lt;12,"")))</f>
        <v/>
      </c>
      <c r="AJ197" s="107" t="str">
        <f aca="false">IF(AE197=16,AA197*AB197*AC197*AD197*(AE197/1000)*1.578*1,IF(AE197&gt;16,"",IF(AE197&lt;16,"")))</f>
        <v/>
      </c>
      <c r="AK197" s="107" t="str">
        <f aca="false">IF(AE197=20,AA197*AB197*AC197*AD197*(AE197/1000)*2.466*1,IF(AE197&gt;20,"",IF(AE197&lt;20,"")))</f>
        <v/>
      </c>
      <c r="AL197" s="107" t="str">
        <f aca="false">IF(AE197=25,AA197*AB197*AC197*AD197*(AE197/1000)*3.853*1,IF(AE197&gt;25,"",IF(AE197&lt;25,"")))</f>
        <v/>
      </c>
      <c r="AM197" s="115" t="str">
        <f aca="false">IF(AE197=32,AA197*AB197*AC197*AD197*(AE197/1000)*6.313*1,IF(AE197&gt;32,"",IF(AE197&lt;32,"")))</f>
        <v/>
      </c>
      <c r="AN197" s="128"/>
      <c r="AO197" s="117" t="s">
        <v>178</v>
      </c>
      <c r="AP197" s="118" t="n">
        <f aca="false">SUM(R197:Y197)+SUM(AN197)</f>
        <v>0</v>
      </c>
      <c r="AQ197" s="118" t="n">
        <f aca="false">SUM(AF197:AM197)</f>
        <v>0</v>
      </c>
      <c r="AR197" s="118" t="n">
        <v>0.5012</v>
      </c>
      <c r="AS197" s="119" t="s">
        <v>567</v>
      </c>
      <c r="AT197" s="119" t="s">
        <v>209</v>
      </c>
    </row>
    <row r="198" customFormat="false" ht="13.5" hidden="false" customHeight="false" outlineLevel="0" collapsed="false">
      <c r="A198" s="129"/>
      <c r="B198" s="172"/>
      <c r="C198" s="110"/>
      <c r="D198" s="122"/>
      <c r="E198" s="122"/>
      <c r="F198" s="173"/>
      <c r="G198" s="123"/>
      <c r="H198" s="101"/>
      <c r="I198" s="123"/>
      <c r="J198" s="101"/>
      <c r="K198" s="124" t="s">
        <v>483</v>
      </c>
      <c r="L198" s="125"/>
      <c r="M198" s="125"/>
      <c r="N198" s="126" t="n">
        <f aca="false">$C$197</f>
        <v>1</v>
      </c>
      <c r="O198" s="126" t="n">
        <v>2</v>
      </c>
      <c r="P198" s="126" t="n">
        <v>20</v>
      </c>
      <c r="Q198" s="127" t="n">
        <f aca="false">3.1281+2*50*20/1000</f>
        <v>5.1281</v>
      </c>
      <c r="R198" s="105" t="str">
        <f aca="false">IF(P198=6,N198*O198*Q198*0.222*1,IF(P198&gt;6,"",IF(P198&lt;6,"")))</f>
        <v/>
      </c>
      <c r="S198" s="106" t="str">
        <f aca="false">IF(P198=8,N198*O198*Q198*0.395*1,IF(P198&gt;8,"",IF(P198&lt;8,"")))</f>
        <v/>
      </c>
      <c r="T198" s="106" t="str">
        <f aca="false">IF(P198=10,N198*O198*Q198*0.617*1,IF(P198&gt;10,"",IF(P198&lt;10,"")))</f>
        <v/>
      </c>
      <c r="U198" s="106" t="str">
        <f aca="false">IF(P198=12,N198*O198*Q198*0.888*1,IF(P198&gt;12,"",IF(P198&lt;12,"")))</f>
        <v/>
      </c>
      <c r="V198" s="107" t="str">
        <f aca="false">IF(P198=16,N198*O198*Q198*1.578*1,IF(P198&gt;16,"",IF(P198&lt;16,"")))</f>
        <v/>
      </c>
      <c r="W198" s="106" t="n">
        <f aca="false">IF(P198=20,N198*O198*Q198*2.466*1,IF(P198&gt;20,"",IF(P198&lt;20,"")))</f>
        <v>25.2917892</v>
      </c>
      <c r="X198" s="106" t="str">
        <f aca="false">IF(P198=25,N198*O198*Q198*3.853*1,IF(P198&gt;25,"",IF(P198&lt;25,"")))</f>
        <v/>
      </c>
      <c r="Y198" s="108" t="str">
        <f aca="false">IF(P198=32,N198*O198*Q198*6.313*1,IF(P198&gt;32,"",IF(P198&lt;32,"")))</f>
        <v/>
      </c>
      <c r="Z198" s="109"/>
      <c r="AA198" s="110" t="str">
        <f aca="false">IF(AC198&gt;0,N198,"")</f>
        <v/>
      </c>
      <c r="AB198" s="111" t="str">
        <f aca="false">IF(AC198&gt;0,O198,"")</f>
        <v/>
      </c>
      <c r="AC198" s="112"/>
      <c r="AD198" s="112"/>
      <c r="AE198" s="113" t="str">
        <f aca="false">IF(AC198&gt;0,P198,"")</f>
        <v/>
      </c>
      <c r="AF198" s="114" t="str">
        <f aca="false">IF(AE198=6,AA198*AB198*AC198*AD198*(AE198/1000)*0.222*1,IF(AE198&gt;6,"",IF(AE198&lt;6,"")))</f>
        <v/>
      </c>
      <c r="AG198" s="107" t="str">
        <f aca="false">IF(AE198=8,AA198*AB198*AC198*AD198*(AE198/1000)*0.395*1,IF(AE198&gt;8,"",IF(AE198&lt;8,"")))</f>
        <v/>
      </c>
      <c r="AH198" s="107" t="str">
        <f aca="false">IF(AE198=10,AA198*AB198*AC198*AD198*(AE198/1000)*0.617*1,IF(AE198&gt;10,"",IF(AE198&lt;10,"")))</f>
        <v/>
      </c>
      <c r="AI198" s="107" t="str">
        <f aca="false">IF(AE198=12,AA198*AB198*AC198*AD198*(AE198/1000)*0.888*1,IF(AE198&gt;12,"",IF(AE198&lt;12,"")))</f>
        <v/>
      </c>
      <c r="AJ198" s="107" t="str">
        <f aca="false">IF(AE198=16,AA198*AB198*AC198*AD198*(AE198/1000)*1.578*1,IF(AE198&gt;16,"",IF(AE198&lt;16,"")))</f>
        <v/>
      </c>
      <c r="AK198" s="107" t="str">
        <f aca="false">IF(AE198=20,AA198*AB198*AC198*AD198*(AE198/1000)*2.466*1,IF(AE198&gt;20,"",IF(AE198&lt;20,"")))</f>
        <v/>
      </c>
      <c r="AL198" s="107" t="str">
        <f aca="false">IF(AE198=25,AA198*AB198*AC198*AD198*(AE198/1000)*3.853*1,IF(AE198&gt;25,"",IF(AE198&lt;25,"")))</f>
        <v/>
      </c>
      <c r="AM198" s="115" t="str">
        <f aca="false">IF(AE198=32,AA198*AB198*AC198*AD198*(AE198/1000)*6.313*1,IF(AE198&gt;32,"",IF(AE198&lt;32,"")))</f>
        <v/>
      </c>
      <c r="AN198" s="128"/>
      <c r="AO198" s="117" t="s">
        <v>178</v>
      </c>
      <c r="AP198" s="118" t="n">
        <f aca="false">SUM(R198:Y198)+SUM(AN198)</f>
        <v>25.2917892</v>
      </c>
      <c r="AQ198" s="118" t="n">
        <f aca="false">SUM(AF198:AM198)</f>
        <v>0</v>
      </c>
      <c r="AR198" s="118"/>
      <c r="AS198" s="119" t="s">
        <v>482</v>
      </c>
      <c r="AT198" s="119" t="s">
        <v>162</v>
      </c>
    </row>
    <row r="199" customFormat="false" ht="13.5" hidden="false" customHeight="false" outlineLevel="0" collapsed="false">
      <c r="A199" s="129"/>
      <c r="B199" s="172"/>
      <c r="C199" s="110"/>
      <c r="D199" s="122"/>
      <c r="E199" s="122"/>
      <c r="F199" s="173"/>
      <c r="G199" s="123"/>
      <c r="H199" s="101"/>
      <c r="I199" s="123"/>
      <c r="J199" s="101"/>
      <c r="K199" s="124" t="s">
        <v>485</v>
      </c>
      <c r="L199" s="125"/>
      <c r="M199" s="125"/>
      <c r="N199" s="126" t="n">
        <f aca="false">$C$197</f>
        <v>1</v>
      </c>
      <c r="O199" s="126" t="n">
        <v>2</v>
      </c>
      <c r="P199" s="126" t="n">
        <v>20</v>
      </c>
      <c r="Q199" s="127" t="n">
        <f aca="false">3.1281+2*50*20/1000</f>
        <v>5.1281</v>
      </c>
      <c r="R199" s="105" t="str">
        <f aca="false">IF(P199=6,N199*O199*Q199*0.222*1,IF(P199&gt;6,"",IF(P199&lt;6,"")))</f>
        <v/>
      </c>
      <c r="S199" s="106" t="str">
        <f aca="false">IF(P199=8,N199*O199*Q199*0.395*1,IF(P199&gt;8,"",IF(P199&lt;8,"")))</f>
        <v/>
      </c>
      <c r="T199" s="106" t="str">
        <f aca="false">IF(P199=10,N199*O199*Q199*0.617*1,IF(P199&gt;10,"",IF(P199&lt;10,"")))</f>
        <v/>
      </c>
      <c r="U199" s="106" t="str">
        <f aca="false">IF(P199=12,N199*O199*Q199*0.888*1,IF(P199&gt;12,"",IF(P199&lt;12,"")))</f>
        <v/>
      </c>
      <c r="V199" s="107" t="str">
        <f aca="false">IF(P199=16,N199*O199*Q199*1.578*1,IF(P199&gt;16,"",IF(P199&lt;16,"")))</f>
        <v/>
      </c>
      <c r="W199" s="106" t="n">
        <f aca="false">IF(P199=20,N199*O199*Q199*2.466*1,IF(P199&gt;20,"",IF(P199&lt;20,"")))</f>
        <v>25.2917892</v>
      </c>
      <c r="X199" s="106" t="str">
        <f aca="false">IF(P199=25,N199*O199*Q199*3.853*1,IF(P199&gt;25,"",IF(P199&lt;25,"")))</f>
        <v/>
      </c>
      <c r="Y199" s="108" t="str">
        <f aca="false">IF(P199=32,N199*O199*Q199*6.313*1,IF(P199&gt;32,"",IF(P199&lt;32,"")))</f>
        <v/>
      </c>
      <c r="Z199" s="109"/>
      <c r="AA199" s="110" t="str">
        <f aca="false">IF(AC199&gt;0,N199,"")</f>
        <v/>
      </c>
      <c r="AB199" s="111" t="str">
        <f aca="false">IF(AC199&gt;0,O199,"")</f>
        <v/>
      </c>
      <c r="AC199" s="112"/>
      <c r="AD199" s="112"/>
      <c r="AE199" s="113" t="str">
        <f aca="false">IF(AC199&gt;0,P199,"")</f>
        <v/>
      </c>
      <c r="AF199" s="114" t="str">
        <f aca="false">IF(AE199=6,AA199*AB199*AC199*AD199*(AE199/1000)*0.222*1,IF(AE199&gt;6,"",IF(AE199&lt;6,"")))</f>
        <v/>
      </c>
      <c r="AG199" s="107" t="str">
        <f aca="false">IF(AE199=8,AA199*AB199*AC199*AD199*(AE199/1000)*0.395*1,IF(AE199&gt;8,"",IF(AE199&lt;8,"")))</f>
        <v/>
      </c>
      <c r="AH199" s="107" t="str">
        <f aca="false">IF(AE199=10,AA199*AB199*AC199*AD199*(AE199/1000)*0.617*1,IF(AE199&gt;10,"",IF(AE199&lt;10,"")))</f>
        <v/>
      </c>
      <c r="AI199" s="107" t="str">
        <f aca="false">IF(AE199=12,AA199*AB199*AC199*AD199*(AE199/1000)*0.888*1,IF(AE199&gt;12,"",IF(AE199&lt;12,"")))</f>
        <v/>
      </c>
      <c r="AJ199" s="107" t="str">
        <f aca="false">IF(AE199=16,AA199*AB199*AC199*AD199*(AE199/1000)*1.578*1,IF(AE199&gt;16,"",IF(AE199&lt;16,"")))</f>
        <v/>
      </c>
      <c r="AK199" s="107" t="str">
        <f aca="false">IF(AE199=20,AA199*AB199*AC199*AD199*(AE199/1000)*2.466*1,IF(AE199&gt;20,"",IF(AE199&lt;20,"")))</f>
        <v/>
      </c>
      <c r="AL199" s="107" t="str">
        <f aca="false">IF(AE199=25,AA199*AB199*AC199*AD199*(AE199/1000)*3.853*1,IF(AE199&gt;25,"",IF(AE199&lt;25,"")))</f>
        <v/>
      </c>
      <c r="AM199" s="115" t="str">
        <f aca="false">IF(AE199=32,AA199*AB199*AC199*AD199*(AE199/1000)*6.313*1,IF(AE199&gt;32,"",IF(AE199&lt;32,"")))</f>
        <v/>
      </c>
      <c r="AN199" s="128"/>
      <c r="AO199" s="117" t="s">
        <v>178</v>
      </c>
      <c r="AP199" s="118" t="n">
        <f aca="false">SUM(R199:Y199)+SUM(AN199)</f>
        <v>25.2917892</v>
      </c>
      <c r="AQ199" s="118" t="n">
        <f aca="false">SUM(AF199:AM199)</f>
        <v>0</v>
      </c>
      <c r="AR199" s="118"/>
      <c r="AS199" s="119" t="s">
        <v>482</v>
      </c>
      <c r="AT199" s="119" t="s">
        <v>162</v>
      </c>
    </row>
    <row r="200" customFormat="false" ht="13.5" hidden="false" customHeight="false" outlineLevel="0" collapsed="false">
      <c r="A200" s="129"/>
      <c r="B200" s="172"/>
      <c r="C200" s="110"/>
      <c r="D200" s="122"/>
      <c r="E200" s="122"/>
      <c r="F200" s="173"/>
      <c r="G200" s="123"/>
      <c r="H200" s="101"/>
      <c r="I200" s="123"/>
      <c r="J200" s="101"/>
      <c r="K200" s="124" t="s">
        <v>550</v>
      </c>
      <c r="L200" s="125" t="n">
        <f aca="false">$E$197</f>
        <v>0.67</v>
      </c>
      <c r="M200" s="125" t="n">
        <v>0.1</v>
      </c>
      <c r="N200" s="126" t="n">
        <f aca="false">2*$C$197</f>
        <v>2</v>
      </c>
      <c r="O200" s="126" t="n">
        <f aca="false">CEILING(L200/M200,1)+1</f>
        <v>8</v>
      </c>
      <c r="P200" s="126" t="n">
        <v>8</v>
      </c>
      <c r="Q200" s="127" t="n">
        <f aca="false">2*($D$197-2*0.035)+2*($E$197-2*0.035)+20*8/1000</f>
        <v>1.7</v>
      </c>
      <c r="R200" s="105" t="str">
        <f aca="false">IF(P200=6,N200*O200*Q200*0.222*1,IF(P200&gt;6,"",IF(P200&lt;6,"")))</f>
        <v/>
      </c>
      <c r="S200" s="106" t="n">
        <f aca="false">IF(P200=8,N200*O200*Q200*0.395*1,IF(P200&gt;8,"",IF(P200&lt;8,"")))</f>
        <v>10.744</v>
      </c>
      <c r="T200" s="106" t="str">
        <f aca="false">IF(P200=10,N200*O200*Q200*0.617*1,IF(P200&gt;10,"",IF(P200&lt;10,"")))</f>
        <v/>
      </c>
      <c r="U200" s="106" t="str">
        <f aca="false">IF(P200=12,N200*O200*Q200*0.888*1,IF(P200&gt;12,"",IF(P200&lt;12,"")))</f>
        <v/>
      </c>
      <c r="V200" s="107" t="str">
        <f aca="false">IF(P200=16,N200*O200*Q200*1.578*1,IF(P200&gt;16,"",IF(P200&lt;16,"")))</f>
        <v/>
      </c>
      <c r="W200" s="106" t="str">
        <f aca="false">IF(P200=20,N200*O200*Q200*2.466*1,IF(P200&gt;20,"",IF(P200&lt;20,"")))</f>
        <v/>
      </c>
      <c r="X200" s="106" t="str">
        <f aca="false">IF(P200=25,N200*O200*Q200*3.853*1,IF(P200&gt;25,"",IF(P200&lt;25,"")))</f>
        <v/>
      </c>
      <c r="Y200" s="108" t="str">
        <f aca="false">IF(P200=32,N200*O200*Q200*6.313*1,IF(P200&gt;32,"",IF(P200&lt;32,"")))</f>
        <v/>
      </c>
      <c r="Z200" s="109"/>
      <c r="AA200" s="110" t="str">
        <f aca="false">IF(AC200&gt;0,N200,"")</f>
        <v/>
      </c>
      <c r="AB200" s="111" t="str">
        <f aca="false">IF(AC200&gt;0,O200,"")</f>
        <v/>
      </c>
      <c r="AC200" s="112"/>
      <c r="AD200" s="112"/>
      <c r="AE200" s="113" t="str">
        <f aca="false">IF(AC200&gt;0,P200,"")</f>
        <v/>
      </c>
      <c r="AF200" s="114" t="str">
        <f aca="false">IF(AE200=6,AA200*AB200*AC200*AD200*(AE200/1000)*0.222*1,IF(AE200&gt;6,"",IF(AE200&lt;6,"")))</f>
        <v/>
      </c>
      <c r="AG200" s="107" t="str">
        <f aca="false">IF(AE200=8,AA200*AB200*AC200*AD200*(AE200/1000)*0.395*1,IF(AE200&gt;8,"",IF(AE200&lt;8,"")))</f>
        <v/>
      </c>
      <c r="AH200" s="107" t="str">
        <f aca="false">IF(AE200=10,AA200*AB200*AC200*AD200*(AE200/1000)*0.617*1,IF(AE200&gt;10,"",IF(AE200&lt;10,"")))</f>
        <v/>
      </c>
      <c r="AI200" s="107" t="str">
        <f aca="false">IF(AE200=12,AA200*AB200*AC200*AD200*(AE200/1000)*0.888*1,IF(AE200&gt;12,"",IF(AE200&lt;12,"")))</f>
        <v/>
      </c>
      <c r="AJ200" s="107" t="str">
        <f aca="false">IF(AE200=16,AA200*AB200*AC200*AD200*(AE200/1000)*1.578*1,IF(AE200&gt;16,"",IF(AE200&lt;16,"")))</f>
        <v/>
      </c>
      <c r="AK200" s="107" t="str">
        <f aca="false">IF(AE200=20,AA200*AB200*AC200*AD200*(AE200/1000)*2.466*1,IF(AE200&gt;20,"",IF(AE200&lt;20,"")))</f>
        <v/>
      </c>
      <c r="AL200" s="107" t="str">
        <f aca="false">IF(AE200=25,AA200*AB200*AC200*AD200*(AE200/1000)*3.853*1,IF(AE200&gt;25,"",IF(AE200&lt;25,"")))</f>
        <v/>
      </c>
      <c r="AM200" s="115" t="str">
        <f aca="false">IF(AE200=32,AA200*AB200*AC200*AD200*(AE200/1000)*6.313*1,IF(AE200&gt;32,"",IF(AE200&lt;32,"")))</f>
        <v/>
      </c>
      <c r="AN200" s="128"/>
      <c r="AO200" s="117" t="s">
        <v>178</v>
      </c>
      <c r="AP200" s="118" t="n">
        <f aca="false">SUM(R200:Y200)+SUM(AN200)</f>
        <v>10.744</v>
      </c>
      <c r="AQ200" s="118" t="n">
        <f aca="false">SUM(AF200:AM200)</f>
        <v>0</v>
      </c>
      <c r="AR200" s="118"/>
      <c r="AS200" s="119" t="s">
        <v>551</v>
      </c>
      <c r="AT200" s="119" t="s">
        <v>162</v>
      </c>
    </row>
    <row r="201" customFormat="false" ht="13.5" hidden="false" customHeight="false" outlineLevel="0" collapsed="false">
      <c r="A201" s="129"/>
      <c r="B201" s="172"/>
      <c r="C201" s="110"/>
      <c r="D201" s="122"/>
      <c r="E201" s="122"/>
      <c r="F201" s="173"/>
      <c r="G201" s="123"/>
      <c r="H201" s="101"/>
      <c r="I201" s="123"/>
      <c r="J201" s="101"/>
      <c r="K201" s="124" t="s">
        <v>552</v>
      </c>
      <c r="L201" s="125" t="n">
        <f aca="false">$F$197-2*$E$197</f>
        <v>1.77691542288557</v>
      </c>
      <c r="M201" s="125" t="n">
        <v>0.15</v>
      </c>
      <c r="N201" s="126" t="n">
        <f aca="false">$C$197</f>
        <v>1</v>
      </c>
      <c r="O201" s="126" t="n">
        <f aca="false">CEILING(L201/M201,1)-1</f>
        <v>11</v>
      </c>
      <c r="P201" s="126" t="n">
        <v>8</v>
      </c>
      <c r="Q201" s="127" t="n">
        <f aca="false">2*($D$197-2*0.035)+2*($E$197-2*0.035)+20*8/1000</f>
        <v>1.7</v>
      </c>
      <c r="R201" s="105" t="str">
        <f aca="false">IF(P201=6,N201*O201*Q201*0.222*1,IF(P201&gt;6,"",IF(P201&lt;6,"")))</f>
        <v/>
      </c>
      <c r="S201" s="106" t="n">
        <f aca="false">IF(P201=8,N201*O201*Q201*0.395*1,IF(P201&gt;8,"",IF(P201&lt;8,"")))</f>
        <v>7.3865</v>
      </c>
      <c r="T201" s="106" t="str">
        <f aca="false">IF(P201=10,N201*O201*Q201*0.617*1,IF(P201&gt;10,"",IF(P201&lt;10,"")))</f>
        <v/>
      </c>
      <c r="U201" s="106" t="str">
        <f aca="false">IF(P201=12,N201*O201*Q201*0.888*1,IF(P201&gt;12,"",IF(P201&lt;12,"")))</f>
        <v/>
      </c>
      <c r="V201" s="107" t="str">
        <f aca="false">IF(P201=16,N201*O201*Q201*1.578*1,IF(P201&gt;16,"",IF(P201&lt;16,"")))</f>
        <v/>
      </c>
      <c r="W201" s="106" t="str">
        <f aca="false">IF(P201=20,N201*O201*Q201*2.466*1,IF(P201&gt;20,"",IF(P201&lt;20,"")))</f>
        <v/>
      </c>
      <c r="X201" s="106" t="str">
        <f aca="false">IF(P201=25,N201*O201*Q201*3.853*1,IF(P201&gt;25,"",IF(P201&lt;25,"")))</f>
        <v/>
      </c>
      <c r="Y201" s="108" t="str">
        <f aca="false">IF(P201=32,N201*O201*Q201*6.313*1,IF(P201&gt;32,"",IF(P201&lt;32,"")))</f>
        <v/>
      </c>
      <c r="Z201" s="109"/>
      <c r="AA201" s="110" t="str">
        <f aca="false">IF(AC201&gt;0,N201,"")</f>
        <v/>
      </c>
      <c r="AB201" s="111" t="str">
        <f aca="false">IF(AC201&gt;0,O201,"")</f>
        <v/>
      </c>
      <c r="AC201" s="112"/>
      <c r="AD201" s="112"/>
      <c r="AE201" s="113" t="str">
        <f aca="false">IF(AC201&gt;0,P201,"")</f>
        <v/>
      </c>
      <c r="AF201" s="114" t="str">
        <f aca="false">IF(AE201=6,AA201*AB201*AC201*AD201*(AE201/1000)*0.222*1,IF(AE201&gt;6,"",IF(AE201&lt;6,"")))</f>
        <v/>
      </c>
      <c r="AG201" s="107" t="str">
        <f aca="false">IF(AE201=8,AA201*AB201*AC201*AD201*(AE201/1000)*0.395*1,IF(AE201&gt;8,"",IF(AE201&lt;8,"")))</f>
        <v/>
      </c>
      <c r="AH201" s="107" t="str">
        <f aca="false">IF(AE201=10,AA201*AB201*AC201*AD201*(AE201/1000)*0.617*1,IF(AE201&gt;10,"",IF(AE201&lt;10,"")))</f>
        <v/>
      </c>
      <c r="AI201" s="107" t="str">
        <f aca="false">IF(AE201=12,AA201*AB201*AC201*AD201*(AE201/1000)*0.888*1,IF(AE201&gt;12,"",IF(AE201&lt;12,"")))</f>
        <v/>
      </c>
      <c r="AJ201" s="107" t="str">
        <f aca="false">IF(AE201=16,AA201*AB201*AC201*AD201*(AE201/1000)*1.578*1,IF(AE201&gt;16,"",IF(AE201&lt;16,"")))</f>
        <v/>
      </c>
      <c r="AK201" s="107" t="str">
        <f aca="false">IF(AE201=20,AA201*AB201*AC201*AD201*(AE201/1000)*2.466*1,IF(AE201&gt;20,"",IF(AE201&lt;20,"")))</f>
        <v/>
      </c>
      <c r="AL201" s="107" t="str">
        <f aca="false">IF(AE201=25,AA201*AB201*AC201*AD201*(AE201/1000)*3.853*1,IF(AE201&gt;25,"",IF(AE201&lt;25,"")))</f>
        <v/>
      </c>
      <c r="AM201" s="115" t="str">
        <f aca="false">IF(AE201=32,AA201*AB201*AC201*AD201*(AE201/1000)*6.313*1,IF(AE201&gt;32,"",IF(AE201&lt;32,"")))</f>
        <v/>
      </c>
      <c r="AN201" s="128"/>
      <c r="AO201" s="117" t="s">
        <v>178</v>
      </c>
      <c r="AP201" s="118" t="n">
        <f aca="false">SUM(R201:Y201)+SUM(AN201)</f>
        <v>7.3865</v>
      </c>
      <c r="AQ201" s="118" t="n">
        <f aca="false">SUM(AF201:AM201)</f>
        <v>0</v>
      </c>
      <c r="AR201" s="118"/>
      <c r="AS201" s="119"/>
      <c r="AT201" s="119" t="s">
        <v>162</v>
      </c>
    </row>
    <row r="202" customFormat="false" ht="13.5" hidden="false" customHeight="false" outlineLevel="0" collapsed="false">
      <c r="A202" s="129"/>
      <c r="B202" s="130"/>
      <c r="C202" s="110"/>
      <c r="D202" s="122"/>
      <c r="E202" s="122"/>
      <c r="F202" s="122"/>
      <c r="G202" s="123"/>
      <c r="H202" s="101"/>
      <c r="I202" s="123"/>
      <c r="J202" s="101"/>
      <c r="K202" s="124"/>
      <c r="L202" s="125"/>
      <c r="M202" s="125"/>
      <c r="N202" s="126"/>
      <c r="O202" s="126"/>
      <c r="P202" s="126"/>
      <c r="Q202" s="127"/>
      <c r="R202" s="105"/>
      <c r="S202" s="106"/>
      <c r="T202" s="106"/>
      <c r="U202" s="106"/>
      <c r="V202" s="107"/>
      <c r="W202" s="106"/>
      <c r="X202" s="106"/>
      <c r="Y202" s="108"/>
      <c r="Z202" s="109"/>
      <c r="AA202" s="110"/>
      <c r="AB202" s="111"/>
      <c r="AC202" s="112"/>
      <c r="AD202" s="112"/>
      <c r="AE202" s="113"/>
      <c r="AF202" s="114"/>
      <c r="AG202" s="107"/>
      <c r="AH202" s="107"/>
      <c r="AI202" s="107"/>
      <c r="AJ202" s="107"/>
      <c r="AK202" s="107"/>
      <c r="AL202" s="107"/>
      <c r="AM202" s="115"/>
      <c r="AO202" s="117"/>
      <c r="AP202" s="118"/>
      <c r="AQ202" s="118"/>
      <c r="AR202" s="118"/>
      <c r="AS202" s="119"/>
      <c r="AT202" s="119"/>
    </row>
    <row r="203" customFormat="false" ht="13.5" hidden="false" customHeight="false" outlineLevel="0" collapsed="false">
      <c r="A203" s="120"/>
      <c r="B203" s="121" t="s">
        <v>568</v>
      </c>
      <c r="C203" s="110" t="n">
        <v>1</v>
      </c>
      <c r="D203" s="122" t="n">
        <v>0.24</v>
      </c>
      <c r="E203" s="122" t="n">
        <v>0.67</v>
      </c>
      <c r="F203" s="122" t="n">
        <f aca="false">1.3129/(0.24*0.67)</f>
        <v>8.16480099502488</v>
      </c>
      <c r="G203" s="123" t="n">
        <f aca="false">C203*D203*E203*F203</f>
        <v>1.3129</v>
      </c>
      <c r="H203" s="101"/>
      <c r="I203" s="123" t="n">
        <f aca="false">C203*F203*(D203+(E203-0.34)+(E203))</f>
        <v>10.1243532338308</v>
      </c>
      <c r="J203" s="101"/>
      <c r="K203" s="124"/>
      <c r="L203" s="125"/>
      <c r="M203" s="125"/>
      <c r="N203" s="126"/>
      <c r="O203" s="126"/>
      <c r="P203" s="126"/>
      <c r="Q203" s="127"/>
      <c r="R203" s="105" t="str">
        <f aca="false">IF(P203=6,N203*O203*Q203*0.222*1,IF(P203&gt;6,"",IF(P203&lt;6,"")))</f>
        <v/>
      </c>
      <c r="S203" s="106" t="str">
        <f aca="false">IF(P203=8,N203*O203*Q203*0.395*1,IF(P203&gt;8,"",IF(P203&lt;8,"")))</f>
        <v/>
      </c>
      <c r="T203" s="106" t="str">
        <f aca="false">IF(P203=10,N203*O203*Q203*0.617*1,IF(P203&gt;10,"",IF(P203&lt;10,"")))</f>
        <v/>
      </c>
      <c r="U203" s="106" t="str">
        <f aca="false">IF(P203=12,N203*O203*Q203*0.888*1,IF(P203&gt;12,"",IF(P203&lt;12,"")))</f>
        <v/>
      </c>
      <c r="V203" s="107" t="str">
        <f aca="false">IF(P203=16,N203*O203*Q203*1.578*1,IF(P203&gt;16,"",IF(P203&lt;16,"")))</f>
        <v/>
      </c>
      <c r="W203" s="106" t="str">
        <f aca="false">IF(P203=20,N203*O203*Q203*2.466*1,IF(P203&gt;20,"",IF(P203&lt;20,"")))</f>
        <v/>
      </c>
      <c r="X203" s="106" t="str">
        <f aca="false">IF(P203=25,N203*O203*Q203*3.853*1,IF(P203&gt;25,"",IF(P203&lt;25,"")))</f>
        <v/>
      </c>
      <c r="Y203" s="108" t="str">
        <f aca="false">IF(P203=32,N203*O203*Q203*6.313*1,IF(P203&gt;32,"",IF(P203&lt;32,"")))</f>
        <v/>
      </c>
      <c r="Z203" s="109"/>
      <c r="AA203" s="110" t="str">
        <f aca="false">IF(AC203&gt;0,N203,"")</f>
        <v/>
      </c>
      <c r="AB203" s="111" t="str">
        <f aca="false">IF(AC203&gt;0,O203,"")</f>
        <v/>
      </c>
      <c r="AC203" s="112"/>
      <c r="AD203" s="112"/>
      <c r="AE203" s="113" t="str">
        <f aca="false">IF(AC203&gt;0,P203,"")</f>
        <v/>
      </c>
      <c r="AF203" s="114" t="str">
        <f aca="false">IF(AE203=6,AA203*AB203*AC203*AD203*(AE203/1000)*0.222*1,IF(AE203&gt;6,"",IF(AE203&lt;6,"")))</f>
        <v/>
      </c>
      <c r="AG203" s="107" t="str">
        <f aca="false">IF(AE203=8,AA203*AB203*AC203*AD203*(AE203/1000)*0.395*1,IF(AE203&gt;8,"",IF(AE203&lt;8,"")))</f>
        <v/>
      </c>
      <c r="AH203" s="107" t="str">
        <f aca="false">IF(AE203=10,AA203*AB203*AC203*AD203*(AE203/1000)*0.617*1,IF(AE203&gt;10,"",IF(AE203&lt;10,"")))</f>
        <v/>
      </c>
      <c r="AI203" s="107" t="str">
        <f aca="false">IF(AE203=12,AA203*AB203*AC203*AD203*(AE203/1000)*0.888*1,IF(AE203&gt;12,"",IF(AE203&lt;12,"")))</f>
        <v/>
      </c>
      <c r="AJ203" s="107" t="str">
        <f aca="false">IF(AE203=16,AA203*AB203*AC203*AD203*(AE203/1000)*1.578*1,IF(AE203&gt;16,"",IF(AE203&lt;16,"")))</f>
        <v/>
      </c>
      <c r="AK203" s="107" t="str">
        <f aca="false">IF(AE203=20,AA203*AB203*AC203*AD203*(AE203/1000)*2.466*1,IF(AE203&gt;20,"",IF(AE203&lt;20,"")))</f>
        <v/>
      </c>
      <c r="AL203" s="107" t="str">
        <f aca="false">IF(AE203=25,AA203*AB203*AC203*AD203*(AE203/1000)*3.853*1,IF(AE203&gt;25,"",IF(AE203&lt;25,"")))</f>
        <v/>
      </c>
      <c r="AM203" s="115" t="str">
        <f aca="false">IF(AE203=32,AA203*AB203*AC203*AD203*(AE203/1000)*6.313*1,IF(AE203&gt;32,"",IF(AE203&lt;32,"")))</f>
        <v/>
      </c>
      <c r="AN203" s="128"/>
      <c r="AO203" s="117" t="s">
        <v>178</v>
      </c>
      <c r="AP203" s="118" t="n">
        <f aca="false">SUM(R203:Y203)+SUM(AN203)</f>
        <v>0</v>
      </c>
      <c r="AQ203" s="118" t="n">
        <f aca="false">SUM(AF203:AM203)</f>
        <v>0</v>
      </c>
      <c r="AR203" s="118" t="n">
        <v>1.3129</v>
      </c>
      <c r="AS203" s="119" t="s">
        <v>569</v>
      </c>
      <c r="AT203" s="119" t="s">
        <v>209</v>
      </c>
    </row>
    <row r="204" customFormat="false" ht="13.5" hidden="false" customHeight="false" outlineLevel="0" collapsed="false">
      <c r="A204" s="129"/>
      <c r="B204" s="172"/>
      <c r="C204" s="110"/>
      <c r="D204" s="122"/>
      <c r="E204" s="122"/>
      <c r="F204" s="173"/>
      <c r="G204" s="123"/>
      <c r="H204" s="101"/>
      <c r="I204" s="123"/>
      <c r="J204" s="101"/>
      <c r="K204" s="124" t="s">
        <v>483</v>
      </c>
      <c r="L204" s="125"/>
      <c r="M204" s="125"/>
      <c r="N204" s="126" t="n">
        <f aca="false">$C$203</f>
        <v>1</v>
      </c>
      <c r="O204" s="126" t="n">
        <v>2</v>
      </c>
      <c r="P204" s="126" t="n">
        <v>20</v>
      </c>
      <c r="Q204" s="127" t="n">
        <f aca="false">9.2002+2*50*20/1000</f>
        <v>11.2002</v>
      </c>
      <c r="R204" s="105" t="str">
        <f aca="false">IF(P204=6,N204*O204*Q204*0.222*1,IF(P204&gt;6,"",IF(P204&lt;6,"")))</f>
        <v/>
      </c>
      <c r="S204" s="106" t="str">
        <f aca="false">IF(P204=8,N204*O204*Q204*0.395*1,IF(P204&gt;8,"",IF(P204&lt;8,"")))</f>
        <v/>
      </c>
      <c r="T204" s="106" t="str">
        <f aca="false">IF(P204=10,N204*O204*Q204*0.617*1,IF(P204&gt;10,"",IF(P204&lt;10,"")))</f>
        <v/>
      </c>
      <c r="U204" s="106" t="str">
        <f aca="false">IF(P204=12,N204*O204*Q204*0.888*1,IF(P204&gt;12,"",IF(P204&lt;12,"")))</f>
        <v/>
      </c>
      <c r="V204" s="107" t="str">
        <f aca="false">IF(P204=16,N204*O204*Q204*1.578*1,IF(P204&gt;16,"",IF(P204&lt;16,"")))</f>
        <v/>
      </c>
      <c r="W204" s="106" t="n">
        <f aca="false">IF(P204=20,N204*O204*Q204*2.466*1,IF(P204&gt;20,"",IF(P204&lt;20,"")))</f>
        <v>55.2393864</v>
      </c>
      <c r="X204" s="106" t="str">
        <f aca="false">IF(P204=25,N204*O204*Q204*3.853*1,IF(P204&gt;25,"",IF(P204&lt;25,"")))</f>
        <v/>
      </c>
      <c r="Y204" s="108" t="str">
        <f aca="false">IF(P204=32,N204*O204*Q204*6.313*1,IF(P204&gt;32,"",IF(P204&lt;32,"")))</f>
        <v/>
      </c>
      <c r="Z204" s="109"/>
      <c r="AA204" s="110" t="str">
        <f aca="false">IF(AC204&gt;0,N204,"")</f>
        <v/>
      </c>
      <c r="AB204" s="111" t="str">
        <f aca="false">IF(AC204&gt;0,O204,"")</f>
        <v/>
      </c>
      <c r="AC204" s="112"/>
      <c r="AD204" s="112"/>
      <c r="AE204" s="113" t="str">
        <f aca="false">IF(AC204&gt;0,P204,"")</f>
        <v/>
      </c>
      <c r="AF204" s="114" t="str">
        <f aca="false">IF(AE204=6,AA204*AB204*AC204*AD204*(AE204/1000)*0.222*1,IF(AE204&gt;6,"",IF(AE204&lt;6,"")))</f>
        <v/>
      </c>
      <c r="AG204" s="107" t="str">
        <f aca="false">IF(AE204=8,AA204*AB204*AC204*AD204*(AE204/1000)*0.395*1,IF(AE204&gt;8,"",IF(AE204&lt;8,"")))</f>
        <v/>
      </c>
      <c r="AH204" s="107" t="str">
        <f aca="false">IF(AE204=10,AA204*AB204*AC204*AD204*(AE204/1000)*0.617*1,IF(AE204&gt;10,"",IF(AE204&lt;10,"")))</f>
        <v/>
      </c>
      <c r="AI204" s="107" t="str">
        <f aca="false">IF(AE204=12,AA204*AB204*AC204*AD204*(AE204/1000)*0.888*1,IF(AE204&gt;12,"",IF(AE204&lt;12,"")))</f>
        <v/>
      </c>
      <c r="AJ204" s="107" t="str">
        <f aca="false">IF(AE204=16,AA204*AB204*AC204*AD204*(AE204/1000)*1.578*1,IF(AE204&gt;16,"",IF(AE204&lt;16,"")))</f>
        <v/>
      </c>
      <c r="AK204" s="107" t="str">
        <f aca="false">IF(AE204=20,AA204*AB204*AC204*AD204*(AE204/1000)*2.466*1,IF(AE204&gt;20,"",IF(AE204&lt;20,"")))</f>
        <v/>
      </c>
      <c r="AL204" s="107" t="str">
        <f aca="false">IF(AE204=25,AA204*AB204*AC204*AD204*(AE204/1000)*3.853*1,IF(AE204&gt;25,"",IF(AE204&lt;25,"")))</f>
        <v/>
      </c>
      <c r="AM204" s="115" t="str">
        <f aca="false">IF(AE204=32,AA204*AB204*AC204*AD204*(AE204/1000)*6.313*1,IF(AE204&gt;32,"",IF(AE204&lt;32,"")))</f>
        <v/>
      </c>
      <c r="AN204" s="128"/>
      <c r="AO204" s="117" t="s">
        <v>178</v>
      </c>
      <c r="AP204" s="118" t="n">
        <f aca="false">SUM(R204:Y204)+SUM(AN204)</f>
        <v>55.2393864</v>
      </c>
      <c r="AQ204" s="118" t="n">
        <f aca="false">SUM(AF204:AM204)</f>
        <v>0</v>
      </c>
      <c r="AR204" s="118"/>
      <c r="AS204" s="119" t="s">
        <v>482</v>
      </c>
      <c r="AT204" s="119" t="s">
        <v>162</v>
      </c>
    </row>
    <row r="205" customFormat="false" ht="13.5" hidden="false" customHeight="false" outlineLevel="0" collapsed="false">
      <c r="A205" s="129"/>
      <c r="B205" s="172"/>
      <c r="C205" s="110"/>
      <c r="D205" s="122"/>
      <c r="E205" s="122"/>
      <c r="F205" s="173"/>
      <c r="G205" s="123"/>
      <c r="H205" s="101"/>
      <c r="I205" s="123"/>
      <c r="J205" s="101"/>
      <c r="K205" s="124" t="s">
        <v>485</v>
      </c>
      <c r="L205" s="125"/>
      <c r="M205" s="125"/>
      <c r="N205" s="126" t="n">
        <f aca="false">$C$203</f>
        <v>1</v>
      </c>
      <c r="O205" s="126" t="n">
        <v>2</v>
      </c>
      <c r="P205" s="126" t="n">
        <v>20</v>
      </c>
      <c r="Q205" s="127" t="n">
        <f aca="false">9.2002+2*50*20/1000</f>
        <v>11.2002</v>
      </c>
      <c r="R205" s="105" t="str">
        <f aca="false">IF(P205=6,N205*O205*Q205*0.222*1,IF(P205&gt;6,"",IF(P205&lt;6,"")))</f>
        <v/>
      </c>
      <c r="S205" s="106" t="str">
        <f aca="false">IF(P205=8,N205*O205*Q205*0.395*1,IF(P205&gt;8,"",IF(P205&lt;8,"")))</f>
        <v/>
      </c>
      <c r="T205" s="106" t="str">
        <f aca="false">IF(P205=10,N205*O205*Q205*0.617*1,IF(P205&gt;10,"",IF(P205&lt;10,"")))</f>
        <v/>
      </c>
      <c r="U205" s="106" t="str">
        <f aca="false">IF(P205=12,N205*O205*Q205*0.888*1,IF(P205&gt;12,"",IF(P205&lt;12,"")))</f>
        <v/>
      </c>
      <c r="V205" s="107" t="str">
        <f aca="false">IF(P205=16,N205*O205*Q205*1.578*1,IF(P205&gt;16,"",IF(P205&lt;16,"")))</f>
        <v/>
      </c>
      <c r="W205" s="106" t="n">
        <f aca="false">IF(P205=20,N205*O205*Q205*2.466*1,IF(P205&gt;20,"",IF(P205&lt;20,"")))</f>
        <v>55.2393864</v>
      </c>
      <c r="X205" s="106" t="str">
        <f aca="false">IF(P205=25,N205*O205*Q205*3.853*1,IF(P205&gt;25,"",IF(P205&lt;25,"")))</f>
        <v/>
      </c>
      <c r="Y205" s="108" t="str">
        <f aca="false">IF(P205=32,N205*O205*Q205*6.313*1,IF(P205&gt;32,"",IF(P205&lt;32,"")))</f>
        <v/>
      </c>
      <c r="Z205" s="109"/>
      <c r="AA205" s="110" t="str">
        <f aca="false">IF(AC205&gt;0,N205,"")</f>
        <v/>
      </c>
      <c r="AB205" s="111" t="str">
        <f aca="false">IF(AC205&gt;0,O205,"")</f>
        <v/>
      </c>
      <c r="AC205" s="112"/>
      <c r="AD205" s="112"/>
      <c r="AE205" s="113" t="str">
        <f aca="false">IF(AC205&gt;0,P205,"")</f>
        <v/>
      </c>
      <c r="AF205" s="114" t="str">
        <f aca="false">IF(AE205=6,AA205*AB205*AC205*AD205*(AE205/1000)*0.222*1,IF(AE205&gt;6,"",IF(AE205&lt;6,"")))</f>
        <v/>
      </c>
      <c r="AG205" s="107" t="str">
        <f aca="false">IF(AE205=8,AA205*AB205*AC205*AD205*(AE205/1000)*0.395*1,IF(AE205&gt;8,"",IF(AE205&lt;8,"")))</f>
        <v/>
      </c>
      <c r="AH205" s="107" t="str">
        <f aca="false">IF(AE205=10,AA205*AB205*AC205*AD205*(AE205/1000)*0.617*1,IF(AE205&gt;10,"",IF(AE205&lt;10,"")))</f>
        <v/>
      </c>
      <c r="AI205" s="107" t="str">
        <f aca="false">IF(AE205=12,AA205*AB205*AC205*AD205*(AE205/1000)*0.888*1,IF(AE205&gt;12,"",IF(AE205&lt;12,"")))</f>
        <v/>
      </c>
      <c r="AJ205" s="107" t="str">
        <f aca="false">IF(AE205=16,AA205*AB205*AC205*AD205*(AE205/1000)*1.578*1,IF(AE205&gt;16,"",IF(AE205&lt;16,"")))</f>
        <v/>
      </c>
      <c r="AK205" s="107" t="str">
        <f aca="false">IF(AE205=20,AA205*AB205*AC205*AD205*(AE205/1000)*2.466*1,IF(AE205&gt;20,"",IF(AE205&lt;20,"")))</f>
        <v/>
      </c>
      <c r="AL205" s="107" t="str">
        <f aca="false">IF(AE205=25,AA205*AB205*AC205*AD205*(AE205/1000)*3.853*1,IF(AE205&gt;25,"",IF(AE205&lt;25,"")))</f>
        <v/>
      </c>
      <c r="AM205" s="115" t="str">
        <f aca="false">IF(AE205=32,AA205*AB205*AC205*AD205*(AE205/1000)*6.313*1,IF(AE205&gt;32,"",IF(AE205&lt;32,"")))</f>
        <v/>
      </c>
      <c r="AN205" s="128"/>
      <c r="AO205" s="117" t="s">
        <v>178</v>
      </c>
      <c r="AP205" s="118" t="n">
        <f aca="false">SUM(R205:Y205)+SUM(AN205)</f>
        <v>55.2393864</v>
      </c>
      <c r="AQ205" s="118" t="n">
        <f aca="false">SUM(AF205:AM205)</f>
        <v>0</v>
      </c>
      <c r="AR205" s="118"/>
      <c r="AS205" s="119" t="s">
        <v>482</v>
      </c>
      <c r="AT205" s="119" t="s">
        <v>162</v>
      </c>
    </row>
    <row r="206" customFormat="false" ht="13.5" hidden="false" customHeight="false" outlineLevel="0" collapsed="false">
      <c r="A206" s="129"/>
      <c r="B206" s="172"/>
      <c r="C206" s="110"/>
      <c r="D206" s="122"/>
      <c r="E206" s="122"/>
      <c r="F206" s="173"/>
      <c r="G206" s="123"/>
      <c r="H206" s="101"/>
      <c r="I206" s="123"/>
      <c r="J206" s="101"/>
      <c r="K206" s="124" t="s">
        <v>550</v>
      </c>
      <c r="L206" s="125" t="n">
        <f aca="false">$E$203</f>
        <v>0.67</v>
      </c>
      <c r="M206" s="125" t="n">
        <v>0.1</v>
      </c>
      <c r="N206" s="126" t="n">
        <f aca="false">2*$C$203</f>
        <v>2</v>
      </c>
      <c r="O206" s="126" t="n">
        <f aca="false">CEILING(L206/M206,1)+1</f>
        <v>8</v>
      </c>
      <c r="P206" s="126" t="n">
        <v>8</v>
      </c>
      <c r="Q206" s="127" t="n">
        <f aca="false">2*($D$203-2*0.035)+2*($E$203-2*0.035)+20*8/1000</f>
        <v>1.7</v>
      </c>
      <c r="R206" s="105" t="str">
        <f aca="false">IF(P206=6,N206*O206*Q206*0.222*1,IF(P206&gt;6,"",IF(P206&lt;6,"")))</f>
        <v/>
      </c>
      <c r="S206" s="106" t="n">
        <f aca="false">IF(P206=8,N206*O206*Q206*0.395*1,IF(P206&gt;8,"",IF(P206&lt;8,"")))</f>
        <v>10.744</v>
      </c>
      <c r="T206" s="106" t="str">
        <f aca="false">IF(P206=10,N206*O206*Q206*0.617*1,IF(P206&gt;10,"",IF(P206&lt;10,"")))</f>
        <v/>
      </c>
      <c r="U206" s="106" t="str">
        <f aca="false">IF(P206=12,N206*O206*Q206*0.888*1,IF(P206&gt;12,"",IF(P206&lt;12,"")))</f>
        <v/>
      </c>
      <c r="V206" s="107" t="str">
        <f aca="false">IF(P206=16,N206*O206*Q206*1.578*1,IF(P206&gt;16,"",IF(P206&lt;16,"")))</f>
        <v/>
      </c>
      <c r="W206" s="106" t="str">
        <f aca="false">IF(P206=20,N206*O206*Q206*2.466*1,IF(P206&gt;20,"",IF(P206&lt;20,"")))</f>
        <v/>
      </c>
      <c r="X206" s="106" t="str">
        <f aca="false">IF(P206=25,N206*O206*Q206*3.853*1,IF(P206&gt;25,"",IF(P206&lt;25,"")))</f>
        <v/>
      </c>
      <c r="Y206" s="108" t="str">
        <f aca="false">IF(P206=32,N206*O206*Q206*6.313*1,IF(P206&gt;32,"",IF(P206&lt;32,"")))</f>
        <v/>
      </c>
      <c r="Z206" s="109"/>
      <c r="AA206" s="110" t="str">
        <f aca="false">IF(AC206&gt;0,N206,"")</f>
        <v/>
      </c>
      <c r="AB206" s="111" t="str">
        <f aca="false">IF(AC206&gt;0,O206,"")</f>
        <v/>
      </c>
      <c r="AC206" s="112"/>
      <c r="AD206" s="112"/>
      <c r="AE206" s="113" t="str">
        <f aca="false">IF(AC206&gt;0,P206,"")</f>
        <v/>
      </c>
      <c r="AF206" s="114" t="str">
        <f aca="false">IF(AE206=6,AA206*AB206*AC206*AD206*(AE206/1000)*0.222*1,IF(AE206&gt;6,"",IF(AE206&lt;6,"")))</f>
        <v/>
      </c>
      <c r="AG206" s="107" t="str">
        <f aca="false">IF(AE206=8,AA206*AB206*AC206*AD206*(AE206/1000)*0.395*1,IF(AE206&gt;8,"",IF(AE206&lt;8,"")))</f>
        <v/>
      </c>
      <c r="AH206" s="107" t="str">
        <f aca="false">IF(AE206=10,AA206*AB206*AC206*AD206*(AE206/1000)*0.617*1,IF(AE206&gt;10,"",IF(AE206&lt;10,"")))</f>
        <v/>
      </c>
      <c r="AI206" s="107" t="str">
        <f aca="false">IF(AE206=12,AA206*AB206*AC206*AD206*(AE206/1000)*0.888*1,IF(AE206&gt;12,"",IF(AE206&lt;12,"")))</f>
        <v/>
      </c>
      <c r="AJ206" s="107" t="str">
        <f aca="false">IF(AE206=16,AA206*AB206*AC206*AD206*(AE206/1000)*1.578*1,IF(AE206&gt;16,"",IF(AE206&lt;16,"")))</f>
        <v/>
      </c>
      <c r="AK206" s="107" t="str">
        <f aca="false">IF(AE206=20,AA206*AB206*AC206*AD206*(AE206/1000)*2.466*1,IF(AE206&gt;20,"",IF(AE206&lt;20,"")))</f>
        <v/>
      </c>
      <c r="AL206" s="107" t="str">
        <f aca="false">IF(AE206=25,AA206*AB206*AC206*AD206*(AE206/1000)*3.853*1,IF(AE206&gt;25,"",IF(AE206&lt;25,"")))</f>
        <v/>
      </c>
      <c r="AM206" s="115" t="str">
        <f aca="false">IF(AE206=32,AA206*AB206*AC206*AD206*(AE206/1000)*6.313*1,IF(AE206&gt;32,"",IF(AE206&lt;32,"")))</f>
        <v/>
      </c>
      <c r="AN206" s="128"/>
      <c r="AO206" s="117" t="s">
        <v>178</v>
      </c>
      <c r="AP206" s="118" t="n">
        <f aca="false">SUM(R206:Y206)+SUM(AN206)</f>
        <v>10.744</v>
      </c>
      <c r="AQ206" s="118" t="n">
        <f aca="false">SUM(AF206:AM206)</f>
        <v>0</v>
      </c>
      <c r="AR206" s="118"/>
      <c r="AS206" s="119" t="s">
        <v>551</v>
      </c>
      <c r="AT206" s="119" t="s">
        <v>162</v>
      </c>
    </row>
    <row r="207" customFormat="false" ht="13.5" hidden="false" customHeight="false" outlineLevel="0" collapsed="false">
      <c r="A207" s="129"/>
      <c r="B207" s="172"/>
      <c r="C207" s="110"/>
      <c r="D207" s="122"/>
      <c r="E207" s="122"/>
      <c r="F207" s="173"/>
      <c r="G207" s="123"/>
      <c r="H207" s="101"/>
      <c r="I207" s="123"/>
      <c r="J207" s="101"/>
      <c r="K207" s="124" t="s">
        <v>552</v>
      </c>
      <c r="L207" s="125" t="n">
        <f aca="false">$F$203-2*$E$203</f>
        <v>6.82480099502488</v>
      </c>
      <c r="M207" s="125" t="n">
        <v>0.15</v>
      </c>
      <c r="N207" s="126" t="n">
        <f aca="false">$C$203</f>
        <v>1</v>
      </c>
      <c r="O207" s="126" t="n">
        <f aca="false">CEILING(L207/M207,1)-1</f>
        <v>45</v>
      </c>
      <c r="P207" s="126" t="n">
        <v>8</v>
      </c>
      <c r="Q207" s="127" t="n">
        <f aca="false">2*($D$203-2*0.035)+2*($E$203-2*0.035)+20*8/1000</f>
        <v>1.7</v>
      </c>
      <c r="R207" s="105" t="str">
        <f aca="false">IF(P207=6,N207*O207*Q207*0.222*1,IF(P207&gt;6,"",IF(P207&lt;6,"")))</f>
        <v/>
      </c>
      <c r="S207" s="106" t="n">
        <f aca="false">IF(P207=8,N207*O207*Q207*0.395*1,IF(P207&gt;8,"",IF(P207&lt;8,"")))</f>
        <v>30.2175</v>
      </c>
      <c r="T207" s="106" t="str">
        <f aca="false">IF(P207=10,N207*O207*Q207*0.617*1,IF(P207&gt;10,"",IF(P207&lt;10,"")))</f>
        <v/>
      </c>
      <c r="U207" s="106" t="str">
        <f aca="false">IF(P207=12,N207*O207*Q207*0.888*1,IF(P207&gt;12,"",IF(P207&lt;12,"")))</f>
        <v/>
      </c>
      <c r="V207" s="107" t="str">
        <f aca="false">IF(P207=16,N207*O207*Q207*1.578*1,IF(P207&gt;16,"",IF(P207&lt;16,"")))</f>
        <v/>
      </c>
      <c r="W207" s="106" t="str">
        <f aca="false">IF(P207=20,N207*O207*Q207*2.466*1,IF(P207&gt;20,"",IF(P207&lt;20,"")))</f>
        <v/>
      </c>
      <c r="X207" s="106" t="str">
        <f aca="false">IF(P207=25,N207*O207*Q207*3.853*1,IF(P207&gt;25,"",IF(P207&lt;25,"")))</f>
        <v/>
      </c>
      <c r="Y207" s="108" t="str">
        <f aca="false">IF(P207=32,N207*O207*Q207*6.313*1,IF(P207&gt;32,"",IF(P207&lt;32,"")))</f>
        <v/>
      </c>
      <c r="Z207" s="109"/>
      <c r="AA207" s="110" t="str">
        <f aca="false">IF(AC207&gt;0,N207,"")</f>
        <v/>
      </c>
      <c r="AB207" s="111" t="str">
        <f aca="false">IF(AC207&gt;0,O207,"")</f>
        <v/>
      </c>
      <c r="AC207" s="112"/>
      <c r="AD207" s="112"/>
      <c r="AE207" s="113" t="str">
        <f aca="false">IF(AC207&gt;0,P207,"")</f>
        <v/>
      </c>
      <c r="AF207" s="114" t="str">
        <f aca="false">IF(AE207=6,AA207*AB207*AC207*AD207*(AE207/1000)*0.222*1,IF(AE207&gt;6,"",IF(AE207&lt;6,"")))</f>
        <v/>
      </c>
      <c r="AG207" s="107" t="str">
        <f aca="false">IF(AE207=8,AA207*AB207*AC207*AD207*(AE207/1000)*0.395*1,IF(AE207&gt;8,"",IF(AE207&lt;8,"")))</f>
        <v/>
      </c>
      <c r="AH207" s="107" t="str">
        <f aca="false">IF(AE207=10,AA207*AB207*AC207*AD207*(AE207/1000)*0.617*1,IF(AE207&gt;10,"",IF(AE207&lt;10,"")))</f>
        <v/>
      </c>
      <c r="AI207" s="107" t="str">
        <f aca="false">IF(AE207=12,AA207*AB207*AC207*AD207*(AE207/1000)*0.888*1,IF(AE207&gt;12,"",IF(AE207&lt;12,"")))</f>
        <v/>
      </c>
      <c r="AJ207" s="107" t="str">
        <f aca="false">IF(AE207=16,AA207*AB207*AC207*AD207*(AE207/1000)*1.578*1,IF(AE207&gt;16,"",IF(AE207&lt;16,"")))</f>
        <v/>
      </c>
      <c r="AK207" s="107" t="str">
        <f aca="false">IF(AE207=20,AA207*AB207*AC207*AD207*(AE207/1000)*2.466*1,IF(AE207&gt;20,"",IF(AE207&lt;20,"")))</f>
        <v/>
      </c>
      <c r="AL207" s="107" t="str">
        <f aca="false">IF(AE207=25,AA207*AB207*AC207*AD207*(AE207/1000)*3.853*1,IF(AE207&gt;25,"",IF(AE207&lt;25,"")))</f>
        <v/>
      </c>
      <c r="AM207" s="115" t="str">
        <f aca="false">IF(AE207=32,AA207*AB207*AC207*AD207*(AE207/1000)*6.313*1,IF(AE207&gt;32,"",IF(AE207&lt;32,"")))</f>
        <v/>
      </c>
      <c r="AN207" s="128"/>
      <c r="AO207" s="117" t="s">
        <v>178</v>
      </c>
      <c r="AP207" s="118" t="n">
        <f aca="false">SUM(R207:Y207)+SUM(AN207)</f>
        <v>30.2175</v>
      </c>
      <c r="AQ207" s="118" t="n">
        <f aca="false">SUM(AF207:AM207)</f>
        <v>0</v>
      </c>
      <c r="AR207" s="118"/>
      <c r="AS207" s="119"/>
      <c r="AT207" s="119" t="s">
        <v>162</v>
      </c>
    </row>
    <row r="208" customFormat="false" ht="13.5" hidden="false" customHeight="false" outlineLevel="0" collapsed="false">
      <c r="A208" s="129"/>
      <c r="B208" s="130"/>
      <c r="C208" s="110"/>
      <c r="D208" s="122"/>
      <c r="E208" s="122"/>
      <c r="F208" s="122"/>
      <c r="G208" s="123"/>
      <c r="H208" s="101"/>
      <c r="I208" s="123"/>
      <c r="J208" s="101"/>
      <c r="K208" s="124"/>
      <c r="L208" s="125"/>
      <c r="M208" s="125"/>
      <c r="N208" s="126"/>
      <c r="O208" s="126"/>
      <c r="P208" s="126"/>
      <c r="Q208" s="127"/>
      <c r="R208" s="105"/>
      <c r="S208" s="106"/>
      <c r="T208" s="106"/>
      <c r="U208" s="106"/>
      <c r="V208" s="107"/>
      <c r="W208" s="106"/>
      <c r="X208" s="106"/>
      <c r="Y208" s="108"/>
      <c r="Z208" s="109"/>
      <c r="AA208" s="110"/>
      <c r="AB208" s="111"/>
      <c r="AC208" s="112"/>
      <c r="AD208" s="112"/>
      <c r="AE208" s="113"/>
      <c r="AF208" s="114"/>
      <c r="AG208" s="107"/>
      <c r="AH208" s="107"/>
      <c r="AI208" s="107"/>
      <c r="AJ208" s="107"/>
      <c r="AK208" s="107"/>
      <c r="AL208" s="107"/>
      <c r="AM208" s="115"/>
      <c r="AO208" s="117"/>
      <c r="AP208" s="118"/>
      <c r="AQ208" s="118"/>
      <c r="AR208" s="118"/>
      <c r="AS208" s="119"/>
      <c r="AT208" s="119"/>
    </row>
    <row r="209" customFormat="false" ht="13.5" hidden="false" customHeight="false" outlineLevel="0" collapsed="false">
      <c r="A209" s="120"/>
      <c r="B209" s="121" t="s">
        <v>570</v>
      </c>
      <c r="C209" s="110" t="n">
        <v>1</v>
      </c>
      <c r="D209" s="122" t="n">
        <v>0.24</v>
      </c>
      <c r="E209" s="122" t="n">
        <v>0.78</v>
      </c>
      <c r="F209" s="122" t="n">
        <f aca="false">1.7925/(0.24*0.78)</f>
        <v>9.57532051282051</v>
      </c>
      <c r="G209" s="123" t="n">
        <f aca="false">C209*D209*E209*F209</f>
        <v>1.7925</v>
      </c>
      <c r="H209" s="101"/>
      <c r="I209" s="123" t="n">
        <f aca="false">C209*F209*(D209+(E209-0.2)+(E209))</f>
        <v>15.3205128205128</v>
      </c>
      <c r="J209" s="101"/>
      <c r="K209" s="124"/>
      <c r="L209" s="125"/>
      <c r="M209" s="125"/>
      <c r="N209" s="126"/>
      <c r="O209" s="126"/>
      <c r="P209" s="126"/>
      <c r="Q209" s="127"/>
      <c r="R209" s="105" t="str">
        <f aca="false">IF(P209=6,N209*O209*Q209*0.222*1,IF(P209&gt;6,"",IF(P209&lt;6,"")))</f>
        <v/>
      </c>
      <c r="S209" s="106" t="str">
        <f aca="false">IF(P209=8,N209*O209*Q209*0.395*1,IF(P209&gt;8,"",IF(P209&lt;8,"")))</f>
        <v/>
      </c>
      <c r="T209" s="106" t="str">
        <f aca="false">IF(P209=10,N209*O209*Q209*0.617*1,IF(P209&gt;10,"",IF(P209&lt;10,"")))</f>
        <v/>
      </c>
      <c r="U209" s="106" t="str">
        <f aca="false">IF(P209=12,N209*O209*Q209*0.888*1,IF(P209&gt;12,"",IF(P209&lt;12,"")))</f>
        <v/>
      </c>
      <c r="V209" s="107" t="str">
        <f aca="false">IF(P209=16,N209*O209*Q209*1.578*1,IF(P209&gt;16,"",IF(P209&lt;16,"")))</f>
        <v/>
      </c>
      <c r="W209" s="106" t="str">
        <f aca="false">IF(P209=20,N209*O209*Q209*2.466*1,IF(P209&gt;20,"",IF(P209&lt;20,"")))</f>
        <v/>
      </c>
      <c r="X209" s="106" t="str">
        <f aca="false">IF(P209=25,N209*O209*Q209*3.853*1,IF(P209&gt;25,"",IF(P209&lt;25,"")))</f>
        <v/>
      </c>
      <c r="Y209" s="108" t="str">
        <f aca="false">IF(P209=32,N209*O209*Q209*6.313*1,IF(P209&gt;32,"",IF(P209&lt;32,"")))</f>
        <v/>
      </c>
      <c r="Z209" s="109"/>
      <c r="AA209" s="110" t="str">
        <f aca="false">IF(AC209&gt;0,N209,"")</f>
        <v/>
      </c>
      <c r="AB209" s="111" t="str">
        <f aca="false">IF(AC209&gt;0,O209,"")</f>
        <v/>
      </c>
      <c r="AC209" s="112"/>
      <c r="AD209" s="112"/>
      <c r="AE209" s="113" t="str">
        <f aca="false">IF(AC209&gt;0,P209,"")</f>
        <v/>
      </c>
      <c r="AF209" s="114" t="str">
        <f aca="false">IF(AE209=6,AA209*AB209*AC209*AD209*(AE209/1000)*0.222*1,IF(AE209&gt;6,"",IF(AE209&lt;6,"")))</f>
        <v/>
      </c>
      <c r="AG209" s="107" t="str">
        <f aca="false">IF(AE209=8,AA209*AB209*AC209*AD209*(AE209/1000)*0.395*1,IF(AE209&gt;8,"",IF(AE209&lt;8,"")))</f>
        <v/>
      </c>
      <c r="AH209" s="107" t="str">
        <f aca="false">IF(AE209=10,AA209*AB209*AC209*AD209*(AE209/1000)*0.617*1,IF(AE209&gt;10,"",IF(AE209&lt;10,"")))</f>
        <v/>
      </c>
      <c r="AI209" s="107" t="str">
        <f aca="false">IF(AE209=12,AA209*AB209*AC209*AD209*(AE209/1000)*0.888*1,IF(AE209&gt;12,"",IF(AE209&lt;12,"")))</f>
        <v/>
      </c>
      <c r="AJ209" s="107" t="str">
        <f aca="false">IF(AE209=16,AA209*AB209*AC209*AD209*(AE209/1000)*1.578*1,IF(AE209&gt;16,"",IF(AE209&lt;16,"")))</f>
        <v/>
      </c>
      <c r="AK209" s="107" t="str">
        <f aca="false">IF(AE209=20,AA209*AB209*AC209*AD209*(AE209/1000)*2.466*1,IF(AE209&gt;20,"",IF(AE209&lt;20,"")))</f>
        <v/>
      </c>
      <c r="AL209" s="107" t="str">
        <f aca="false">IF(AE209=25,AA209*AB209*AC209*AD209*(AE209/1000)*3.853*1,IF(AE209&gt;25,"",IF(AE209&lt;25,"")))</f>
        <v/>
      </c>
      <c r="AM209" s="115" t="str">
        <f aca="false">IF(AE209=32,AA209*AB209*AC209*AD209*(AE209/1000)*6.313*1,IF(AE209&gt;32,"",IF(AE209&lt;32,"")))</f>
        <v/>
      </c>
      <c r="AN209" s="128"/>
      <c r="AO209" s="117" t="s">
        <v>178</v>
      </c>
      <c r="AP209" s="118" t="n">
        <f aca="false">SUM(R209:Y209)+SUM(AN209)</f>
        <v>0</v>
      </c>
      <c r="AQ209" s="118" t="n">
        <f aca="false">SUM(AF209:AM209)</f>
        <v>0</v>
      </c>
      <c r="AR209" s="118" t="n">
        <v>1.7925</v>
      </c>
      <c r="AS209" s="119" t="s">
        <v>571</v>
      </c>
      <c r="AT209" s="119" t="s">
        <v>209</v>
      </c>
    </row>
    <row r="210" customFormat="false" ht="13.5" hidden="false" customHeight="false" outlineLevel="0" collapsed="false">
      <c r="A210" s="129"/>
      <c r="B210" s="172"/>
      <c r="C210" s="110"/>
      <c r="D210" s="122"/>
      <c r="E210" s="122"/>
      <c r="F210" s="173"/>
      <c r="G210" s="123"/>
      <c r="H210" s="101"/>
      <c r="I210" s="123"/>
      <c r="J210" s="101"/>
      <c r="K210" s="124" t="s">
        <v>483</v>
      </c>
      <c r="L210" s="125"/>
      <c r="M210" s="125"/>
      <c r="N210" s="126" t="n">
        <f aca="false">$C$209</f>
        <v>1</v>
      </c>
      <c r="O210" s="126" t="n">
        <v>2</v>
      </c>
      <c r="P210" s="126" t="n">
        <v>20</v>
      </c>
      <c r="Q210" s="127" t="n">
        <f aca="false">9.7618+2*50*20/1000</f>
        <v>11.7618</v>
      </c>
      <c r="R210" s="105" t="str">
        <f aca="false">IF(P210=6,N210*O210*Q210*0.222*1,IF(P210&gt;6,"",IF(P210&lt;6,"")))</f>
        <v/>
      </c>
      <c r="S210" s="106" t="str">
        <f aca="false">IF(P210=8,N210*O210*Q210*0.395*1,IF(P210&gt;8,"",IF(P210&lt;8,"")))</f>
        <v/>
      </c>
      <c r="T210" s="106" t="str">
        <f aca="false">IF(P210=10,N210*O210*Q210*0.617*1,IF(P210&gt;10,"",IF(P210&lt;10,"")))</f>
        <v/>
      </c>
      <c r="U210" s="106" t="str">
        <f aca="false">IF(P210=12,N210*O210*Q210*0.888*1,IF(P210&gt;12,"",IF(P210&lt;12,"")))</f>
        <v/>
      </c>
      <c r="V210" s="107" t="str">
        <f aca="false">IF(P210=16,N210*O210*Q210*1.578*1,IF(P210&gt;16,"",IF(P210&lt;16,"")))</f>
        <v/>
      </c>
      <c r="W210" s="106" t="n">
        <f aca="false">IF(P210=20,N210*O210*Q210*2.466*1,IF(P210&gt;20,"",IF(P210&lt;20,"")))</f>
        <v>58.0091976</v>
      </c>
      <c r="X210" s="106" t="str">
        <f aca="false">IF(P210=25,N210*O210*Q210*3.853*1,IF(P210&gt;25,"",IF(P210&lt;25,"")))</f>
        <v/>
      </c>
      <c r="Y210" s="108" t="str">
        <f aca="false">IF(P210=32,N210*O210*Q210*6.313*1,IF(P210&gt;32,"",IF(P210&lt;32,"")))</f>
        <v/>
      </c>
      <c r="Z210" s="109"/>
      <c r="AA210" s="110" t="str">
        <f aca="false">IF(AC210&gt;0,N210,"")</f>
        <v/>
      </c>
      <c r="AB210" s="111" t="str">
        <f aca="false">IF(AC210&gt;0,O210,"")</f>
        <v/>
      </c>
      <c r="AC210" s="112"/>
      <c r="AD210" s="112"/>
      <c r="AE210" s="113" t="str">
        <f aca="false">IF(AC210&gt;0,P210,"")</f>
        <v/>
      </c>
      <c r="AF210" s="114" t="str">
        <f aca="false">IF(AE210=6,AA210*AB210*AC210*AD210*(AE210/1000)*0.222*1,IF(AE210&gt;6,"",IF(AE210&lt;6,"")))</f>
        <v/>
      </c>
      <c r="AG210" s="107" t="str">
        <f aca="false">IF(AE210=8,AA210*AB210*AC210*AD210*(AE210/1000)*0.395*1,IF(AE210&gt;8,"",IF(AE210&lt;8,"")))</f>
        <v/>
      </c>
      <c r="AH210" s="107" t="str">
        <f aca="false">IF(AE210=10,AA210*AB210*AC210*AD210*(AE210/1000)*0.617*1,IF(AE210&gt;10,"",IF(AE210&lt;10,"")))</f>
        <v/>
      </c>
      <c r="AI210" s="107" t="str">
        <f aca="false">IF(AE210=12,AA210*AB210*AC210*AD210*(AE210/1000)*0.888*1,IF(AE210&gt;12,"",IF(AE210&lt;12,"")))</f>
        <v/>
      </c>
      <c r="AJ210" s="107" t="str">
        <f aca="false">IF(AE210=16,AA210*AB210*AC210*AD210*(AE210/1000)*1.578*1,IF(AE210&gt;16,"",IF(AE210&lt;16,"")))</f>
        <v/>
      </c>
      <c r="AK210" s="107" t="str">
        <f aca="false">IF(AE210=20,AA210*AB210*AC210*AD210*(AE210/1000)*2.466*1,IF(AE210&gt;20,"",IF(AE210&lt;20,"")))</f>
        <v/>
      </c>
      <c r="AL210" s="107" t="str">
        <f aca="false">IF(AE210=25,AA210*AB210*AC210*AD210*(AE210/1000)*3.853*1,IF(AE210&gt;25,"",IF(AE210&lt;25,"")))</f>
        <v/>
      </c>
      <c r="AM210" s="115" t="str">
        <f aca="false">IF(AE210=32,AA210*AB210*AC210*AD210*(AE210/1000)*6.313*1,IF(AE210&gt;32,"",IF(AE210&lt;32,"")))</f>
        <v/>
      </c>
      <c r="AN210" s="128"/>
      <c r="AO210" s="117" t="s">
        <v>178</v>
      </c>
      <c r="AP210" s="118" t="n">
        <f aca="false">SUM(R210:Y210)+SUM(AN210)</f>
        <v>58.0091976</v>
      </c>
      <c r="AQ210" s="118" t="n">
        <f aca="false">SUM(AF210:AM210)</f>
        <v>0</v>
      </c>
      <c r="AR210" s="118"/>
      <c r="AS210" s="119" t="s">
        <v>482</v>
      </c>
      <c r="AT210" s="119" t="s">
        <v>162</v>
      </c>
    </row>
    <row r="211" customFormat="false" ht="13.5" hidden="false" customHeight="false" outlineLevel="0" collapsed="false">
      <c r="A211" s="129"/>
      <c r="B211" s="172"/>
      <c r="C211" s="110"/>
      <c r="D211" s="122"/>
      <c r="E211" s="122"/>
      <c r="F211" s="173"/>
      <c r="G211" s="123"/>
      <c r="H211" s="101"/>
      <c r="I211" s="123"/>
      <c r="J211" s="101"/>
      <c r="K211" s="124" t="s">
        <v>485</v>
      </c>
      <c r="L211" s="125"/>
      <c r="M211" s="125"/>
      <c r="N211" s="126" t="n">
        <f aca="false">$C$209</f>
        <v>1</v>
      </c>
      <c r="O211" s="126" t="n">
        <v>2</v>
      </c>
      <c r="P211" s="126" t="n">
        <v>20</v>
      </c>
      <c r="Q211" s="127" t="n">
        <f aca="false">9.7618+2*50*20/1000</f>
        <v>11.7618</v>
      </c>
      <c r="R211" s="105" t="str">
        <f aca="false">IF(P211=6,N211*O211*Q211*0.222*1,IF(P211&gt;6,"",IF(P211&lt;6,"")))</f>
        <v/>
      </c>
      <c r="S211" s="106" t="str">
        <f aca="false">IF(P211=8,N211*O211*Q211*0.395*1,IF(P211&gt;8,"",IF(P211&lt;8,"")))</f>
        <v/>
      </c>
      <c r="T211" s="106" t="str">
        <f aca="false">IF(P211=10,N211*O211*Q211*0.617*1,IF(P211&gt;10,"",IF(P211&lt;10,"")))</f>
        <v/>
      </c>
      <c r="U211" s="106" t="str">
        <f aca="false">IF(P211=12,N211*O211*Q211*0.888*1,IF(P211&gt;12,"",IF(P211&lt;12,"")))</f>
        <v/>
      </c>
      <c r="V211" s="107" t="str">
        <f aca="false">IF(P211=16,N211*O211*Q211*1.578*1,IF(P211&gt;16,"",IF(P211&lt;16,"")))</f>
        <v/>
      </c>
      <c r="W211" s="106" t="n">
        <f aca="false">IF(P211=20,N211*O211*Q211*2.466*1,IF(P211&gt;20,"",IF(P211&lt;20,"")))</f>
        <v>58.0091976</v>
      </c>
      <c r="X211" s="106" t="str">
        <f aca="false">IF(P211=25,N211*O211*Q211*3.853*1,IF(P211&gt;25,"",IF(P211&lt;25,"")))</f>
        <v/>
      </c>
      <c r="Y211" s="108" t="str">
        <f aca="false">IF(P211=32,N211*O211*Q211*6.313*1,IF(P211&gt;32,"",IF(P211&lt;32,"")))</f>
        <v/>
      </c>
      <c r="Z211" s="109"/>
      <c r="AA211" s="110" t="str">
        <f aca="false">IF(AC211&gt;0,N211,"")</f>
        <v/>
      </c>
      <c r="AB211" s="111" t="str">
        <f aca="false">IF(AC211&gt;0,O211,"")</f>
        <v/>
      </c>
      <c r="AC211" s="112"/>
      <c r="AD211" s="112"/>
      <c r="AE211" s="113" t="str">
        <f aca="false">IF(AC211&gt;0,P211,"")</f>
        <v/>
      </c>
      <c r="AF211" s="114" t="str">
        <f aca="false">IF(AE211=6,AA211*AB211*AC211*AD211*(AE211/1000)*0.222*1,IF(AE211&gt;6,"",IF(AE211&lt;6,"")))</f>
        <v/>
      </c>
      <c r="AG211" s="107" t="str">
        <f aca="false">IF(AE211=8,AA211*AB211*AC211*AD211*(AE211/1000)*0.395*1,IF(AE211&gt;8,"",IF(AE211&lt;8,"")))</f>
        <v/>
      </c>
      <c r="AH211" s="107" t="str">
        <f aca="false">IF(AE211=10,AA211*AB211*AC211*AD211*(AE211/1000)*0.617*1,IF(AE211&gt;10,"",IF(AE211&lt;10,"")))</f>
        <v/>
      </c>
      <c r="AI211" s="107" t="str">
        <f aca="false">IF(AE211=12,AA211*AB211*AC211*AD211*(AE211/1000)*0.888*1,IF(AE211&gt;12,"",IF(AE211&lt;12,"")))</f>
        <v/>
      </c>
      <c r="AJ211" s="107" t="str">
        <f aca="false">IF(AE211=16,AA211*AB211*AC211*AD211*(AE211/1000)*1.578*1,IF(AE211&gt;16,"",IF(AE211&lt;16,"")))</f>
        <v/>
      </c>
      <c r="AK211" s="107" t="str">
        <f aca="false">IF(AE211=20,AA211*AB211*AC211*AD211*(AE211/1000)*2.466*1,IF(AE211&gt;20,"",IF(AE211&lt;20,"")))</f>
        <v/>
      </c>
      <c r="AL211" s="107" t="str">
        <f aca="false">IF(AE211=25,AA211*AB211*AC211*AD211*(AE211/1000)*3.853*1,IF(AE211&gt;25,"",IF(AE211&lt;25,"")))</f>
        <v/>
      </c>
      <c r="AM211" s="115" t="str">
        <f aca="false">IF(AE211=32,AA211*AB211*AC211*AD211*(AE211/1000)*6.313*1,IF(AE211&gt;32,"",IF(AE211&lt;32,"")))</f>
        <v/>
      </c>
      <c r="AN211" s="128"/>
      <c r="AO211" s="117" t="s">
        <v>178</v>
      </c>
      <c r="AP211" s="118" t="n">
        <f aca="false">SUM(R211:Y211)+SUM(AN211)</f>
        <v>58.0091976</v>
      </c>
      <c r="AQ211" s="118" t="n">
        <f aca="false">SUM(AF211:AM211)</f>
        <v>0</v>
      </c>
      <c r="AR211" s="118"/>
      <c r="AS211" s="119" t="s">
        <v>482</v>
      </c>
      <c r="AT211" s="119" t="s">
        <v>162</v>
      </c>
    </row>
    <row r="212" customFormat="false" ht="13.5" hidden="false" customHeight="false" outlineLevel="0" collapsed="false">
      <c r="A212" s="129"/>
      <c r="B212" s="172"/>
      <c r="C212" s="110"/>
      <c r="D212" s="122"/>
      <c r="E212" s="122"/>
      <c r="F212" s="173"/>
      <c r="G212" s="123"/>
      <c r="H212" s="101"/>
      <c r="I212" s="123"/>
      <c r="J212" s="101"/>
      <c r="K212" s="124" t="s">
        <v>550</v>
      </c>
      <c r="L212" s="125" t="n">
        <f aca="false">$E$209</f>
        <v>0.78</v>
      </c>
      <c r="M212" s="125" t="n">
        <v>0.1</v>
      </c>
      <c r="N212" s="126" t="n">
        <f aca="false">2*$C$209</f>
        <v>2</v>
      </c>
      <c r="O212" s="126" t="n">
        <f aca="false">CEILING(L212/M212,1)+1</f>
        <v>9</v>
      </c>
      <c r="P212" s="126" t="n">
        <v>8</v>
      </c>
      <c r="Q212" s="127" t="n">
        <f aca="false">2*($D$209-2*0.035)+2*($E$209-2*0.035)+20*8/1000</f>
        <v>1.92</v>
      </c>
      <c r="R212" s="105" t="str">
        <f aca="false">IF(P212=6,N212*O212*Q212*0.222*1,IF(P212&gt;6,"",IF(P212&lt;6,"")))</f>
        <v/>
      </c>
      <c r="S212" s="106" t="n">
        <f aca="false">IF(P212=8,N212*O212*Q212*0.395*1,IF(P212&gt;8,"",IF(P212&lt;8,"")))</f>
        <v>13.6512</v>
      </c>
      <c r="T212" s="106" t="str">
        <f aca="false">IF(P212=10,N212*O212*Q212*0.617*1,IF(P212&gt;10,"",IF(P212&lt;10,"")))</f>
        <v/>
      </c>
      <c r="U212" s="106" t="str">
        <f aca="false">IF(P212=12,N212*O212*Q212*0.888*1,IF(P212&gt;12,"",IF(P212&lt;12,"")))</f>
        <v/>
      </c>
      <c r="V212" s="107" t="str">
        <f aca="false">IF(P212=16,N212*O212*Q212*1.578*1,IF(P212&gt;16,"",IF(P212&lt;16,"")))</f>
        <v/>
      </c>
      <c r="W212" s="106" t="str">
        <f aca="false">IF(P212=20,N212*O212*Q212*2.466*1,IF(P212&gt;20,"",IF(P212&lt;20,"")))</f>
        <v/>
      </c>
      <c r="X212" s="106" t="str">
        <f aca="false">IF(P212=25,N212*O212*Q212*3.853*1,IF(P212&gt;25,"",IF(P212&lt;25,"")))</f>
        <v/>
      </c>
      <c r="Y212" s="108" t="str">
        <f aca="false">IF(P212=32,N212*O212*Q212*6.313*1,IF(P212&gt;32,"",IF(P212&lt;32,"")))</f>
        <v/>
      </c>
      <c r="Z212" s="109"/>
      <c r="AA212" s="110" t="str">
        <f aca="false">IF(AC212&gt;0,N212,"")</f>
        <v/>
      </c>
      <c r="AB212" s="111" t="str">
        <f aca="false">IF(AC212&gt;0,O212,"")</f>
        <v/>
      </c>
      <c r="AC212" s="112"/>
      <c r="AD212" s="112"/>
      <c r="AE212" s="113" t="str">
        <f aca="false">IF(AC212&gt;0,P212,"")</f>
        <v/>
      </c>
      <c r="AF212" s="114" t="str">
        <f aca="false">IF(AE212=6,AA212*AB212*AC212*AD212*(AE212/1000)*0.222*1,IF(AE212&gt;6,"",IF(AE212&lt;6,"")))</f>
        <v/>
      </c>
      <c r="AG212" s="107" t="str">
        <f aca="false">IF(AE212=8,AA212*AB212*AC212*AD212*(AE212/1000)*0.395*1,IF(AE212&gt;8,"",IF(AE212&lt;8,"")))</f>
        <v/>
      </c>
      <c r="AH212" s="107" t="str">
        <f aca="false">IF(AE212=10,AA212*AB212*AC212*AD212*(AE212/1000)*0.617*1,IF(AE212&gt;10,"",IF(AE212&lt;10,"")))</f>
        <v/>
      </c>
      <c r="AI212" s="107" t="str">
        <f aca="false">IF(AE212=12,AA212*AB212*AC212*AD212*(AE212/1000)*0.888*1,IF(AE212&gt;12,"",IF(AE212&lt;12,"")))</f>
        <v/>
      </c>
      <c r="AJ212" s="107" t="str">
        <f aca="false">IF(AE212=16,AA212*AB212*AC212*AD212*(AE212/1000)*1.578*1,IF(AE212&gt;16,"",IF(AE212&lt;16,"")))</f>
        <v/>
      </c>
      <c r="AK212" s="107" t="str">
        <f aca="false">IF(AE212=20,AA212*AB212*AC212*AD212*(AE212/1000)*2.466*1,IF(AE212&gt;20,"",IF(AE212&lt;20,"")))</f>
        <v/>
      </c>
      <c r="AL212" s="107" t="str">
        <f aca="false">IF(AE212=25,AA212*AB212*AC212*AD212*(AE212/1000)*3.853*1,IF(AE212&gt;25,"",IF(AE212&lt;25,"")))</f>
        <v/>
      </c>
      <c r="AM212" s="115" t="str">
        <f aca="false">IF(AE212=32,AA212*AB212*AC212*AD212*(AE212/1000)*6.313*1,IF(AE212&gt;32,"",IF(AE212&lt;32,"")))</f>
        <v/>
      </c>
      <c r="AN212" s="128"/>
      <c r="AO212" s="117" t="s">
        <v>178</v>
      </c>
      <c r="AP212" s="118" t="n">
        <f aca="false">SUM(R212:Y212)+SUM(AN212)</f>
        <v>13.6512</v>
      </c>
      <c r="AQ212" s="118" t="n">
        <f aca="false">SUM(AF212:AM212)</f>
        <v>0</v>
      </c>
      <c r="AR212" s="118"/>
      <c r="AS212" s="119" t="s">
        <v>551</v>
      </c>
      <c r="AT212" s="119" t="s">
        <v>162</v>
      </c>
    </row>
    <row r="213" customFormat="false" ht="13.5" hidden="false" customHeight="false" outlineLevel="0" collapsed="false">
      <c r="A213" s="129"/>
      <c r="B213" s="172"/>
      <c r="C213" s="110"/>
      <c r="D213" s="122"/>
      <c r="E213" s="122"/>
      <c r="F213" s="173"/>
      <c r="G213" s="123"/>
      <c r="H213" s="101"/>
      <c r="I213" s="123"/>
      <c r="J213" s="101"/>
      <c r="K213" s="124" t="s">
        <v>552</v>
      </c>
      <c r="L213" s="125" t="n">
        <f aca="false">$F$209-2*$E$209</f>
        <v>8.01532051282051</v>
      </c>
      <c r="M213" s="125" t="n">
        <v>0.15</v>
      </c>
      <c r="N213" s="126" t="n">
        <f aca="false">$C$209</f>
        <v>1</v>
      </c>
      <c r="O213" s="126" t="n">
        <f aca="false">CEILING(L213/M213,1)-1</f>
        <v>53</v>
      </c>
      <c r="P213" s="126" t="n">
        <v>8</v>
      </c>
      <c r="Q213" s="127" t="n">
        <f aca="false">2*($D$209-2*0.035)+2*($E$209-2*0.035)+20*8/1000</f>
        <v>1.92</v>
      </c>
      <c r="R213" s="105" t="str">
        <f aca="false">IF(P213=6,N213*O213*Q213*0.222*1,IF(P213&gt;6,"",IF(P213&lt;6,"")))</f>
        <v/>
      </c>
      <c r="S213" s="106" t="n">
        <f aca="false">IF(P213=8,N213*O213*Q213*0.395*1,IF(P213&gt;8,"",IF(P213&lt;8,"")))</f>
        <v>40.1952</v>
      </c>
      <c r="T213" s="106" t="str">
        <f aca="false">IF(P213=10,N213*O213*Q213*0.617*1,IF(P213&gt;10,"",IF(P213&lt;10,"")))</f>
        <v/>
      </c>
      <c r="U213" s="106" t="str">
        <f aca="false">IF(P213=12,N213*O213*Q213*0.888*1,IF(P213&gt;12,"",IF(P213&lt;12,"")))</f>
        <v/>
      </c>
      <c r="V213" s="107" t="str">
        <f aca="false">IF(P213=16,N213*O213*Q213*1.578*1,IF(P213&gt;16,"",IF(P213&lt;16,"")))</f>
        <v/>
      </c>
      <c r="W213" s="106" t="str">
        <f aca="false">IF(P213=20,N213*O213*Q213*2.466*1,IF(P213&gt;20,"",IF(P213&lt;20,"")))</f>
        <v/>
      </c>
      <c r="X213" s="106" t="str">
        <f aca="false">IF(P213=25,N213*O213*Q213*3.853*1,IF(P213&gt;25,"",IF(P213&lt;25,"")))</f>
        <v/>
      </c>
      <c r="Y213" s="108" t="str">
        <f aca="false">IF(P213=32,N213*O213*Q213*6.313*1,IF(P213&gt;32,"",IF(P213&lt;32,"")))</f>
        <v/>
      </c>
      <c r="Z213" s="109"/>
      <c r="AA213" s="110" t="str">
        <f aca="false">IF(AC213&gt;0,N213,"")</f>
        <v/>
      </c>
      <c r="AB213" s="111" t="str">
        <f aca="false">IF(AC213&gt;0,O213,"")</f>
        <v/>
      </c>
      <c r="AC213" s="112"/>
      <c r="AD213" s="112"/>
      <c r="AE213" s="113" t="str">
        <f aca="false">IF(AC213&gt;0,P213,"")</f>
        <v/>
      </c>
      <c r="AF213" s="114" t="str">
        <f aca="false">IF(AE213=6,AA213*AB213*AC213*AD213*(AE213/1000)*0.222*1,IF(AE213&gt;6,"",IF(AE213&lt;6,"")))</f>
        <v/>
      </c>
      <c r="AG213" s="107" t="str">
        <f aca="false">IF(AE213=8,AA213*AB213*AC213*AD213*(AE213/1000)*0.395*1,IF(AE213&gt;8,"",IF(AE213&lt;8,"")))</f>
        <v/>
      </c>
      <c r="AH213" s="107" t="str">
        <f aca="false">IF(AE213=10,AA213*AB213*AC213*AD213*(AE213/1000)*0.617*1,IF(AE213&gt;10,"",IF(AE213&lt;10,"")))</f>
        <v/>
      </c>
      <c r="AI213" s="107" t="str">
        <f aca="false">IF(AE213=12,AA213*AB213*AC213*AD213*(AE213/1000)*0.888*1,IF(AE213&gt;12,"",IF(AE213&lt;12,"")))</f>
        <v/>
      </c>
      <c r="AJ213" s="107" t="str">
        <f aca="false">IF(AE213=16,AA213*AB213*AC213*AD213*(AE213/1000)*1.578*1,IF(AE213&gt;16,"",IF(AE213&lt;16,"")))</f>
        <v/>
      </c>
      <c r="AK213" s="107" t="str">
        <f aca="false">IF(AE213=20,AA213*AB213*AC213*AD213*(AE213/1000)*2.466*1,IF(AE213&gt;20,"",IF(AE213&lt;20,"")))</f>
        <v/>
      </c>
      <c r="AL213" s="107" t="str">
        <f aca="false">IF(AE213=25,AA213*AB213*AC213*AD213*(AE213/1000)*3.853*1,IF(AE213&gt;25,"",IF(AE213&lt;25,"")))</f>
        <v/>
      </c>
      <c r="AM213" s="115" t="str">
        <f aca="false">IF(AE213=32,AA213*AB213*AC213*AD213*(AE213/1000)*6.313*1,IF(AE213&gt;32,"",IF(AE213&lt;32,"")))</f>
        <v/>
      </c>
      <c r="AN213" s="128"/>
      <c r="AO213" s="117" t="s">
        <v>178</v>
      </c>
      <c r="AP213" s="118" t="n">
        <f aca="false">SUM(R213:Y213)+SUM(AN213)</f>
        <v>40.1952</v>
      </c>
      <c r="AQ213" s="118" t="n">
        <f aca="false">SUM(AF213:AM213)</f>
        <v>0</v>
      </c>
      <c r="AR213" s="118"/>
      <c r="AS213" s="119"/>
      <c r="AT213" s="119" t="s">
        <v>162</v>
      </c>
    </row>
    <row r="214" customFormat="false" ht="13.5" hidden="false" customHeight="false" outlineLevel="0" collapsed="false">
      <c r="A214" s="129"/>
      <c r="B214" s="172"/>
      <c r="C214" s="110"/>
      <c r="D214" s="122"/>
      <c r="E214" s="122"/>
      <c r="F214" s="173"/>
      <c r="G214" s="123"/>
      <c r="H214" s="101"/>
      <c r="I214" s="123"/>
      <c r="J214" s="101"/>
      <c r="K214" s="124" t="s">
        <v>572</v>
      </c>
      <c r="L214" s="125"/>
      <c r="M214" s="125"/>
      <c r="N214" s="126" t="n">
        <f aca="false">2*$C$209</f>
        <v>2</v>
      </c>
      <c r="O214" s="126" t="n">
        <f aca="false">CEILING(($E$209-2*0.035)/0.2,1)-1</f>
        <v>3</v>
      </c>
      <c r="P214" s="126" t="n">
        <v>8</v>
      </c>
      <c r="Q214" s="127" t="n">
        <f aca="false">9.7618+2*10*8/1000</f>
        <v>9.9218</v>
      </c>
      <c r="R214" s="105" t="str">
        <f aca="false">IF(P214=6,N214*O214*Q214*0.222*1,IF(P214&gt;6,"",IF(P214&lt;6,"")))</f>
        <v/>
      </c>
      <c r="S214" s="106" t="n">
        <f aca="false">IF(P214=8,N214*O214*Q214*0.395*1,IF(P214&gt;8,"",IF(P214&lt;8,"")))</f>
        <v>23.514666</v>
      </c>
      <c r="T214" s="106" t="str">
        <f aca="false">IF(P214=10,N214*O214*Q214*0.617*1,IF(P214&gt;10,"",IF(P214&lt;10,"")))</f>
        <v/>
      </c>
      <c r="U214" s="106" t="str">
        <f aca="false">IF(P214=12,N214*O214*Q214*0.888*1,IF(P214&gt;12,"",IF(P214&lt;12,"")))</f>
        <v/>
      </c>
      <c r="V214" s="107" t="str">
        <f aca="false">IF(P214=16,N214*O214*Q214*1.578*1,IF(P214&gt;16,"",IF(P214&lt;16,"")))</f>
        <v/>
      </c>
      <c r="W214" s="106" t="str">
        <f aca="false">IF(P214=20,N214*O214*Q214*2.466*1,IF(P214&gt;20,"",IF(P214&lt;20,"")))</f>
        <v/>
      </c>
      <c r="X214" s="106" t="str">
        <f aca="false">IF(P214=25,N214*O214*Q214*3.853*1,IF(P214&gt;25,"",IF(P214&lt;25,"")))</f>
        <v/>
      </c>
      <c r="Y214" s="108" t="str">
        <f aca="false">IF(P214=32,N214*O214*Q214*6.313*1,IF(P214&gt;32,"",IF(P214&lt;32,"")))</f>
        <v/>
      </c>
      <c r="Z214" s="109"/>
      <c r="AA214" s="110" t="str">
        <f aca="false">IF(AC214&gt;0,N214,"")</f>
        <v/>
      </c>
      <c r="AB214" s="111" t="str">
        <f aca="false">IF(AC214&gt;0,O214,"")</f>
        <v/>
      </c>
      <c r="AC214" s="112"/>
      <c r="AD214" s="112"/>
      <c r="AE214" s="113" t="str">
        <f aca="false">IF(AC214&gt;0,P214,"")</f>
        <v/>
      </c>
      <c r="AF214" s="114" t="str">
        <f aca="false">IF(AE214=6,AA214*AB214*AC214*AD214*(AE214/1000)*0.222*1,IF(AE214&gt;6,"",IF(AE214&lt;6,"")))</f>
        <v/>
      </c>
      <c r="AG214" s="107" t="str">
        <f aca="false">IF(AE214=8,AA214*AB214*AC214*AD214*(AE214/1000)*0.395*1,IF(AE214&gt;8,"",IF(AE214&lt;8,"")))</f>
        <v/>
      </c>
      <c r="AH214" s="107" t="str">
        <f aca="false">IF(AE214=10,AA214*AB214*AC214*AD214*(AE214/1000)*0.617*1,IF(AE214&gt;10,"",IF(AE214&lt;10,"")))</f>
        <v/>
      </c>
      <c r="AI214" s="107" t="str">
        <f aca="false">IF(AE214=12,AA214*AB214*AC214*AD214*(AE214/1000)*0.888*1,IF(AE214&gt;12,"",IF(AE214&lt;12,"")))</f>
        <v/>
      </c>
      <c r="AJ214" s="107" t="str">
        <f aca="false">IF(AE214=16,AA214*AB214*AC214*AD214*(AE214/1000)*1.578*1,IF(AE214&gt;16,"",IF(AE214&lt;16,"")))</f>
        <v/>
      </c>
      <c r="AK214" s="107" t="str">
        <f aca="false">IF(AE214=20,AA214*AB214*AC214*AD214*(AE214/1000)*2.466*1,IF(AE214&gt;20,"",IF(AE214&lt;20,"")))</f>
        <v/>
      </c>
      <c r="AL214" s="107" t="str">
        <f aca="false">IF(AE214=25,AA214*AB214*AC214*AD214*(AE214/1000)*3.853*1,IF(AE214&gt;25,"",IF(AE214&lt;25,"")))</f>
        <v/>
      </c>
      <c r="AM214" s="115" t="str">
        <f aca="false">IF(AE214=32,AA214*AB214*AC214*AD214*(AE214/1000)*6.313*1,IF(AE214&gt;32,"",IF(AE214&lt;32,"")))</f>
        <v/>
      </c>
      <c r="AN214" s="128"/>
      <c r="AO214" s="117" t="s">
        <v>178</v>
      </c>
      <c r="AP214" s="118" t="n">
        <f aca="false">SUM(R214:Y214)+SUM(AN214)</f>
        <v>23.514666</v>
      </c>
      <c r="AQ214" s="118" t="n">
        <f aca="false">SUM(AF214:AM214)</f>
        <v>0</v>
      </c>
      <c r="AR214" s="118"/>
      <c r="AS214" s="119" t="s">
        <v>506</v>
      </c>
      <c r="AT214" s="119" t="s">
        <v>162</v>
      </c>
    </row>
    <row r="215" customFormat="false" ht="13.5" hidden="false" customHeight="false" outlineLevel="0" collapsed="false">
      <c r="A215" s="129"/>
      <c r="B215" s="130"/>
      <c r="C215" s="110"/>
      <c r="D215" s="122"/>
      <c r="E215" s="122"/>
      <c r="F215" s="122"/>
      <c r="G215" s="123"/>
      <c r="H215" s="101"/>
      <c r="I215" s="123"/>
      <c r="J215" s="101"/>
      <c r="K215" s="124"/>
      <c r="L215" s="125"/>
      <c r="M215" s="125"/>
      <c r="N215" s="126"/>
      <c r="O215" s="126"/>
      <c r="P215" s="126"/>
      <c r="Q215" s="127"/>
      <c r="R215" s="105"/>
      <c r="S215" s="106"/>
      <c r="T215" s="106"/>
      <c r="U215" s="106"/>
      <c r="V215" s="107"/>
      <c r="W215" s="106"/>
      <c r="X215" s="106"/>
      <c r="Y215" s="108"/>
      <c r="Z215" s="109"/>
      <c r="AA215" s="110"/>
      <c r="AB215" s="111"/>
      <c r="AC215" s="112"/>
      <c r="AD215" s="112"/>
      <c r="AE215" s="113"/>
      <c r="AF215" s="114"/>
      <c r="AG215" s="107"/>
      <c r="AH215" s="107"/>
      <c r="AI215" s="107"/>
      <c r="AJ215" s="107"/>
      <c r="AK215" s="107"/>
      <c r="AL215" s="107"/>
      <c r="AM215" s="115"/>
      <c r="AO215" s="117"/>
      <c r="AP215" s="118"/>
      <c r="AQ215" s="118"/>
      <c r="AR215" s="118"/>
      <c r="AS215" s="119"/>
      <c r="AT215" s="119"/>
    </row>
    <row r="216" customFormat="false" ht="13.5" hidden="false" customHeight="false" outlineLevel="0" collapsed="false">
      <c r="A216" s="120"/>
      <c r="B216" s="121" t="s">
        <v>573</v>
      </c>
      <c r="C216" s="110" t="n">
        <v>1</v>
      </c>
      <c r="D216" s="122" t="n">
        <v>0.24</v>
      </c>
      <c r="E216" s="122" t="n">
        <v>0.78</v>
      </c>
      <c r="F216" s="122" t="n">
        <f aca="false">2.121/(0.24*0.78)</f>
        <v>11.3301282051282</v>
      </c>
      <c r="G216" s="123" t="n">
        <f aca="false">C216*D216*E216*F216</f>
        <v>2.121</v>
      </c>
      <c r="H216" s="101"/>
      <c r="I216" s="123" t="n">
        <f aca="false">C216*F216*(D216+(E216-0.2)+(E216))</f>
        <v>18.1282051282051</v>
      </c>
      <c r="J216" s="101"/>
      <c r="K216" s="124"/>
      <c r="L216" s="125"/>
      <c r="M216" s="125"/>
      <c r="N216" s="126"/>
      <c r="O216" s="126"/>
      <c r="P216" s="126"/>
      <c r="Q216" s="127"/>
      <c r="R216" s="105" t="str">
        <f aca="false">IF(P216=6,N216*O216*Q216*0.222*1,IF(P216&gt;6,"",IF(P216&lt;6,"")))</f>
        <v/>
      </c>
      <c r="S216" s="106" t="str">
        <f aca="false">IF(P216=8,N216*O216*Q216*0.395*1,IF(P216&gt;8,"",IF(P216&lt;8,"")))</f>
        <v/>
      </c>
      <c r="T216" s="106" t="str">
        <f aca="false">IF(P216=10,N216*O216*Q216*0.617*1,IF(P216&gt;10,"",IF(P216&lt;10,"")))</f>
        <v/>
      </c>
      <c r="U216" s="106" t="str">
        <f aca="false">IF(P216=12,N216*O216*Q216*0.888*1,IF(P216&gt;12,"",IF(P216&lt;12,"")))</f>
        <v/>
      </c>
      <c r="V216" s="107" t="str">
        <f aca="false">IF(P216=16,N216*O216*Q216*1.578*1,IF(P216&gt;16,"",IF(P216&lt;16,"")))</f>
        <v/>
      </c>
      <c r="W216" s="106" t="str">
        <f aca="false">IF(P216=20,N216*O216*Q216*2.466*1,IF(P216&gt;20,"",IF(P216&lt;20,"")))</f>
        <v/>
      </c>
      <c r="X216" s="106" t="str">
        <f aca="false">IF(P216=25,N216*O216*Q216*3.853*1,IF(P216&gt;25,"",IF(P216&lt;25,"")))</f>
        <v/>
      </c>
      <c r="Y216" s="108" t="str">
        <f aca="false">IF(P216=32,N216*O216*Q216*6.313*1,IF(P216&gt;32,"",IF(P216&lt;32,"")))</f>
        <v/>
      </c>
      <c r="Z216" s="109"/>
      <c r="AA216" s="110" t="str">
        <f aca="false">IF(AC216&gt;0,N216,"")</f>
        <v/>
      </c>
      <c r="AB216" s="111" t="str">
        <f aca="false">IF(AC216&gt;0,O216,"")</f>
        <v/>
      </c>
      <c r="AC216" s="112"/>
      <c r="AD216" s="112"/>
      <c r="AE216" s="113" t="str">
        <f aca="false">IF(AC216&gt;0,P216,"")</f>
        <v/>
      </c>
      <c r="AF216" s="114" t="str">
        <f aca="false">IF(AE216=6,AA216*AB216*AC216*AD216*(AE216/1000)*0.222*1,IF(AE216&gt;6,"",IF(AE216&lt;6,"")))</f>
        <v/>
      </c>
      <c r="AG216" s="107" t="str">
        <f aca="false">IF(AE216=8,AA216*AB216*AC216*AD216*(AE216/1000)*0.395*1,IF(AE216&gt;8,"",IF(AE216&lt;8,"")))</f>
        <v/>
      </c>
      <c r="AH216" s="107" t="str">
        <f aca="false">IF(AE216=10,AA216*AB216*AC216*AD216*(AE216/1000)*0.617*1,IF(AE216&gt;10,"",IF(AE216&lt;10,"")))</f>
        <v/>
      </c>
      <c r="AI216" s="107" t="str">
        <f aca="false">IF(AE216=12,AA216*AB216*AC216*AD216*(AE216/1000)*0.888*1,IF(AE216&gt;12,"",IF(AE216&lt;12,"")))</f>
        <v/>
      </c>
      <c r="AJ216" s="107" t="str">
        <f aca="false">IF(AE216=16,AA216*AB216*AC216*AD216*(AE216/1000)*1.578*1,IF(AE216&gt;16,"",IF(AE216&lt;16,"")))</f>
        <v/>
      </c>
      <c r="AK216" s="107" t="str">
        <f aca="false">IF(AE216=20,AA216*AB216*AC216*AD216*(AE216/1000)*2.466*1,IF(AE216&gt;20,"",IF(AE216&lt;20,"")))</f>
        <v/>
      </c>
      <c r="AL216" s="107" t="str">
        <f aca="false">IF(AE216=25,AA216*AB216*AC216*AD216*(AE216/1000)*3.853*1,IF(AE216&gt;25,"",IF(AE216&lt;25,"")))</f>
        <v/>
      </c>
      <c r="AM216" s="115" t="str">
        <f aca="false">IF(AE216=32,AA216*AB216*AC216*AD216*(AE216/1000)*6.313*1,IF(AE216&gt;32,"",IF(AE216&lt;32,"")))</f>
        <v/>
      </c>
      <c r="AN216" s="128"/>
      <c r="AO216" s="117" t="s">
        <v>178</v>
      </c>
      <c r="AP216" s="118" t="n">
        <f aca="false">SUM(R216:Y216)+SUM(AN216)</f>
        <v>0</v>
      </c>
      <c r="AQ216" s="118" t="n">
        <f aca="false">SUM(AF216:AM216)</f>
        <v>0</v>
      </c>
      <c r="AR216" s="118" t="n">
        <v>2.121</v>
      </c>
      <c r="AS216" s="119" t="s">
        <v>574</v>
      </c>
      <c r="AT216" s="119" t="s">
        <v>209</v>
      </c>
    </row>
    <row r="217" customFormat="false" ht="13.5" hidden="false" customHeight="false" outlineLevel="0" collapsed="false">
      <c r="A217" s="129"/>
      <c r="B217" s="172"/>
      <c r="C217" s="110"/>
      <c r="D217" s="122"/>
      <c r="E217" s="122"/>
      <c r="F217" s="173"/>
      <c r="G217" s="123"/>
      <c r="H217" s="101"/>
      <c r="I217" s="123"/>
      <c r="J217" s="101"/>
      <c r="K217" s="124" t="s">
        <v>483</v>
      </c>
      <c r="L217" s="125"/>
      <c r="M217" s="125"/>
      <c r="N217" s="126" t="n">
        <f aca="false">$C$216</f>
        <v>1</v>
      </c>
      <c r="O217" s="126" t="n">
        <v>2</v>
      </c>
      <c r="P217" s="126" t="n">
        <v>20</v>
      </c>
      <c r="Q217" s="127" t="n">
        <f aca="false">11.33+2*50*20/1000</f>
        <v>13.33</v>
      </c>
      <c r="R217" s="105" t="str">
        <f aca="false">IF(P217=6,N217*O217*Q217*0.222*1,IF(P217&gt;6,"",IF(P217&lt;6,"")))</f>
        <v/>
      </c>
      <c r="S217" s="106" t="str">
        <f aca="false">IF(P217=8,N217*O217*Q217*0.395*1,IF(P217&gt;8,"",IF(P217&lt;8,"")))</f>
        <v/>
      </c>
      <c r="T217" s="106" t="str">
        <f aca="false">IF(P217=10,N217*O217*Q217*0.617*1,IF(P217&gt;10,"",IF(P217&lt;10,"")))</f>
        <v/>
      </c>
      <c r="U217" s="106" t="str">
        <f aca="false">IF(P217=12,N217*O217*Q217*0.888*1,IF(P217&gt;12,"",IF(P217&lt;12,"")))</f>
        <v/>
      </c>
      <c r="V217" s="107" t="str">
        <f aca="false">IF(P217=16,N217*O217*Q217*1.578*1,IF(P217&gt;16,"",IF(P217&lt;16,"")))</f>
        <v/>
      </c>
      <c r="W217" s="106" t="n">
        <f aca="false">IF(P217=20,N217*O217*Q217*2.466*1,IF(P217&gt;20,"",IF(P217&lt;20,"")))</f>
        <v>65.74356</v>
      </c>
      <c r="X217" s="106" t="str">
        <f aca="false">IF(P217=25,N217*O217*Q217*3.853*1,IF(P217&gt;25,"",IF(P217&lt;25,"")))</f>
        <v/>
      </c>
      <c r="Y217" s="108" t="str">
        <f aca="false">IF(P217=32,N217*O217*Q217*6.313*1,IF(P217&gt;32,"",IF(P217&lt;32,"")))</f>
        <v/>
      </c>
      <c r="Z217" s="109"/>
      <c r="AA217" s="110" t="n">
        <f aca="false">IF(AC217&gt;0,N217,"")</f>
        <v>1</v>
      </c>
      <c r="AB217" s="111" t="n">
        <f aca="false">IF(AC217&gt;0,O217,"")</f>
        <v>2</v>
      </c>
      <c r="AC217" s="112" t="n">
        <v>1</v>
      </c>
      <c r="AD217" s="112" t="n">
        <v>50</v>
      </c>
      <c r="AE217" s="113" t="n">
        <f aca="false">IF(AC217&gt;0,P217,"")</f>
        <v>20</v>
      </c>
      <c r="AF217" s="114" t="str">
        <f aca="false">IF(AE217=6,AA217*AB217*AC217*AD217*(AE217/1000)*0.222*1,IF(AE217&gt;6,"",IF(AE217&lt;6,"")))</f>
        <v/>
      </c>
      <c r="AG217" s="107" t="str">
        <f aca="false">IF(AE217=8,AA217*AB217*AC217*AD217*(AE217/1000)*0.395*1,IF(AE217&gt;8,"",IF(AE217&lt;8,"")))</f>
        <v/>
      </c>
      <c r="AH217" s="107" t="str">
        <f aca="false">IF(AE217=10,AA217*AB217*AC217*AD217*(AE217/1000)*0.617*1,IF(AE217&gt;10,"",IF(AE217&lt;10,"")))</f>
        <v/>
      </c>
      <c r="AI217" s="107" t="str">
        <f aca="false">IF(AE217=12,AA217*AB217*AC217*AD217*(AE217/1000)*0.888*1,IF(AE217&gt;12,"",IF(AE217&lt;12,"")))</f>
        <v/>
      </c>
      <c r="AJ217" s="107" t="str">
        <f aca="false">IF(AE217=16,AA217*AB217*AC217*AD217*(AE217/1000)*1.578*1,IF(AE217&gt;16,"",IF(AE217&lt;16,"")))</f>
        <v/>
      </c>
      <c r="AK217" s="107" t="n">
        <f aca="false">IF(AE217=20,AA217*AB217*AC217*AD217*(AE217/1000)*2.466*1,IF(AE217&gt;20,"",IF(AE217&lt;20,"")))</f>
        <v>4.932</v>
      </c>
      <c r="AL217" s="107" t="str">
        <f aca="false">IF(AE217=25,AA217*AB217*AC217*AD217*(AE217/1000)*3.853*1,IF(AE217&gt;25,"",IF(AE217&lt;25,"")))</f>
        <v/>
      </c>
      <c r="AM217" s="115" t="str">
        <f aca="false">IF(AE217=32,AA217*AB217*AC217*AD217*(AE217/1000)*6.313*1,IF(AE217&gt;32,"",IF(AE217&lt;32,"")))</f>
        <v/>
      </c>
      <c r="AN217" s="128"/>
      <c r="AO217" s="117" t="s">
        <v>178</v>
      </c>
      <c r="AP217" s="118" t="n">
        <f aca="false">SUM(R217:Y217)+SUM(AN217)</f>
        <v>65.74356</v>
      </c>
      <c r="AQ217" s="118" t="n">
        <f aca="false">SUM(AF217:AM217)</f>
        <v>4.932</v>
      </c>
      <c r="AR217" s="118"/>
      <c r="AS217" s="119" t="s">
        <v>575</v>
      </c>
      <c r="AT217" s="119" t="s">
        <v>162</v>
      </c>
    </row>
    <row r="218" customFormat="false" ht="13.5" hidden="false" customHeight="false" outlineLevel="0" collapsed="false">
      <c r="A218" s="129"/>
      <c r="B218" s="172"/>
      <c r="C218" s="110"/>
      <c r="D218" s="122"/>
      <c r="E218" s="122"/>
      <c r="F218" s="173"/>
      <c r="G218" s="123"/>
      <c r="H218" s="101"/>
      <c r="I218" s="123"/>
      <c r="J218" s="101"/>
      <c r="K218" s="124" t="s">
        <v>485</v>
      </c>
      <c r="L218" s="125"/>
      <c r="M218" s="125"/>
      <c r="N218" s="126" t="n">
        <f aca="false">$C$216</f>
        <v>1</v>
      </c>
      <c r="O218" s="126" t="n">
        <v>2</v>
      </c>
      <c r="P218" s="126" t="n">
        <v>20</v>
      </c>
      <c r="Q218" s="127" t="n">
        <f aca="false">11.33+2*50*20/1000</f>
        <v>13.33</v>
      </c>
      <c r="R218" s="105" t="str">
        <f aca="false">IF(P218=6,N218*O218*Q218*0.222*1,IF(P218&gt;6,"",IF(P218&lt;6,"")))</f>
        <v/>
      </c>
      <c r="S218" s="106" t="str">
        <f aca="false">IF(P218=8,N218*O218*Q218*0.395*1,IF(P218&gt;8,"",IF(P218&lt;8,"")))</f>
        <v/>
      </c>
      <c r="T218" s="106" t="str">
        <f aca="false">IF(P218=10,N218*O218*Q218*0.617*1,IF(P218&gt;10,"",IF(P218&lt;10,"")))</f>
        <v/>
      </c>
      <c r="U218" s="106" t="str">
        <f aca="false">IF(P218=12,N218*O218*Q218*0.888*1,IF(P218&gt;12,"",IF(P218&lt;12,"")))</f>
        <v/>
      </c>
      <c r="V218" s="107" t="str">
        <f aca="false">IF(P218=16,N218*O218*Q218*1.578*1,IF(P218&gt;16,"",IF(P218&lt;16,"")))</f>
        <v/>
      </c>
      <c r="W218" s="106" t="n">
        <f aca="false">IF(P218=20,N218*O218*Q218*2.466*1,IF(P218&gt;20,"",IF(P218&lt;20,"")))</f>
        <v>65.74356</v>
      </c>
      <c r="X218" s="106" t="str">
        <f aca="false">IF(P218=25,N218*O218*Q218*3.853*1,IF(P218&gt;25,"",IF(P218&lt;25,"")))</f>
        <v/>
      </c>
      <c r="Y218" s="108" t="str">
        <f aca="false">IF(P218=32,N218*O218*Q218*6.313*1,IF(P218&gt;32,"",IF(P218&lt;32,"")))</f>
        <v/>
      </c>
      <c r="Z218" s="109"/>
      <c r="AA218" s="110" t="n">
        <f aca="false">IF(AC218&gt;0,N218,"")</f>
        <v>1</v>
      </c>
      <c r="AB218" s="111" t="n">
        <f aca="false">IF(AC218&gt;0,O218,"")</f>
        <v>2</v>
      </c>
      <c r="AC218" s="112" t="n">
        <v>1</v>
      </c>
      <c r="AD218" s="112" t="n">
        <v>50</v>
      </c>
      <c r="AE218" s="113" t="n">
        <f aca="false">IF(AC218&gt;0,P218,"")</f>
        <v>20</v>
      </c>
      <c r="AF218" s="114" t="str">
        <f aca="false">IF(AE218=6,AA218*AB218*AC218*AD218*(AE218/1000)*0.222*1,IF(AE218&gt;6,"",IF(AE218&lt;6,"")))</f>
        <v/>
      </c>
      <c r="AG218" s="107" t="str">
        <f aca="false">IF(AE218=8,AA218*AB218*AC218*AD218*(AE218/1000)*0.395*1,IF(AE218&gt;8,"",IF(AE218&lt;8,"")))</f>
        <v/>
      </c>
      <c r="AH218" s="107" t="str">
        <f aca="false">IF(AE218=10,AA218*AB218*AC218*AD218*(AE218/1000)*0.617*1,IF(AE218&gt;10,"",IF(AE218&lt;10,"")))</f>
        <v/>
      </c>
      <c r="AI218" s="107" t="str">
        <f aca="false">IF(AE218=12,AA218*AB218*AC218*AD218*(AE218/1000)*0.888*1,IF(AE218&gt;12,"",IF(AE218&lt;12,"")))</f>
        <v/>
      </c>
      <c r="AJ218" s="107" t="str">
        <f aca="false">IF(AE218=16,AA218*AB218*AC218*AD218*(AE218/1000)*1.578*1,IF(AE218&gt;16,"",IF(AE218&lt;16,"")))</f>
        <v/>
      </c>
      <c r="AK218" s="107" t="n">
        <f aca="false">IF(AE218=20,AA218*AB218*AC218*AD218*(AE218/1000)*2.466*1,IF(AE218&gt;20,"",IF(AE218&lt;20,"")))</f>
        <v>4.932</v>
      </c>
      <c r="AL218" s="107" t="str">
        <f aca="false">IF(AE218=25,AA218*AB218*AC218*AD218*(AE218/1000)*3.853*1,IF(AE218&gt;25,"",IF(AE218&lt;25,"")))</f>
        <v/>
      </c>
      <c r="AM218" s="115" t="str">
        <f aca="false">IF(AE218=32,AA218*AB218*AC218*AD218*(AE218/1000)*6.313*1,IF(AE218&gt;32,"",IF(AE218&lt;32,"")))</f>
        <v/>
      </c>
      <c r="AN218" s="128"/>
      <c r="AO218" s="117" t="s">
        <v>178</v>
      </c>
      <c r="AP218" s="118" t="n">
        <f aca="false">SUM(R218:Y218)+SUM(AN218)</f>
        <v>65.74356</v>
      </c>
      <c r="AQ218" s="118" t="n">
        <f aca="false">SUM(AF218:AM218)</f>
        <v>4.932</v>
      </c>
      <c r="AR218" s="118"/>
      <c r="AS218" s="119" t="s">
        <v>575</v>
      </c>
      <c r="AT218" s="119" t="s">
        <v>162</v>
      </c>
    </row>
    <row r="219" customFormat="false" ht="13.5" hidden="false" customHeight="false" outlineLevel="0" collapsed="false">
      <c r="A219" s="129"/>
      <c r="B219" s="172"/>
      <c r="C219" s="110"/>
      <c r="D219" s="122"/>
      <c r="E219" s="122"/>
      <c r="F219" s="173"/>
      <c r="G219" s="123"/>
      <c r="H219" s="101"/>
      <c r="I219" s="123"/>
      <c r="J219" s="101"/>
      <c r="K219" s="124" t="s">
        <v>550</v>
      </c>
      <c r="L219" s="125" t="n">
        <f aca="false">$E$216</f>
        <v>0.78</v>
      </c>
      <c r="M219" s="125" t="n">
        <v>0.1</v>
      </c>
      <c r="N219" s="126" t="n">
        <f aca="false">2*$C$216</f>
        <v>2</v>
      </c>
      <c r="O219" s="126" t="n">
        <f aca="false">CEILING(L219/M219,1)+1</f>
        <v>9</v>
      </c>
      <c r="P219" s="126" t="n">
        <v>8</v>
      </c>
      <c r="Q219" s="127" t="n">
        <f aca="false">2*($D$216-2*0.035)+2*($E$216-2*0.035)+20*8/1000</f>
        <v>1.92</v>
      </c>
      <c r="R219" s="105" t="str">
        <f aca="false">IF(P219=6,N219*O219*Q219*0.222*1,IF(P219&gt;6,"",IF(P219&lt;6,"")))</f>
        <v/>
      </c>
      <c r="S219" s="106" t="n">
        <f aca="false">IF(P219=8,N219*O219*Q219*0.395*1,IF(P219&gt;8,"",IF(P219&lt;8,"")))</f>
        <v>13.6512</v>
      </c>
      <c r="T219" s="106" t="str">
        <f aca="false">IF(P219=10,N219*O219*Q219*0.617*1,IF(P219&gt;10,"",IF(P219&lt;10,"")))</f>
        <v/>
      </c>
      <c r="U219" s="106" t="str">
        <f aca="false">IF(P219=12,N219*O219*Q219*0.888*1,IF(P219&gt;12,"",IF(P219&lt;12,"")))</f>
        <v/>
      </c>
      <c r="V219" s="107" t="str">
        <f aca="false">IF(P219=16,N219*O219*Q219*1.578*1,IF(P219&gt;16,"",IF(P219&lt;16,"")))</f>
        <v/>
      </c>
      <c r="W219" s="106" t="str">
        <f aca="false">IF(P219=20,N219*O219*Q219*2.466*1,IF(P219&gt;20,"",IF(P219&lt;20,"")))</f>
        <v/>
      </c>
      <c r="X219" s="106" t="str">
        <f aca="false">IF(P219=25,N219*O219*Q219*3.853*1,IF(P219&gt;25,"",IF(P219&lt;25,"")))</f>
        <v/>
      </c>
      <c r="Y219" s="108" t="str">
        <f aca="false">IF(P219=32,N219*O219*Q219*6.313*1,IF(P219&gt;32,"",IF(P219&lt;32,"")))</f>
        <v/>
      </c>
      <c r="Z219" s="109"/>
      <c r="AA219" s="110" t="str">
        <f aca="false">IF(AC219&gt;0,N219,"")</f>
        <v/>
      </c>
      <c r="AB219" s="111" t="str">
        <f aca="false">IF(AC219&gt;0,O219,"")</f>
        <v/>
      </c>
      <c r="AC219" s="112"/>
      <c r="AD219" s="112"/>
      <c r="AE219" s="113" t="str">
        <f aca="false">IF(AC219&gt;0,P219,"")</f>
        <v/>
      </c>
      <c r="AF219" s="114" t="str">
        <f aca="false">IF(AE219=6,AA219*AB219*AC219*AD219*(AE219/1000)*0.222*1,IF(AE219&gt;6,"",IF(AE219&lt;6,"")))</f>
        <v/>
      </c>
      <c r="AG219" s="107" t="str">
        <f aca="false">IF(AE219=8,AA219*AB219*AC219*AD219*(AE219/1000)*0.395*1,IF(AE219&gt;8,"",IF(AE219&lt;8,"")))</f>
        <v/>
      </c>
      <c r="AH219" s="107" t="str">
        <f aca="false">IF(AE219=10,AA219*AB219*AC219*AD219*(AE219/1000)*0.617*1,IF(AE219&gt;10,"",IF(AE219&lt;10,"")))</f>
        <v/>
      </c>
      <c r="AI219" s="107" t="str">
        <f aca="false">IF(AE219=12,AA219*AB219*AC219*AD219*(AE219/1000)*0.888*1,IF(AE219&gt;12,"",IF(AE219&lt;12,"")))</f>
        <v/>
      </c>
      <c r="AJ219" s="107" t="str">
        <f aca="false">IF(AE219=16,AA219*AB219*AC219*AD219*(AE219/1000)*1.578*1,IF(AE219&gt;16,"",IF(AE219&lt;16,"")))</f>
        <v/>
      </c>
      <c r="AK219" s="107" t="str">
        <f aca="false">IF(AE219=20,AA219*AB219*AC219*AD219*(AE219/1000)*2.466*1,IF(AE219&gt;20,"",IF(AE219&lt;20,"")))</f>
        <v/>
      </c>
      <c r="AL219" s="107" t="str">
        <f aca="false">IF(AE219=25,AA219*AB219*AC219*AD219*(AE219/1000)*3.853*1,IF(AE219&gt;25,"",IF(AE219&lt;25,"")))</f>
        <v/>
      </c>
      <c r="AM219" s="115" t="str">
        <f aca="false">IF(AE219=32,AA219*AB219*AC219*AD219*(AE219/1000)*6.313*1,IF(AE219&gt;32,"",IF(AE219&lt;32,"")))</f>
        <v/>
      </c>
      <c r="AN219" s="128"/>
      <c r="AO219" s="117" t="s">
        <v>178</v>
      </c>
      <c r="AP219" s="118" t="n">
        <f aca="false">SUM(R219:Y219)+SUM(AN219)</f>
        <v>13.6512</v>
      </c>
      <c r="AQ219" s="118" t="n">
        <f aca="false">SUM(AF219:AM219)</f>
        <v>0</v>
      </c>
      <c r="AR219" s="118"/>
      <c r="AS219" s="119" t="s">
        <v>551</v>
      </c>
      <c r="AT219" s="119" t="s">
        <v>162</v>
      </c>
    </row>
    <row r="220" customFormat="false" ht="13.5" hidden="false" customHeight="false" outlineLevel="0" collapsed="false">
      <c r="A220" s="129"/>
      <c r="B220" s="172"/>
      <c r="C220" s="110"/>
      <c r="D220" s="122"/>
      <c r="E220" s="122"/>
      <c r="F220" s="173"/>
      <c r="G220" s="123"/>
      <c r="H220" s="101"/>
      <c r="I220" s="123"/>
      <c r="J220" s="101"/>
      <c r="K220" s="124" t="s">
        <v>552</v>
      </c>
      <c r="L220" s="125" t="n">
        <f aca="false">$F$216-2*$E$216</f>
        <v>9.7701282051282</v>
      </c>
      <c r="M220" s="125" t="n">
        <v>0.15</v>
      </c>
      <c r="N220" s="126" t="n">
        <f aca="false">$C$216</f>
        <v>1</v>
      </c>
      <c r="O220" s="126" t="n">
        <f aca="false">CEILING(L220/M220,1)-1</f>
        <v>65</v>
      </c>
      <c r="P220" s="126" t="n">
        <v>8</v>
      </c>
      <c r="Q220" s="127" t="n">
        <f aca="false">2*($D$216-2*0.035)+2*($E$216-2*0.035)+20*8/1000</f>
        <v>1.92</v>
      </c>
      <c r="R220" s="105" t="str">
        <f aca="false">IF(P220=6,N220*O220*Q220*0.222*1,IF(P220&gt;6,"",IF(P220&lt;6,"")))</f>
        <v/>
      </c>
      <c r="S220" s="106" t="n">
        <f aca="false">IF(P220=8,N220*O220*Q220*0.395*1,IF(P220&gt;8,"",IF(P220&lt;8,"")))</f>
        <v>49.296</v>
      </c>
      <c r="T220" s="106" t="str">
        <f aca="false">IF(P220=10,N220*O220*Q220*0.617*1,IF(P220&gt;10,"",IF(P220&lt;10,"")))</f>
        <v/>
      </c>
      <c r="U220" s="106" t="str">
        <f aca="false">IF(P220=12,N220*O220*Q220*0.888*1,IF(P220&gt;12,"",IF(P220&lt;12,"")))</f>
        <v/>
      </c>
      <c r="V220" s="107" t="str">
        <f aca="false">IF(P220=16,N220*O220*Q220*1.578*1,IF(P220&gt;16,"",IF(P220&lt;16,"")))</f>
        <v/>
      </c>
      <c r="W220" s="106" t="str">
        <f aca="false">IF(P220=20,N220*O220*Q220*2.466*1,IF(P220&gt;20,"",IF(P220&lt;20,"")))</f>
        <v/>
      </c>
      <c r="X220" s="106" t="str">
        <f aca="false">IF(P220=25,N220*O220*Q220*3.853*1,IF(P220&gt;25,"",IF(P220&lt;25,"")))</f>
        <v/>
      </c>
      <c r="Y220" s="108" t="str">
        <f aca="false">IF(P220=32,N220*O220*Q220*6.313*1,IF(P220&gt;32,"",IF(P220&lt;32,"")))</f>
        <v/>
      </c>
      <c r="Z220" s="109"/>
      <c r="AA220" s="110" t="str">
        <f aca="false">IF(AC220&gt;0,N220,"")</f>
        <v/>
      </c>
      <c r="AB220" s="111" t="str">
        <f aca="false">IF(AC220&gt;0,O220,"")</f>
        <v/>
      </c>
      <c r="AC220" s="112"/>
      <c r="AD220" s="112"/>
      <c r="AE220" s="113" t="str">
        <f aca="false">IF(AC220&gt;0,P220,"")</f>
        <v/>
      </c>
      <c r="AF220" s="114" t="str">
        <f aca="false">IF(AE220=6,AA220*AB220*AC220*AD220*(AE220/1000)*0.222*1,IF(AE220&gt;6,"",IF(AE220&lt;6,"")))</f>
        <v/>
      </c>
      <c r="AG220" s="107" t="str">
        <f aca="false">IF(AE220=8,AA220*AB220*AC220*AD220*(AE220/1000)*0.395*1,IF(AE220&gt;8,"",IF(AE220&lt;8,"")))</f>
        <v/>
      </c>
      <c r="AH220" s="107" t="str">
        <f aca="false">IF(AE220=10,AA220*AB220*AC220*AD220*(AE220/1000)*0.617*1,IF(AE220&gt;10,"",IF(AE220&lt;10,"")))</f>
        <v/>
      </c>
      <c r="AI220" s="107" t="str">
        <f aca="false">IF(AE220=12,AA220*AB220*AC220*AD220*(AE220/1000)*0.888*1,IF(AE220&gt;12,"",IF(AE220&lt;12,"")))</f>
        <v/>
      </c>
      <c r="AJ220" s="107" t="str">
        <f aca="false">IF(AE220=16,AA220*AB220*AC220*AD220*(AE220/1000)*1.578*1,IF(AE220&gt;16,"",IF(AE220&lt;16,"")))</f>
        <v/>
      </c>
      <c r="AK220" s="107" t="str">
        <f aca="false">IF(AE220=20,AA220*AB220*AC220*AD220*(AE220/1000)*2.466*1,IF(AE220&gt;20,"",IF(AE220&lt;20,"")))</f>
        <v/>
      </c>
      <c r="AL220" s="107" t="str">
        <f aca="false">IF(AE220=25,AA220*AB220*AC220*AD220*(AE220/1000)*3.853*1,IF(AE220&gt;25,"",IF(AE220&lt;25,"")))</f>
        <v/>
      </c>
      <c r="AM220" s="115" t="str">
        <f aca="false">IF(AE220=32,AA220*AB220*AC220*AD220*(AE220/1000)*6.313*1,IF(AE220&gt;32,"",IF(AE220&lt;32,"")))</f>
        <v/>
      </c>
      <c r="AN220" s="128"/>
      <c r="AO220" s="117" t="s">
        <v>178</v>
      </c>
      <c r="AP220" s="118" t="n">
        <f aca="false">SUM(R220:Y220)+SUM(AN220)</f>
        <v>49.296</v>
      </c>
      <c r="AQ220" s="118" t="n">
        <f aca="false">SUM(AF220:AM220)</f>
        <v>0</v>
      </c>
      <c r="AR220" s="118"/>
      <c r="AS220" s="119"/>
      <c r="AT220" s="119" t="s">
        <v>162</v>
      </c>
    </row>
    <row r="221" customFormat="false" ht="13.5" hidden="false" customHeight="false" outlineLevel="0" collapsed="false">
      <c r="A221" s="129"/>
      <c r="B221" s="172"/>
      <c r="C221" s="110"/>
      <c r="D221" s="122"/>
      <c r="E221" s="122"/>
      <c r="F221" s="173"/>
      <c r="G221" s="123"/>
      <c r="H221" s="101"/>
      <c r="I221" s="123"/>
      <c r="J221" s="101"/>
      <c r="K221" s="124" t="s">
        <v>572</v>
      </c>
      <c r="L221" s="125"/>
      <c r="M221" s="125"/>
      <c r="N221" s="126" t="n">
        <f aca="false">2*$C$216</f>
        <v>2</v>
      </c>
      <c r="O221" s="126" t="n">
        <f aca="false">CEILING(($E$216-2*0.035)/0.2,1)-1</f>
        <v>3</v>
      </c>
      <c r="P221" s="126" t="n">
        <v>8</v>
      </c>
      <c r="Q221" s="127" t="n">
        <f aca="false">11.33+2*10*8/1000</f>
        <v>11.49</v>
      </c>
      <c r="R221" s="105" t="str">
        <f aca="false">IF(P221=6,N221*O221*Q221*0.222*1,IF(P221&gt;6,"",IF(P221&lt;6,"")))</f>
        <v/>
      </c>
      <c r="S221" s="106" t="n">
        <f aca="false">IF(P221=8,N221*O221*Q221*0.395*1,IF(P221&gt;8,"",IF(P221&lt;8,"")))</f>
        <v>27.2313</v>
      </c>
      <c r="T221" s="106" t="str">
        <f aca="false">IF(P221=10,N221*O221*Q221*0.617*1,IF(P221&gt;10,"",IF(P221&lt;10,"")))</f>
        <v/>
      </c>
      <c r="U221" s="106" t="str">
        <f aca="false">IF(P221=12,N221*O221*Q221*0.888*1,IF(P221&gt;12,"",IF(P221&lt;12,"")))</f>
        <v/>
      </c>
      <c r="V221" s="107" t="str">
        <f aca="false">IF(P221=16,N221*O221*Q221*1.578*1,IF(P221&gt;16,"",IF(P221&lt;16,"")))</f>
        <v/>
      </c>
      <c r="W221" s="106" t="str">
        <f aca="false">IF(P221=20,N221*O221*Q221*2.466*1,IF(P221&gt;20,"",IF(P221&lt;20,"")))</f>
        <v/>
      </c>
      <c r="X221" s="106" t="str">
        <f aca="false">IF(P221=25,N221*O221*Q221*3.853*1,IF(P221&gt;25,"",IF(P221&lt;25,"")))</f>
        <v/>
      </c>
      <c r="Y221" s="108" t="str">
        <f aca="false">IF(P221=32,N221*O221*Q221*6.313*1,IF(P221&gt;32,"",IF(P221&lt;32,"")))</f>
        <v/>
      </c>
      <c r="Z221" s="109"/>
      <c r="AA221" s="110" t="str">
        <f aca="false">IF(AC221&gt;0,N221,"")</f>
        <v/>
      </c>
      <c r="AB221" s="111" t="str">
        <f aca="false">IF(AC221&gt;0,O221,"")</f>
        <v/>
      </c>
      <c r="AC221" s="112"/>
      <c r="AD221" s="112"/>
      <c r="AE221" s="113" t="str">
        <f aca="false">IF(AC221&gt;0,P221,"")</f>
        <v/>
      </c>
      <c r="AF221" s="114" t="str">
        <f aca="false">IF(AE221=6,AA221*AB221*AC221*AD221*(AE221/1000)*0.222*1,IF(AE221&gt;6,"",IF(AE221&lt;6,"")))</f>
        <v/>
      </c>
      <c r="AG221" s="107" t="str">
        <f aca="false">IF(AE221=8,AA221*AB221*AC221*AD221*(AE221/1000)*0.395*1,IF(AE221&gt;8,"",IF(AE221&lt;8,"")))</f>
        <v/>
      </c>
      <c r="AH221" s="107" t="str">
        <f aca="false">IF(AE221=10,AA221*AB221*AC221*AD221*(AE221/1000)*0.617*1,IF(AE221&gt;10,"",IF(AE221&lt;10,"")))</f>
        <v/>
      </c>
      <c r="AI221" s="107" t="str">
        <f aca="false">IF(AE221=12,AA221*AB221*AC221*AD221*(AE221/1000)*0.888*1,IF(AE221&gt;12,"",IF(AE221&lt;12,"")))</f>
        <v/>
      </c>
      <c r="AJ221" s="107" t="str">
        <f aca="false">IF(AE221=16,AA221*AB221*AC221*AD221*(AE221/1000)*1.578*1,IF(AE221&gt;16,"",IF(AE221&lt;16,"")))</f>
        <v/>
      </c>
      <c r="AK221" s="107" t="str">
        <f aca="false">IF(AE221=20,AA221*AB221*AC221*AD221*(AE221/1000)*2.466*1,IF(AE221&gt;20,"",IF(AE221&lt;20,"")))</f>
        <v/>
      </c>
      <c r="AL221" s="107" t="str">
        <f aca="false">IF(AE221=25,AA221*AB221*AC221*AD221*(AE221/1000)*3.853*1,IF(AE221&gt;25,"",IF(AE221&lt;25,"")))</f>
        <v/>
      </c>
      <c r="AM221" s="115" t="str">
        <f aca="false">IF(AE221=32,AA221*AB221*AC221*AD221*(AE221/1000)*6.313*1,IF(AE221&gt;32,"",IF(AE221&lt;32,"")))</f>
        <v/>
      </c>
      <c r="AN221" s="128"/>
      <c r="AO221" s="117" t="s">
        <v>178</v>
      </c>
      <c r="AP221" s="118" t="n">
        <f aca="false">SUM(R221:Y221)+SUM(AN221)</f>
        <v>27.2313</v>
      </c>
      <c r="AQ221" s="118" t="n">
        <f aca="false">SUM(AF221:AM221)</f>
        <v>0</v>
      </c>
      <c r="AR221" s="118"/>
      <c r="AS221" s="119" t="s">
        <v>506</v>
      </c>
      <c r="AT221" s="119" t="s">
        <v>162</v>
      </c>
    </row>
    <row r="222" customFormat="false" ht="13.5" hidden="false" customHeight="false" outlineLevel="0" collapsed="false">
      <c r="A222" s="129"/>
      <c r="B222" s="130"/>
      <c r="C222" s="110"/>
      <c r="D222" s="122"/>
      <c r="E222" s="122"/>
      <c r="F222" s="122"/>
      <c r="G222" s="123"/>
      <c r="H222" s="101"/>
      <c r="I222" s="123"/>
      <c r="J222" s="101"/>
      <c r="K222" s="124"/>
      <c r="L222" s="125"/>
      <c r="M222" s="125"/>
      <c r="N222" s="126"/>
      <c r="O222" s="126"/>
      <c r="P222" s="126"/>
      <c r="Q222" s="127"/>
      <c r="R222" s="105"/>
      <c r="S222" s="106"/>
      <c r="T222" s="106"/>
      <c r="U222" s="106"/>
      <c r="V222" s="107"/>
      <c r="W222" s="106"/>
      <c r="X222" s="106"/>
      <c r="Y222" s="108"/>
      <c r="Z222" s="109"/>
      <c r="AA222" s="110"/>
      <c r="AB222" s="111"/>
      <c r="AC222" s="112"/>
      <c r="AD222" s="112"/>
      <c r="AE222" s="113"/>
      <c r="AF222" s="114"/>
      <c r="AG222" s="107"/>
      <c r="AH222" s="107"/>
      <c r="AI222" s="107"/>
      <c r="AJ222" s="107"/>
      <c r="AK222" s="107"/>
      <c r="AL222" s="107"/>
      <c r="AM222" s="115"/>
      <c r="AO222" s="117"/>
      <c r="AP222" s="118"/>
      <c r="AQ222" s="118"/>
      <c r="AR222" s="118"/>
      <c r="AS222" s="119"/>
      <c r="AT222" s="119"/>
    </row>
    <row r="223" customFormat="false" ht="13.5" hidden="false" customHeight="false" outlineLevel="0" collapsed="false">
      <c r="A223" s="96"/>
      <c r="B223" s="97" t="s">
        <v>576</v>
      </c>
      <c r="C223" s="98"/>
      <c r="D223" s="99"/>
      <c r="E223" s="99"/>
      <c r="F223" s="99"/>
      <c r="G223" s="100"/>
      <c r="H223" s="101"/>
      <c r="I223" s="100"/>
      <c r="J223" s="101"/>
      <c r="K223" s="102"/>
      <c r="L223" s="103"/>
      <c r="M223" s="103"/>
      <c r="N223" s="104"/>
      <c r="O223" s="104"/>
      <c r="P223" s="104"/>
      <c r="Q223" s="100"/>
      <c r="R223" s="105"/>
      <c r="S223" s="106"/>
      <c r="T223" s="106"/>
      <c r="U223" s="106"/>
      <c r="V223" s="107"/>
      <c r="W223" s="106"/>
      <c r="X223" s="106"/>
      <c r="Y223" s="108"/>
      <c r="Z223" s="109"/>
      <c r="AA223" s="110"/>
      <c r="AB223" s="111"/>
      <c r="AC223" s="112"/>
      <c r="AD223" s="112"/>
      <c r="AE223" s="113"/>
      <c r="AF223" s="114"/>
      <c r="AG223" s="107"/>
      <c r="AH223" s="107"/>
      <c r="AI223" s="107"/>
      <c r="AJ223" s="107"/>
      <c r="AK223" s="107"/>
      <c r="AL223" s="107"/>
      <c r="AM223" s="115"/>
      <c r="AO223" s="117"/>
      <c r="AP223" s="118"/>
      <c r="AQ223" s="118"/>
      <c r="AR223" s="118"/>
      <c r="AS223" s="119"/>
      <c r="AT223" s="119"/>
    </row>
    <row r="224" customFormat="false" ht="13.5" hidden="false" customHeight="false" outlineLevel="0" collapsed="false">
      <c r="A224" s="120"/>
      <c r="B224" s="121" t="s">
        <v>577</v>
      </c>
      <c r="C224" s="110" t="n">
        <v>1</v>
      </c>
      <c r="D224" s="122" t="n">
        <v>0.15</v>
      </c>
      <c r="E224" s="122" t="n">
        <v>1.07</v>
      </c>
      <c r="F224" s="122" t="n">
        <f aca="false">0.2648/(0.15*1.07)</f>
        <v>1.64984423676012</v>
      </c>
      <c r="G224" s="123" t="n">
        <f aca="false">C224*D224*E224*F224</f>
        <v>0.2648</v>
      </c>
      <c r="H224" s="101"/>
      <c r="I224" s="123" t="n">
        <f aca="false">C224*F224*(D224+(E224)+(E224))</f>
        <v>3.77814330218069</v>
      </c>
      <c r="J224" s="101"/>
      <c r="K224" s="124"/>
      <c r="L224" s="125"/>
      <c r="M224" s="125"/>
      <c r="N224" s="126"/>
      <c r="O224" s="126"/>
      <c r="P224" s="126"/>
      <c r="Q224" s="127"/>
      <c r="R224" s="105" t="str">
        <f aca="false">IF(P224=6,N224*O224*Q224*0.222*1,IF(P224&gt;6,"",IF(P224&lt;6,"")))</f>
        <v/>
      </c>
      <c r="S224" s="106" t="str">
        <f aca="false">IF(P224=8,N224*O224*Q224*0.395*1,IF(P224&gt;8,"",IF(P224&lt;8,"")))</f>
        <v/>
      </c>
      <c r="T224" s="106" t="str">
        <f aca="false">IF(P224=10,N224*O224*Q224*0.617*1,IF(P224&gt;10,"",IF(P224&lt;10,"")))</f>
        <v/>
      </c>
      <c r="U224" s="106" t="str">
        <f aca="false">IF(P224=12,N224*O224*Q224*0.888*1,IF(P224&gt;12,"",IF(P224&lt;12,"")))</f>
        <v/>
      </c>
      <c r="V224" s="107" t="str">
        <f aca="false">IF(P224=16,N224*O224*Q224*1.578*1,IF(P224&gt;16,"",IF(P224&lt;16,"")))</f>
        <v/>
      </c>
      <c r="W224" s="106" t="str">
        <f aca="false">IF(P224=20,N224*O224*Q224*2.466*1,IF(P224&gt;20,"",IF(P224&lt;20,"")))</f>
        <v/>
      </c>
      <c r="X224" s="106" t="str">
        <f aca="false">IF(P224=25,N224*O224*Q224*3.853*1,IF(P224&gt;25,"",IF(P224&lt;25,"")))</f>
        <v/>
      </c>
      <c r="Y224" s="108" t="str">
        <f aca="false">IF(P224=32,N224*O224*Q224*6.313*1,IF(P224&gt;32,"",IF(P224&lt;32,"")))</f>
        <v/>
      </c>
      <c r="Z224" s="109"/>
      <c r="AA224" s="110" t="str">
        <f aca="false">IF(AC224&gt;0,N224,"")</f>
        <v/>
      </c>
      <c r="AB224" s="111" t="str">
        <f aca="false">IF(AC224&gt;0,O224,"")</f>
        <v/>
      </c>
      <c r="AC224" s="112"/>
      <c r="AD224" s="112"/>
      <c r="AE224" s="113" t="str">
        <f aca="false">IF(AC224&gt;0,P224,"")</f>
        <v/>
      </c>
      <c r="AF224" s="114" t="str">
        <f aca="false">IF(AE224=6,AA224*AB224*AC224*AD224*(AE224/1000)*0.222*1,IF(AE224&gt;6,"",IF(AE224&lt;6,"")))</f>
        <v/>
      </c>
      <c r="AG224" s="107" t="str">
        <f aca="false">IF(AE224=8,AA224*AB224*AC224*AD224*(AE224/1000)*0.395*1,IF(AE224&gt;8,"",IF(AE224&lt;8,"")))</f>
        <v/>
      </c>
      <c r="AH224" s="107" t="str">
        <f aca="false">IF(AE224=10,AA224*AB224*AC224*AD224*(AE224/1000)*0.617*1,IF(AE224&gt;10,"",IF(AE224&lt;10,"")))</f>
        <v/>
      </c>
      <c r="AI224" s="107" t="str">
        <f aca="false">IF(AE224=12,AA224*AB224*AC224*AD224*(AE224/1000)*0.888*1,IF(AE224&gt;12,"",IF(AE224&lt;12,"")))</f>
        <v/>
      </c>
      <c r="AJ224" s="107" t="str">
        <f aca="false">IF(AE224=16,AA224*AB224*AC224*AD224*(AE224/1000)*1.578*1,IF(AE224&gt;16,"",IF(AE224&lt;16,"")))</f>
        <v/>
      </c>
      <c r="AK224" s="107" t="str">
        <f aca="false">IF(AE224=20,AA224*AB224*AC224*AD224*(AE224/1000)*2.466*1,IF(AE224&gt;20,"",IF(AE224&lt;20,"")))</f>
        <v/>
      </c>
      <c r="AL224" s="107" t="str">
        <f aca="false">IF(AE224=25,AA224*AB224*AC224*AD224*(AE224/1000)*3.853*1,IF(AE224&gt;25,"",IF(AE224&lt;25,"")))</f>
        <v/>
      </c>
      <c r="AM224" s="115" t="str">
        <f aca="false">IF(AE224=32,AA224*AB224*AC224*AD224*(AE224/1000)*6.313*1,IF(AE224&gt;32,"",IF(AE224&lt;32,"")))</f>
        <v/>
      </c>
      <c r="AN224" s="128"/>
      <c r="AO224" s="117" t="s">
        <v>188</v>
      </c>
      <c r="AP224" s="118" t="n">
        <f aca="false">SUM(R224:Y224)+SUM(AN224)</f>
        <v>0</v>
      </c>
      <c r="AQ224" s="118" t="n">
        <f aca="false">SUM(AF224:AM224)</f>
        <v>0</v>
      </c>
      <c r="AR224" s="118" t="n">
        <v>0.2648</v>
      </c>
      <c r="AS224" s="119" t="s">
        <v>578</v>
      </c>
      <c r="AT224" s="119" t="s">
        <v>209</v>
      </c>
    </row>
    <row r="225" customFormat="false" ht="13.5" hidden="false" customHeight="false" outlineLevel="0" collapsed="false">
      <c r="A225" s="129"/>
      <c r="B225" s="172"/>
      <c r="C225" s="110"/>
      <c r="D225" s="122"/>
      <c r="E225" s="122"/>
      <c r="F225" s="173"/>
      <c r="G225" s="123"/>
      <c r="H225" s="101"/>
      <c r="I225" s="123"/>
      <c r="J225" s="101"/>
      <c r="K225" s="124" t="s">
        <v>307</v>
      </c>
      <c r="L225" s="125" t="n">
        <f aca="false">$F$224</f>
        <v>1.64984423676012</v>
      </c>
      <c r="M225" s="125" t="n">
        <v>0.15</v>
      </c>
      <c r="N225" s="126" t="n">
        <f aca="false">$C$224</f>
        <v>1</v>
      </c>
      <c r="O225" s="126" t="n">
        <f aca="false">CEILING(L225/M225,1)+1</f>
        <v>12</v>
      </c>
      <c r="P225" s="126" t="n">
        <v>8</v>
      </c>
      <c r="Q225" s="127" t="n">
        <f aca="false">2*($D$224-2*0.035)+2*($E$224-2*0.035)+20*8/1000</f>
        <v>2.32</v>
      </c>
      <c r="R225" s="105" t="str">
        <f aca="false">IF(P225=6,N225*O225*Q225*0.222*1,IF(P225&gt;6,"",IF(P225&lt;6,"")))</f>
        <v/>
      </c>
      <c r="S225" s="106" t="n">
        <f aca="false">IF(P225=8,N225*O225*Q225*0.395*1,IF(P225&gt;8,"",IF(P225&lt;8,"")))</f>
        <v>10.9968</v>
      </c>
      <c r="T225" s="106" t="str">
        <f aca="false">IF(P225=10,N225*O225*Q225*0.617*1,IF(P225&gt;10,"",IF(P225&lt;10,"")))</f>
        <v/>
      </c>
      <c r="U225" s="106" t="str">
        <f aca="false">IF(P225=12,N225*O225*Q225*0.888*1,IF(P225&gt;12,"",IF(P225&lt;12,"")))</f>
        <v/>
      </c>
      <c r="V225" s="107" t="str">
        <f aca="false">IF(P225=16,N225*O225*Q225*1.578*1,IF(P225&gt;16,"",IF(P225&lt;16,"")))</f>
        <v/>
      </c>
      <c r="W225" s="106" t="str">
        <f aca="false">IF(P225=20,N225*O225*Q225*2.466*1,IF(P225&gt;20,"",IF(P225&lt;20,"")))</f>
        <v/>
      </c>
      <c r="X225" s="106" t="str">
        <f aca="false">IF(P225=25,N225*O225*Q225*3.853*1,IF(P225&gt;25,"",IF(P225&lt;25,"")))</f>
        <v/>
      </c>
      <c r="Y225" s="108" t="str">
        <f aca="false">IF(P225=32,N225*O225*Q225*6.313*1,IF(P225&gt;32,"",IF(P225&lt;32,"")))</f>
        <v/>
      </c>
      <c r="Z225" s="109"/>
      <c r="AA225" s="110" t="str">
        <f aca="false">IF(AC225&gt;0,N225,"")</f>
        <v/>
      </c>
      <c r="AB225" s="111" t="str">
        <f aca="false">IF(AC225&gt;0,O225,"")</f>
        <v/>
      </c>
      <c r="AC225" s="112"/>
      <c r="AD225" s="112"/>
      <c r="AE225" s="113" t="str">
        <f aca="false">IF(AC225&gt;0,P225,"")</f>
        <v/>
      </c>
      <c r="AF225" s="114" t="str">
        <f aca="false">IF(AE225=6,AA225*AB225*AC225*AD225*(AE225/1000)*0.222*1,IF(AE225&gt;6,"",IF(AE225&lt;6,"")))</f>
        <v/>
      </c>
      <c r="AG225" s="107" t="str">
        <f aca="false">IF(AE225=8,AA225*AB225*AC225*AD225*(AE225/1000)*0.395*1,IF(AE225&gt;8,"",IF(AE225&lt;8,"")))</f>
        <v/>
      </c>
      <c r="AH225" s="107" t="str">
        <f aca="false">IF(AE225=10,AA225*AB225*AC225*AD225*(AE225/1000)*0.617*1,IF(AE225&gt;10,"",IF(AE225&lt;10,"")))</f>
        <v/>
      </c>
      <c r="AI225" s="107" t="str">
        <f aca="false">IF(AE225=12,AA225*AB225*AC225*AD225*(AE225/1000)*0.888*1,IF(AE225&gt;12,"",IF(AE225&lt;12,"")))</f>
        <v/>
      </c>
      <c r="AJ225" s="107" t="str">
        <f aca="false">IF(AE225=16,AA225*AB225*AC225*AD225*(AE225/1000)*1.578*1,IF(AE225&gt;16,"",IF(AE225&lt;16,"")))</f>
        <v/>
      </c>
      <c r="AK225" s="107" t="str">
        <f aca="false">IF(AE225=20,AA225*AB225*AC225*AD225*(AE225/1000)*2.466*1,IF(AE225&gt;20,"",IF(AE225&lt;20,"")))</f>
        <v/>
      </c>
      <c r="AL225" s="107" t="str">
        <f aca="false">IF(AE225=25,AA225*AB225*AC225*AD225*(AE225/1000)*3.853*1,IF(AE225&gt;25,"",IF(AE225&lt;25,"")))</f>
        <v/>
      </c>
      <c r="AM225" s="115" t="str">
        <f aca="false">IF(AE225=32,AA225*AB225*AC225*AD225*(AE225/1000)*6.313*1,IF(AE225&gt;32,"",IF(AE225&lt;32,"")))</f>
        <v/>
      </c>
      <c r="AN225" s="128"/>
      <c r="AO225" s="117" t="s">
        <v>188</v>
      </c>
      <c r="AP225" s="118" t="n">
        <f aca="false">SUM(R225:Y225)+SUM(AN225)</f>
        <v>10.9968</v>
      </c>
      <c r="AQ225" s="118" t="n">
        <f aca="false">SUM(AF225:AM225)</f>
        <v>0</v>
      </c>
      <c r="AR225" s="118"/>
      <c r="AS225" s="119"/>
      <c r="AT225" s="119" t="s">
        <v>162</v>
      </c>
    </row>
    <row r="226" customFormat="false" ht="13.5" hidden="false" customHeight="false" outlineLevel="0" collapsed="false">
      <c r="A226" s="129"/>
      <c r="B226" s="172"/>
      <c r="C226" s="110"/>
      <c r="D226" s="122"/>
      <c r="E226" s="122"/>
      <c r="F226" s="173"/>
      <c r="G226" s="123"/>
      <c r="H226" s="101"/>
      <c r="I226" s="123"/>
      <c r="J226" s="101"/>
      <c r="K226" s="124" t="s">
        <v>579</v>
      </c>
      <c r="L226" s="125"/>
      <c r="M226" s="125"/>
      <c r="N226" s="126" t="n">
        <f aca="false">2*$C$224</f>
        <v>2</v>
      </c>
      <c r="O226" s="126" t="n">
        <f aca="false">CEILING(($E$224-2*0.035)/0.15,1)+1</f>
        <v>8</v>
      </c>
      <c r="P226" s="126" t="n">
        <v>10</v>
      </c>
      <c r="Q226" s="127" t="n">
        <f aca="false">1.65+2*(0.25-0.035)</f>
        <v>2.08</v>
      </c>
      <c r="R226" s="105" t="str">
        <f aca="false">IF(P226=6,N226*O226*Q226*0.222*1,IF(P226&gt;6,"",IF(P226&lt;6,"")))</f>
        <v/>
      </c>
      <c r="S226" s="106" t="str">
        <f aca="false">IF(P226=8,N226*O226*Q226*0.395*1,IF(P226&gt;8,"",IF(P226&lt;8,"")))</f>
        <v/>
      </c>
      <c r="T226" s="106" t="n">
        <f aca="false">IF(P226=10,N226*O226*Q226*0.617*1,IF(P226&gt;10,"",IF(P226&lt;10,"")))</f>
        <v>20.53376</v>
      </c>
      <c r="U226" s="106" t="str">
        <f aca="false">IF(P226=12,N226*O226*Q226*0.888*1,IF(P226&gt;12,"",IF(P226&lt;12,"")))</f>
        <v/>
      </c>
      <c r="V226" s="107" t="str">
        <f aca="false">IF(P226=16,N226*O226*Q226*1.578*1,IF(P226&gt;16,"",IF(P226&lt;16,"")))</f>
        <v/>
      </c>
      <c r="W226" s="106" t="str">
        <f aca="false">IF(P226=20,N226*O226*Q226*2.466*1,IF(P226&gt;20,"",IF(P226&lt;20,"")))</f>
        <v/>
      </c>
      <c r="X226" s="106" t="str">
        <f aca="false">IF(P226=25,N226*O226*Q226*3.853*1,IF(P226&gt;25,"",IF(P226&lt;25,"")))</f>
        <v/>
      </c>
      <c r="Y226" s="108" t="str">
        <f aca="false">IF(P226=32,N226*O226*Q226*6.313*1,IF(P226&gt;32,"",IF(P226&lt;32,"")))</f>
        <v/>
      </c>
      <c r="Z226" s="109"/>
      <c r="AA226" s="110" t="str">
        <f aca="false">IF(AC226&gt;0,N226,"")</f>
        <v/>
      </c>
      <c r="AB226" s="111" t="str">
        <f aca="false">IF(AC226&gt;0,O226,"")</f>
        <v/>
      </c>
      <c r="AC226" s="112"/>
      <c r="AD226" s="112"/>
      <c r="AE226" s="113" t="str">
        <f aca="false">IF(AC226&gt;0,P226,"")</f>
        <v/>
      </c>
      <c r="AF226" s="114" t="str">
        <f aca="false">IF(AE226=6,AA226*AB226*AC226*AD226*(AE226/1000)*0.222*1,IF(AE226&gt;6,"",IF(AE226&lt;6,"")))</f>
        <v/>
      </c>
      <c r="AG226" s="107" t="str">
        <f aca="false">IF(AE226=8,AA226*AB226*AC226*AD226*(AE226/1000)*0.395*1,IF(AE226&gt;8,"",IF(AE226&lt;8,"")))</f>
        <v/>
      </c>
      <c r="AH226" s="107" t="str">
        <f aca="false">IF(AE226=10,AA226*AB226*AC226*AD226*(AE226/1000)*0.617*1,IF(AE226&gt;10,"",IF(AE226&lt;10,"")))</f>
        <v/>
      </c>
      <c r="AI226" s="107" t="str">
        <f aca="false">IF(AE226=12,AA226*AB226*AC226*AD226*(AE226/1000)*0.888*1,IF(AE226&gt;12,"",IF(AE226&lt;12,"")))</f>
        <v/>
      </c>
      <c r="AJ226" s="107" t="str">
        <f aca="false">IF(AE226=16,AA226*AB226*AC226*AD226*(AE226/1000)*1.578*1,IF(AE226&gt;16,"",IF(AE226&lt;16,"")))</f>
        <v/>
      </c>
      <c r="AK226" s="107" t="str">
        <f aca="false">IF(AE226=20,AA226*AB226*AC226*AD226*(AE226/1000)*2.466*1,IF(AE226&gt;20,"",IF(AE226&lt;20,"")))</f>
        <v/>
      </c>
      <c r="AL226" s="107" t="str">
        <f aca="false">IF(AE226=25,AA226*AB226*AC226*AD226*(AE226/1000)*3.853*1,IF(AE226&gt;25,"",IF(AE226&lt;25,"")))</f>
        <v/>
      </c>
      <c r="AM226" s="115" t="str">
        <f aca="false">IF(AE226=32,AA226*AB226*AC226*AD226*(AE226/1000)*6.313*1,IF(AE226&gt;32,"",IF(AE226&lt;32,"")))</f>
        <v/>
      </c>
      <c r="AN226" s="128"/>
      <c r="AO226" s="117" t="s">
        <v>188</v>
      </c>
      <c r="AP226" s="118" t="n">
        <f aca="false">SUM(R226:Y226)+SUM(AN226)</f>
        <v>20.53376</v>
      </c>
      <c r="AQ226" s="118" t="n">
        <f aca="false">SUM(AF226:AM226)</f>
        <v>0</v>
      </c>
      <c r="AR226" s="118"/>
      <c r="AS226" s="119" t="s">
        <v>398</v>
      </c>
      <c r="AT226" s="119" t="s">
        <v>162</v>
      </c>
    </row>
    <row r="227" customFormat="false" ht="13.5" hidden="false" customHeight="false" outlineLevel="0" collapsed="false">
      <c r="A227" s="129"/>
      <c r="B227" s="130"/>
      <c r="C227" s="110"/>
      <c r="D227" s="122"/>
      <c r="E227" s="122"/>
      <c r="F227" s="122"/>
      <c r="G227" s="123"/>
      <c r="H227" s="101"/>
      <c r="I227" s="123"/>
      <c r="J227" s="101"/>
      <c r="K227" s="124"/>
      <c r="L227" s="125"/>
      <c r="M227" s="125"/>
      <c r="N227" s="126"/>
      <c r="O227" s="126"/>
      <c r="P227" s="126"/>
      <c r="Q227" s="127"/>
      <c r="R227" s="105"/>
      <c r="S227" s="106"/>
      <c r="T227" s="106"/>
      <c r="U227" s="106"/>
      <c r="V227" s="107"/>
      <c r="W227" s="106"/>
      <c r="X227" s="106"/>
      <c r="Y227" s="108"/>
      <c r="Z227" s="109"/>
      <c r="AA227" s="110"/>
      <c r="AB227" s="111"/>
      <c r="AC227" s="112"/>
      <c r="AD227" s="112"/>
      <c r="AE227" s="113"/>
      <c r="AF227" s="114"/>
      <c r="AG227" s="107"/>
      <c r="AH227" s="107"/>
      <c r="AI227" s="107"/>
      <c r="AJ227" s="107"/>
      <c r="AK227" s="107"/>
      <c r="AL227" s="107"/>
      <c r="AM227" s="115"/>
      <c r="AO227" s="117"/>
      <c r="AP227" s="118"/>
      <c r="AQ227" s="118"/>
      <c r="AR227" s="118"/>
      <c r="AS227" s="119"/>
      <c r="AT227" s="119"/>
    </row>
    <row r="228" customFormat="false" ht="13.5" hidden="false" customHeight="false" outlineLevel="0" collapsed="false">
      <c r="A228" s="120"/>
      <c r="B228" s="121" t="s">
        <v>580</v>
      </c>
      <c r="C228" s="110" t="n">
        <v>1</v>
      </c>
      <c r="D228" s="122" t="n">
        <v>0.15</v>
      </c>
      <c r="E228" s="122" t="n">
        <v>0.95</v>
      </c>
      <c r="F228" s="122" t="n">
        <f aca="false">0.2351/(0.15*0.95)</f>
        <v>1.64982456140351</v>
      </c>
      <c r="G228" s="123" t="n">
        <f aca="false">C228*D228*E228*F228</f>
        <v>0.2351</v>
      </c>
      <c r="H228" s="101"/>
      <c r="I228" s="123" t="n">
        <f aca="false">C228*F228*(D228+(E228)+(E228))</f>
        <v>3.38214035087719</v>
      </c>
      <c r="J228" s="101"/>
      <c r="K228" s="124"/>
      <c r="L228" s="125"/>
      <c r="M228" s="125"/>
      <c r="N228" s="126"/>
      <c r="O228" s="126"/>
      <c r="P228" s="126"/>
      <c r="Q228" s="127"/>
      <c r="R228" s="105" t="str">
        <f aca="false">IF(P228=6,N228*O228*Q228*0.222*1,IF(P228&gt;6,"",IF(P228&lt;6,"")))</f>
        <v/>
      </c>
      <c r="S228" s="106" t="str">
        <f aca="false">IF(P228=8,N228*O228*Q228*0.395*1,IF(P228&gt;8,"",IF(P228&lt;8,"")))</f>
        <v/>
      </c>
      <c r="T228" s="106" t="str">
        <f aca="false">IF(P228=10,N228*O228*Q228*0.617*1,IF(P228&gt;10,"",IF(P228&lt;10,"")))</f>
        <v/>
      </c>
      <c r="U228" s="106" t="str">
        <f aca="false">IF(P228=12,N228*O228*Q228*0.888*1,IF(P228&gt;12,"",IF(P228&lt;12,"")))</f>
        <v/>
      </c>
      <c r="V228" s="107" t="str">
        <f aca="false">IF(P228=16,N228*O228*Q228*1.578*1,IF(P228&gt;16,"",IF(P228&lt;16,"")))</f>
        <v/>
      </c>
      <c r="W228" s="106" t="str">
        <f aca="false">IF(P228=20,N228*O228*Q228*2.466*1,IF(P228&gt;20,"",IF(P228&lt;20,"")))</f>
        <v/>
      </c>
      <c r="X228" s="106" t="str">
        <f aca="false">IF(P228=25,N228*O228*Q228*3.853*1,IF(P228&gt;25,"",IF(P228&lt;25,"")))</f>
        <v/>
      </c>
      <c r="Y228" s="108" t="str">
        <f aca="false">IF(P228=32,N228*O228*Q228*6.313*1,IF(P228&gt;32,"",IF(P228&lt;32,"")))</f>
        <v/>
      </c>
      <c r="Z228" s="109"/>
      <c r="AA228" s="110" t="str">
        <f aca="false">IF(AC228&gt;0,N228,"")</f>
        <v/>
      </c>
      <c r="AB228" s="111" t="str">
        <f aca="false">IF(AC228&gt;0,O228,"")</f>
        <v/>
      </c>
      <c r="AC228" s="112"/>
      <c r="AD228" s="112"/>
      <c r="AE228" s="113" t="str">
        <f aca="false">IF(AC228&gt;0,P228,"")</f>
        <v/>
      </c>
      <c r="AF228" s="114" t="str">
        <f aca="false">IF(AE228=6,AA228*AB228*AC228*AD228*(AE228/1000)*0.222*1,IF(AE228&gt;6,"",IF(AE228&lt;6,"")))</f>
        <v/>
      </c>
      <c r="AG228" s="107" t="str">
        <f aca="false">IF(AE228=8,AA228*AB228*AC228*AD228*(AE228/1000)*0.395*1,IF(AE228&gt;8,"",IF(AE228&lt;8,"")))</f>
        <v/>
      </c>
      <c r="AH228" s="107" t="str">
        <f aca="false">IF(AE228=10,AA228*AB228*AC228*AD228*(AE228/1000)*0.617*1,IF(AE228&gt;10,"",IF(AE228&lt;10,"")))</f>
        <v/>
      </c>
      <c r="AI228" s="107" t="str">
        <f aca="false">IF(AE228=12,AA228*AB228*AC228*AD228*(AE228/1000)*0.888*1,IF(AE228&gt;12,"",IF(AE228&lt;12,"")))</f>
        <v/>
      </c>
      <c r="AJ228" s="107" t="str">
        <f aca="false">IF(AE228=16,AA228*AB228*AC228*AD228*(AE228/1000)*1.578*1,IF(AE228&gt;16,"",IF(AE228&lt;16,"")))</f>
        <v/>
      </c>
      <c r="AK228" s="107" t="str">
        <f aca="false">IF(AE228=20,AA228*AB228*AC228*AD228*(AE228/1000)*2.466*1,IF(AE228&gt;20,"",IF(AE228&lt;20,"")))</f>
        <v/>
      </c>
      <c r="AL228" s="107" t="str">
        <f aca="false">IF(AE228=25,AA228*AB228*AC228*AD228*(AE228/1000)*3.853*1,IF(AE228&gt;25,"",IF(AE228&lt;25,"")))</f>
        <v/>
      </c>
      <c r="AM228" s="115" t="str">
        <f aca="false">IF(AE228=32,AA228*AB228*AC228*AD228*(AE228/1000)*6.313*1,IF(AE228&gt;32,"",IF(AE228&lt;32,"")))</f>
        <v/>
      </c>
      <c r="AN228" s="128"/>
      <c r="AO228" s="117" t="s">
        <v>188</v>
      </c>
      <c r="AP228" s="118" t="n">
        <f aca="false">SUM(R228:Y228)+SUM(AN228)</f>
        <v>0</v>
      </c>
      <c r="AQ228" s="118" t="n">
        <f aca="false">SUM(AF228:AM228)</f>
        <v>0</v>
      </c>
      <c r="AR228" s="118" t="n">
        <v>0.2351</v>
      </c>
      <c r="AS228" s="119" t="s">
        <v>581</v>
      </c>
      <c r="AT228" s="119" t="s">
        <v>209</v>
      </c>
    </row>
    <row r="229" customFormat="false" ht="13.5" hidden="false" customHeight="false" outlineLevel="0" collapsed="false">
      <c r="A229" s="129"/>
      <c r="B229" s="172"/>
      <c r="C229" s="110"/>
      <c r="D229" s="122"/>
      <c r="E229" s="122"/>
      <c r="F229" s="173"/>
      <c r="G229" s="123"/>
      <c r="H229" s="101"/>
      <c r="I229" s="123"/>
      <c r="J229" s="101"/>
      <c r="K229" s="124" t="s">
        <v>307</v>
      </c>
      <c r="L229" s="125" t="n">
        <f aca="false">$F$228</f>
        <v>1.64982456140351</v>
      </c>
      <c r="M229" s="125" t="n">
        <v>0.15</v>
      </c>
      <c r="N229" s="126" t="n">
        <f aca="false">$C$228</f>
        <v>1</v>
      </c>
      <c r="O229" s="126" t="n">
        <f aca="false">CEILING(L229/M229,1)+1</f>
        <v>12</v>
      </c>
      <c r="P229" s="126" t="n">
        <v>8</v>
      </c>
      <c r="Q229" s="127" t="n">
        <f aca="false">2*($D$228-2*0.035)+2*($E$228-2*0.035)+20*8/1000</f>
        <v>2.08</v>
      </c>
      <c r="R229" s="105" t="str">
        <f aca="false">IF(P229=6,N229*O229*Q229*0.222*1,IF(P229&gt;6,"",IF(P229&lt;6,"")))</f>
        <v/>
      </c>
      <c r="S229" s="106" t="n">
        <f aca="false">IF(P229=8,N229*O229*Q229*0.395*1,IF(P229&gt;8,"",IF(P229&lt;8,"")))</f>
        <v>9.8592</v>
      </c>
      <c r="T229" s="106" t="str">
        <f aca="false">IF(P229=10,N229*O229*Q229*0.617*1,IF(P229&gt;10,"",IF(P229&lt;10,"")))</f>
        <v/>
      </c>
      <c r="U229" s="106" t="str">
        <f aca="false">IF(P229=12,N229*O229*Q229*0.888*1,IF(P229&gt;12,"",IF(P229&lt;12,"")))</f>
        <v/>
      </c>
      <c r="V229" s="107" t="str">
        <f aca="false">IF(P229=16,N229*O229*Q229*1.578*1,IF(P229&gt;16,"",IF(P229&lt;16,"")))</f>
        <v/>
      </c>
      <c r="W229" s="106" t="str">
        <f aca="false">IF(P229=20,N229*O229*Q229*2.466*1,IF(P229&gt;20,"",IF(P229&lt;20,"")))</f>
        <v/>
      </c>
      <c r="X229" s="106" t="str">
        <f aca="false">IF(P229=25,N229*O229*Q229*3.853*1,IF(P229&gt;25,"",IF(P229&lt;25,"")))</f>
        <v/>
      </c>
      <c r="Y229" s="108" t="str">
        <f aca="false">IF(P229=32,N229*O229*Q229*6.313*1,IF(P229&gt;32,"",IF(P229&lt;32,"")))</f>
        <v/>
      </c>
      <c r="Z229" s="109"/>
      <c r="AA229" s="110" t="str">
        <f aca="false">IF(AC229&gt;0,N229,"")</f>
        <v/>
      </c>
      <c r="AB229" s="111" t="str">
        <f aca="false">IF(AC229&gt;0,O229,"")</f>
        <v/>
      </c>
      <c r="AC229" s="112"/>
      <c r="AD229" s="112"/>
      <c r="AE229" s="113" t="str">
        <f aca="false">IF(AC229&gt;0,P229,"")</f>
        <v/>
      </c>
      <c r="AF229" s="114" t="str">
        <f aca="false">IF(AE229=6,AA229*AB229*AC229*AD229*(AE229/1000)*0.222*1,IF(AE229&gt;6,"",IF(AE229&lt;6,"")))</f>
        <v/>
      </c>
      <c r="AG229" s="107" t="str">
        <f aca="false">IF(AE229=8,AA229*AB229*AC229*AD229*(AE229/1000)*0.395*1,IF(AE229&gt;8,"",IF(AE229&lt;8,"")))</f>
        <v/>
      </c>
      <c r="AH229" s="107" t="str">
        <f aca="false">IF(AE229=10,AA229*AB229*AC229*AD229*(AE229/1000)*0.617*1,IF(AE229&gt;10,"",IF(AE229&lt;10,"")))</f>
        <v/>
      </c>
      <c r="AI229" s="107" t="str">
        <f aca="false">IF(AE229=12,AA229*AB229*AC229*AD229*(AE229/1000)*0.888*1,IF(AE229&gt;12,"",IF(AE229&lt;12,"")))</f>
        <v/>
      </c>
      <c r="AJ229" s="107" t="str">
        <f aca="false">IF(AE229=16,AA229*AB229*AC229*AD229*(AE229/1000)*1.578*1,IF(AE229&gt;16,"",IF(AE229&lt;16,"")))</f>
        <v/>
      </c>
      <c r="AK229" s="107" t="str">
        <f aca="false">IF(AE229=20,AA229*AB229*AC229*AD229*(AE229/1000)*2.466*1,IF(AE229&gt;20,"",IF(AE229&lt;20,"")))</f>
        <v/>
      </c>
      <c r="AL229" s="107" t="str">
        <f aca="false">IF(AE229=25,AA229*AB229*AC229*AD229*(AE229/1000)*3.853*1,IF(AE229&gt;25,"",IF(AE229&lt;25,"")))</f>
        <v/>
      </c>
      <c r="AM229" s="115" t="str">
        <f aca="false">IF(AE229=32,AA229*AB229*AC229*AD229*(AE229/1000)*6.313*1,IF(AE229&gt;32,"",IF(AE229&lt;32,"")))</f>
        <v/>
      </c>
      <c r="AN229" s="128"/>
      <c r="AO229" s="117" t="s">
        <v>188</v>
      </c>
      <c r="AP229" s="118" t="n">
        <f aca="false">SUM(R229:Y229)+SUM(AN229)</f>
        <v>9.8592</v>
      </c>
      <c r="AQ229" s="118" t="n">
        <f aca="false">SUM(AF229:AM229)</f>
        <v>0</v>
      </c>
      <c r="AR229" s="118"/>
      <c r="AS229" s="119"/>
      <c r="AT229" s="119" t="s">
        <v>162</v>
      </c>
    </row>
    <row r="230" customFormat="false" ht="13.5" hidden="false" customHeight="false" outlineLevel="0" collapsed="false">
      <c r="A230" s="129"/>
      <c r="B230" s="172"/>
      <c r="C230" s="110"/>
      <c r="D230" s="122"/>
      <c r="E230" s="122"/>
      <c r="F230" s="173"/>
      <c r="G230" s="123"/>
      <c r="H230" s="101"/>
      <c r="I230" s="123"/>
      <c r="J230" s="101"/>
      <c r="K230" s="124" t="s">
        <v>579</v>
      </c>
      <c r="L230" s="125"/>
      <c r="M230" s="125"/>
      <c r="N230" s="126" t="n">
        <f aca="false">2*$C$228</f>
        <v>2</v>
      </c>
      <c r="O230" s="126" t="n">
        <f aca="false">CEILING(($E$228-2*0.035)/0.15,1)+1</f>
        <v>7</v>
      </c>
      <c r="P230" s="126" t="n">
        <v>10</v>
      </c>
      <c r="Q230" s="127" t="n">
        <f aca="false">1.65+2*(0.25-0.035)</f>
        <v>2.08</v>
      </c>
      <c r="R230" s="105" t="str">
        <f aca="false">IF(P230=6,N230*O230*Q230*0.222*1,IF(P230&gt;6,"",IF(P230&lt;6,"")))</f>
        <v/>
      </c>
      <c r="S230" s="106" t="str">
        <f aca="false">IF(P230=8,N230*O230*Q230*0.395*1,IF(P230&gt;8,"",IF(P230&lt;8,"")))</f>
        <v/>
      </c>
      <c r="T230" s="106" t="n">
        <f aca="false">IF(P230=10,N230*O230*Q230*0.617*1,IF(P230&gt;10,"",IF(P230&lt;10,"")))</f>
        <v>17.96704</v>
      </c>
      <c r="U230" s="106" t="str">
        <f aca="false">IF(P230=12,N230*O230*Q230*0.888*1,IF(P230&gt;12,"",IF(P230&lt;12,"")))</f>
        <v/>
      </c>
      <c r="V230" s="107" t="str">
        <f aca="false">IF(P230=16,N230*O230*Q230*1.578*1,IF(P230&gt;16,"",IF(P230&lt;16,"")))</f>
        <v/>
      </c>
      <c r="W230" s="106" t="str">
        <f aca="false">IF(P230=20,N230*O230*Q230*2.466*1,IF(P230&gt;20,"",IF(P230&lt;20,"")))</f>
        <v/>
      </c>
      <c r="X230" s="106" t="str">
        <f aca="false">IF(P230=25,N230*O230*Q230*3.853*1,IF(P230&gt;25,"",IF(P230&lt;25,"")))</f>
        <v/>
      </c>
      <c r="Y230" s="108" t="str">
        <f aca="false">IF(P230=32,N230*O230*Q230*6.313*1,IF(P230&gt;32,"",IF(P230&lt;32,"")))</f>
        <v/>
      </c>
      <c r="Z230" s="109"/>
      <c r="AA230" s="110" t="str">
        <f aca="false">IF(AC230&gt;0,N230,"")</f>
        <v/>
      </c>
      <c r="AB230" s="111" t="str">
        <f aca="false">IF(AC230&gt;0,O230,"")</f>
        <v/>
      </c>
      <c r="AC230" s="112"/>
      <c r="AD230" s="112"/>
      <c r="AE230" s="113" t="str">
        <f aca="false">IF(AC230&gt;0,P230,"")</f>
        <v/>
      </c>
      <c r="AF230" s="114" t="str">
        <f aca="false">IF(AE230=6,AA230*AB230*AC230*AD230*(AE230/1000)*0.222*1,IF(AE230&gt;6,"",IF(AE230&lt;6,"")))</f>
        <v/>
      </c>
      <c r="AG230" s="107" t="str">
        <f aca="false">IF(AE230=8,AA230*AB230*AC230*AD230*(AE230/1000)*0.395*1,IF(AE230&gt;8,"",IF(AE230&lt;8,"")))</f>
        <v/>
      </c>
      <c r="AH230" s="107" t="str">
        <f aca="false">IF(AE230=10,AA230*AB230*AC230*AD230*(AE230/1000)*0.617*1,IF(AE230&gt;10,"",IF(AE230&lt;10,"")))</f>
        <v/>
      </c>
      <c r="AI230" s="107" t="str">
        <f aca="false">IF(AE230=12,AA230*AB230*AC230*AD230*(AE230/1000)*0.888*1,IF(AE230&gt;12,"",IF(AE230&lt;12,"")))</f>
        <v/>
      </c>
      <c r="AJ230" s="107" t="str">
        <f aca="false">IF(AE230=16,AA230*AB230*AC230*AD230*(AE230/1000)*1.578*1,IF(AE230&gt;16,"",IF(AE230&lt;16,"")))</f>
        <v/>
      </c>
      <c r="AK230" s="107" t="str">
        <f aca="false">IF(AE230=20,AA230*AB230*AC230*AD230*(AE230/1000)*2.466*1,IF(AE230&gt;20,"",IF(AE230&lt;20,"")))</f>
        <v/>
      </c>
      <c r="AL230" s="107" t="str">
        <f aca="false">IF(AE230=25,AA230*AB230*AC230*AD230*(AE230/1000)*3.853*1,IF(AE230&gt;25,"",IF(AE230&lt;25,"")))</f>
        <v/>
      </c>
      <c r="AM230" s="115" t="str">
        <f aca="false">IF(AE230=32,AA230*AB230*AC230*AD230*(AE230/1000)*6.313*1,IF(AE230&gt;32,"",IF(AE230&lt;32,"")))</f>
        <v/>
      </c>
      <c r="AN230" s="128"/>
      <c r="AO230" s="117" t="s">
        <v>188</v>
      </c>
      <c r="AP230" s="118" t="n">
        <f aca="false">SUM(R230:Y230)+SUM(AN230)</f>
        <v>17.96704</v>
      </c>
      <c r="AQ230" s="118" t="n">
        <f aca="false">SUM(AF230:AM230)</f>
        <v>0</v>
      </c>
      <c r="AR230" s="118"/>
      <c r="AS230" s="119" t="s">
        <v>398</v>
      </c>
      <c r="AT230" s="119" t="s">
        <v>162</v>
      </c>
    </row>
    <row r="231" customFormat="false" ht="13.5" hidden="false" customHeight="false" outlineLevel="0" collapsed="false">
      <c r="A231" s="129"/>
      <c r="B231" s="130"/>
      <c r="C231" s="110"/>
      <c r="D231" s="122"/>
      <c r="E231" s="122"/>
      <c r="F231" s="122"/>
      <c r="G231" s="123"/>
      <c r="H231" s="101"/>
      <c r="I231" s="123"/>
      <c r="J231" s="101"/>
      <c r="K231" s="124"/>
      <c r="L231" s="125"/>
      <c r="M231" s="125"/>
      <c r="N231" s="126"/>
      <c r="O231" s="126"/>
      <c r="P231" s="126"/>
      <c r="Q231" s="127"/>
      <c r="R231" s="105"/>
      <c r="S231" s="106"/>
      <c r="T231" s="106"/>
      <c r="U231" s="106"/>
      <c r="V231" s="107"/>
      <c r="W231" s="106"/>
      <c r="X231" s="106"/>
      <c r="Y231" s="108"/>
      <c r="Z231" s="109"/>
      <c r="AA231" s="110"/>
      <c r="AB231" s="111"/>
      <c r="AC231" s="112"/>
      <c r="AD231" s="112"/>
      <c r="AE231" s="113"/>
      <c r="AF231" s="114"/>
      <c r="AG231" s="107"/>
      <c r="AH231" s="107"/>
      <c r="AI231" s="107"/>
      <c r="AJ231" s="107"/>
      <c r="AK231" s="107"/>
      <c r="AL231" s="107"/>
      <c r="AM231" s="115"/>
      <c r="AO231" s="117"/>
      <c r="AP231" s="118"/>
      <c r="AQ231" s="118"/>
      <c r="AR231" s="118"/>
      <c r="AS231" s="119"/>
      <c r="AT231" s="119"/>
    </row>
    <row r="232" customFormat="false" ht="13.5" hidden="false" customHeight="false" outlineLevel="0" collapsed="false">
      <c r="A232" s="120"/>
      <c r="B232" s="121" t="s">
        <v>582</v>
      </c>
      <c r="C232" s="110" t="n">
        <v>1</v>
      </c>
      <c r="D232" s="122" t="n">
        <v>0.15</v>
      </c>
      <c r="E232" s="122" t="n">
        <v>0.87</v>
      </c>
      <c r="F232" s="122" t="n">
        <f aca="false">0.2153/(0.15*0.87)</f>
        <v>1.64980842911877</v>
      </c>
      <c r="G232" s="123" t="n">
        <f aca="false">C232*D232*E232*F232</f>
        <v>0.2153</v>
      </c>
      <c r="H232" s="101"/>
      <c r="I232" s="123" t="n">
        <f aca="false">C232*F232*(D232+(E232-0.2)+(E232))</f>
        <v>2.78817624521073</v>
      </c>
      <c r="J232" s="101"/>
      <c r="K232" s="124"/>
      <c r="L232" s="125"/>
      <c r="M232" s="125"/>
      <c r="N232" s="126"/>
      <c r="O232" s="126"/>
      <c r="P232" s="126"/>
      <c r="Q232" s="127"/>
      <c r="R232" s="105" t="str">
        <f aca="false">IF(P232=6,N232*O232*Q232*0.222*1,IF(P232&gt;6,"",IF(P232&lt;6,"")))</f>
        <v/>
      </c>
      <c r="S232" s="106" t="str">
        <f aca="false">IF(P232=8,N232*O232*Q232*0.395*1,IF(P232&gt;8,"",IF(P232&lt;8,"")))</f>
        <v/>
      </c>
      <c r="T232" s="106" t="str">
        <f aca="false">IF(P232=10,N232*O232*Q232*0.617*1,IF(P232&gt;10,"",IF(P232&lt;10,"")))</f>
        <v/>
      </c>
      <c r="U232" s="106" t="str">
        <f aca="false">IF(P232=12,N232*O232*Q232*0.888*1,IF(P232&gt;12,"",IF(P232&lt;12,"")))</f>
        <v/>
      </c>
      <c r="V232" s="107" t="str">
        <f aca="false">IF(P232=16,N232*O232*Q232*1.578*1,IF(P232&gt;16,"",IF(P232&lt;16,"")))</f>
        <v/>
      </c>
      <c r="W232" s="106" t="str">
        <f aca="false">IF(P232=20,N232*O232*Q232*2.466*1,IF(P232&gt;20,"",IF(P232&lt;20,"")))</f>
        <v/>
      </c>
      <c r="X232" s="106" t="str">
        <f aca="false">IF(P232=25,N232*O232*Q232*3.853*1,IF(P232&gt;25,"",IF(P232&lt;25,"")))</f>
        <v/>
      </c>
      <c r="Y232" s="108" t="str">
        <f aca="false">IF(P232=32,N232*O232*Q232*6.313*1,IF(P232&gt;32,"",IF(P232&lt;32,"")))</f>
        <v/>
      </c>
      <c r="Z232" s="109"/>
      <c r="AA232" s="110" t="str">
        <f aca="false">IF(AC232&gt;0,N232,"")</f>
        <v/>
      </c>
      <c r="AB232" s="111" t="str">
        <f aca="false">IF(AC232&gt;0,O232,"")</f>
        <v/>
      </c>
      <c r="AC232" s="112"/>
      <c r="AD232" s="112"/>
      <c r="AE232" s="113" t="str">
        <f aca="false">IF(AC232&gt;0,P232,"")</f>
        <v/>
      </c>
      <c r="AF232" s="114" t="str">
        <f aca="false">IF(AE232=6,AA232*AB232*AC232*AD232*(AE232/1000)*0.222*1,IF(AE232&gt;6,"",IF(AE232&lt;6,"")))</f>
        <v/>
      </c>
      <c r="AG232" s="107" t="str">
        <f aca="false">IF(AE232=8,AA232*AB232*AC232*AD232*(AE232/1000)*0.395*1,IF(AE232&gt;8,"",IF(AE232&lt;8,"")))</f>
        <v/>
      </c>
      <c r="AH232" s="107" t="str">
        <f aca="false">IF(AE232=10,AA232*AB232*AC232*AD232*(AE232/1000)*0.617*1,IF(AE232&gt;10,"",IF(AE232&lt;10,"")))</f>
        <v/>
      </c>
      <c r="AI232" s="107" t="str">
        <f aca="false">IF(AE232=12,AA232*AB232*AC232*AD232*(AE232/1000)*0.888*1,IF(AE232&gt;12,"",IF(AE232&lt;12,"")))</f>
        <v/>
      </c>
      <c r="AJ232" s="107" t="str">
        <f aca="false">IF(AE232=16,AA232*AB232*AC232*AD232*(AE232/1000)*1.578*1,IF(AE232&gt;16,"",IF(AE232&lt;16,"")))</f>
        <v/>
      </c>
      <c r="AK232" s="107" t="str">
        <f aca="false">IF(AE232=20,AA232*AB232*AC232*AD232*(AE232/1000)*2.466*1,IF(AE232&gt;20,"",IF(AE232&lt;20,"")))</f>
        <v/>
      </c>
      <c r="AL232" s="107" t="str">
        <f aca="false">IF(AE232=25,AA232*AB232*AC232*AD232*(AE232/1000)*3.853*1,IF(AE232&gt;25,"",IF(AE232&lt;25,"")))</f>
        <v/>
      </c>
      <c r="AM232" s="115" t="str">
        <f aca="false">IF(AE232=32,AA232*AB232*AC232*AD232*(AE232/1000)*6.313*1,IF(AE232&gt;32,"",IF(AE232&lt;32,"")))</f>
        <v/>
      </c>
      <c r="AN232" s="128"/>
      <c r="AO232" s="117" t="s">
        <v>188</v>
      </c>
      <c r="AP232" s="118" t="n">
        <f aca="false">SUM(R232:Y232)+SUM(AN232)</f>
        <v>0</v>
      </c>
      <c r="AQ232" s="118" t="n">
        <f aca="false">SUM(AF232:AM232)</f>
        <v>0</v>
      </c>
      <c r="AR232" s="118" t="n">
        <v>0.2153</v>
      </c>
      <c r="AS232" s="119" t="s">
        <v>583</v>
      </c>
      <c r="AT232" s="119" t="s">
        <v>209</v>
      </c>
    </row>
    <row r="233" customFormat="false" ht="13.5" hidden="false" customHeight="false" outlineLevel="0" collapsed="false">
      <c r="A233" s="129"/>
      <c r="B233" s="172"/>
      <c r="C233" s="110"/>
      <c r="D233" s="122"/>
      <c r="E233" s="122"/>
      <c r="F233" s="173"/>
      <c r="G233" s="123"/>
      <c r="H233" s="101"/>
      <c r="I233" s="123"/>
      <c r="J233" s="101"/>
      <c r="K233" s="124" t="s">
        <v>307</v>
      </c>
      <c r="L233" s="125" t="n">
        <f aca="false">$F$232</f>
        <v>1.64980842911877</v>
      </c>
      <c r="M233" s="125" t="n">
        <v>0.15</v>
      </c>
      <c r="N233" s="126" t="n">
        <f aca="false">$C$232</f>
        <v>1</v>
      </c>
      <c r="O233" s="126" t="n">
        <f aca="false">CEILING(L233/M233,1)+1</f>
        <v>12</v>
      </c>
      <c r="P233" s="126" t="n">
        <v>8</v>
      </c>
      <c r="Q233" s="127" t="n">
        <f aca="false">2*($D$232-2*0.035)+2*($E$232-2*0.035)+20*8/1000</f>
        <v>1.92</v>
      </c>
      <c r="R233" s="105" t="str">
        <f aca="false">IF(P233=6,N233*O233*Q233*0.222*1,IF(P233&gt;6,"",IF(P233&lt;6,"")))</f>
        <v/>
      </c>
      <c r="S233" s="106" t="n">
        <f aca="false">IF(P233=8,N233*O233*Q233*0.395*1,IF(P233&gt;8,"",IF(P233&lt;8,"")))</f>
        <v>9.1008</v>
      </c>
      <c r="T233" s="106" t="str">
        <f aca="false">IF(P233=10,N233*O233*Q233*0.617*1,IF(P233&gt;10,"",IF(P233&lt;10,"")))</f>
        <v/>
      </c>
      <c r="U233" s="106" t="str">
        <f aca="false">IF(P233=12,N233*O233*Q233*0.888*1,IF(P233&gt;12,"",IF(P233&lt;12,"")))</f>
        <v/>
      </c>
      <c r="V233" s="107" t="str">
        <f aca="false">IF(P233=16,N233*O233*Q233*1.578*1,IF(P233&gt;16,"",IF(P233&lt;16,"")))</f>
        <v/>
      </c>
      <c r="W233" s="106" t="str">
        <f aca="false">IF(P233=20,N233*O233*Q233*2.466*1,IF(P233&gt;20,"",IF(P233&lt;20,"")))</f>
        <v/>
      </c>
      <c r="X233" s="106" t="str">
        <f aca="false">IF(P233=25,N233*O233*Q233*3.853*1,IF(P233&gt;25,"",IF(P233&lt;25,"")))</f>
        <v/>
      </c>
      <c r="Y233" s="108" t="str">
        <f aca="false">IF(P233=32,N233*O233*Q233*6.313*1,IF(P233&gt;32,"",IF(P233&lt;32,"")))</f>
        <v/>
      </c>
      <c r="Z233" s="109"/>
      <c r="AA233" s="110" t="str">
        <f aca="false">IF(AC233&gt;0,N233,"")</f>
        <v/>
      </c>
      <c r="AB233" s="111" t="str">
        <f aca="false">IF(AC233&gt;0,O233,"")</f>
        <v/>
      </c>
      <c r="AC233" s="112"/>
      <c r="AD233" s="112"/>
      <c r="AE233" s="113" t="str">
        <f aca="false">IF(AC233&gt;0,P233,"")</f>
        <v/>
      </c>
      <c r="AF233" s="114" t="str">
        <f aca="false">IF(AE233=6,AA233*AB233*AC233*AD233*(AE233/1000)*0.222*1,IF(AE233&gt;6,"",IF(AE233&lt;6,"")))</f>
        <v/>
      </c>
      <c r="AG233" s="107" t="str">
        <f aca="false">IF(AE233=8,AA233*AB233*AC233*AD233*(AE233/1000)*0.395*1,IF(AE233&gt;8,"",IF(AE233&lt;8,"")))</f>
        <v/>
      </c>
      <c r="AH233" s="107" t="str">
        <f aca="false">IF(AE233=10,AA233*AB233*AC233*AD233*(AE233/1000)*0.617*1,IF(AE233&gt;10,"",IF(AE233&lt;10,"")))</f>
        <v/>
      </c>
      <c r="AI233" s="107" t="str">
        <f aca="false">IF(AE233=12,AA233*AB233*AC233*AD233*(AE233/1000)*0.888*1,IF(AE233&gt;12,"",IF(AE233&lt;12,"")))</f>
        <v/>
      </c>
      <c r="AJ233" s="107" t="str">
        <f aca="false">IF(AE233=16,AA233*AB233*AC233*AD233*(AE233/1000)*1.578*1,IF(AE233&gt;16,"",IF(AE233&lt;16,"")))</f>
        <v/>
      </c>
      <c r="AK233" s="107" t="str">
        <f aca="false">IF(AE233=20,AA233*AB233*AC233*AD233*(AE233/1000)*2.466*1,IF(AE233&gt;20,"",IF(AE233&lt;20,"")))</f>
        <v/>
      </c>
      <c r="AL233" s="107" t="str">
        <f aca="false">IF(AE233=25,AA233*AB233*AC233*AD233*(AE233/1000)*3.853*1,IF(AE233&gt;25,"",IF(AE233&lt;25,"")))</f>
        <v/>
      </c>
      <c r="AM233" s="115" t="str">
        <f aca="false">IF(AE233=32,AA233*AB233*AC233*AD233*(AE233/1000)*6.313*1,IF(AE233&gt;32,"",IF(AE233&lt;32,"")))</f>
        <v/>
      </c>
      <c r="AN233" s="128"/>
      <c r="AO233" s="117" t="s">
        <v>188</v>
      </c>
      <c r="AP233" s="118" t="n">
        <f aca="false">SUM(R233:Y233)+SUM(AN233)</f>
        <v>9.1008</v>
      </c>
      <c r="AQ233" s="118" t="n">
        <f aca="false">SUM(AF233:AM233)</f>
        <v>0</v>
      </c>
      <c r="AR233" s="118"/>
      <c r="AS233" s="119"/>
      <c r="AT233" s="119" t="s">
        <v>162</v>
      </c>
    </row>
    <row r="234" customFormat="false" ht="13.5" hidden="false" customHeight="false" outlineLevel="0" collapsed="false">
      <c r="A234" s="129"/>
      <c r="B234" s="172"/>
      <c r="C234" s="110"/>
      <c r="D234" s="122"/>
      <c r="E234" s="122"/>
      <c r="F234" s="173"/>
      <c r="G234" s="123"/>
      <c r="H234" s="101"/>
      <c r="I234" s="123"/>
      <c r="J234" s="101"/>
      <c r="K234" s="124" t="s">
        <v>579</v>
      </c>
      <c r="L234" s="125"/>
      <c r="M234" s="125"/>
      <c r="N234" s="126" t="n">
        <f aca="false">2*$C$232</f>
        <v>2</v>
      </c>
      <c r="O234" s="126" t="n">
        <f aca="false">CEILING(($E$232-2*0.035)/0.15,1)+1</f>
        <v>7</v>
      </c>
      <c r="P234" s="126" t="n">
        <v>10</v>
      </c>
      <c r="Q234" s="127" t="n">
        <f aca="false">1.65+2*(0.25-0.035)</f>
        <v>2.08</v>
      </c>
      <c r="R234" s="105" t="str">
        <f aca="false">IF(P234=6,N234*O234*Q234*0.222*1,IF(P234&gt;6,"",IF(P234&lt;6,"")))</f>
        <v/>
      </c>
      <c r="S234" s="106" t="str">
        <f aca="false">IF(P234=8,N234*O234*Q234*0.395*1,IF(P234&gt;8,"",IF(P234&lt;8,"")))</f>
        <v/>
      </c>
      <c r="T234" s="106" t="n">
        <f aca="false">IF(P234=10,N234*O234*Q234*0.617*1,IF(P234&gt;10,"",IF(P234&lt;10,"")))</f>
        <v>17.96704</v>
      </c>
      <c r="U234" s="106" t="str">
        <f aca="false">IF(P234=12,N234*O234*Q234*0.888*1,IF(P234&gt;12,"",IF(P234&lt;12,"")))</f>
        <v/>
      </c>
      <c r="V234" s="107" t="str">
        <f aca="false">IF(P234=16,N234*O234*Q234*1.578*1,IF(P234&gt;16,"",IF(P234&lt;16,"")))</f>
        <v/>
      </c>
      <c r="W234" s="106" t="str">
        <f aca="false">IF(P234=20,N234*O234*Q234*2.466*1,IF(P234&gt;20,"",IF(P234&lt;20,"")))</f>
        <v/>
      </c>
      <c r="X234" s="106" t="str">
        <f aca="false">IF(P234=25,N234*O234*Q234*3.853*1,IF(P234&gt;25,"",IF(P234&lt;25,"")))</f>
        <v/>
      </c>
      <c r="Y234" s="108" t="str">
        <f aca="false">IF(P234=32,N234*O234*Q234*6.313*1,IF(P234&gt;32,"",IF(P234&lt;32,"")))</f>
        <v/>
      </c>
      <c r="Z234" s="109"/>
      <c r="AA234" s="110" t="str">
        <f aca="false">IF(AC234&gt;0,N234,"")</f>
        <v/>
      </c>
      <c r="AB234" s="111" t="str">
        <f aca="false">IF(AC234&gt;0,O234,"")</f>
        <v/>
      </c>
      <c r="AC234" s="112"/>
      <c r="AD234" s="112"/>
      <c r="AE234" s="113" t="str">
        <f aca="false">IF(AC234&gt;0,P234,"")</f>
        <v/>
      </c>
      <c r="AF234" s="114" t="str">
        <f aca="false">IF(AE234=6,AA234*AB234*AC234*AD234*(AE234/1000)*0.222*1,IF(AE234&gt;6,"",IF(AE234&lt;6,"")))</f>
        <v/>
      </c>
      <c r="AG234" s="107" t="str">
        <f aca="false">IF(AE234=8,AA234*AB234*AC234*AD234*(AE234/1000)*0.395*1,IF(AE234&gt;8,"",IF(AE234&lt;8,"")))</f>
        <v/>
      </c>
      <c r="AH234" s="107" t="str">
        <f aca="false">IF(AE234=10,AA234*AB234*AC234*AD234*(AE234/1000)*0.617*1,IF(AE234&gt;10,"",IF(AE234&lt;10,"")))</f>
        <v/>
      </c>
      <c r="AI234" s="107" t="str">
        <f aca="false">IF(AE234=12,AA234*AB234*AC234*AD234*(AE234/1000)*0.888*1,IF(AE234&gt;12,"",IF(AE234&lt;12,"")))</f>
        <v/>
      </c>
      <c r="AJ234" s="107" t="str">
        <f aca="false">IF(AE234=16,AA234*AB234*AC234*AD234*(AE234/1000)*1.578*1,IF(AE234&gt;16,"",IF(AE234&lt;16,"")))</f>
        <v/>
      </c>
      <c r="AK234" s="107" t="str">
        <f aca="false">IF(AE234=20,AA234*AB234*AC234*AD234*(AE234/1000)*2.466*1,IF(AE234&gt;20,"",IF(AE234&lt;20,"")))</f>
        <v/>
      </c>
      <c r="AL234" s="107" t="str">
        <f aca="false">IF(AE234=25,AA234*AB234*AC234*AD234*(AE234/1000)*3.853*1,IF(AE234&gt;25,"",IF(AE234&lt;25,"")))</f>
        <v/>
      </c>
      <c r="AM234" s="115" t="str">
        <f aca="false">IF(AE234=32,AA234*AB234*AC234*AD234*(AE234/1000)*6.313*1,IF(AE234&gt;32,"",IF(AE234&lt;32,"")))</f>
        <v/>
      </c>
      <c r="AN234" s="128"/>
      <c r="AO234" s="117" t="s">
        <v>188</v>
      </c>
      <c r="AP234" s="118" t="n">
        <f aca="false">SUM(R234:Y234)+SUM(AN234)</f>
        <v>17.96704</v>
      </c>
      <c r="AQ234" s="118" t="n">
        <f aca="false">SUM(AF234:AM234)</f>
        <v>0</v>
      </c>
      <c r="AR234" s="118"/>
      <c r="AS234" s="119" t="s">
        <v>398</v>
      </c>
      <c r="AT234" s="119" t="s">
        <v>162</v>
      </c>
    </row>
    <row r="235" customFormat="false" ht="13.5" hidden="false" customHeight="false" outlineLevel="0" collapsed="false">
      <c r="A235" s="129"/>
      <c r="B235" s="130"/>
      <c r="C235" s="110"/>
      <c r="D235" s="122"/>
      <c r="E235" s="122"/>
      <c r="F235" s="122"/>
      <c r="G235" s="123"/>
      <c r="H235" s="101"/>
      <c r="I235" s="123"/>
      <c r="J235" s="101"/>
      <c r="K235" s="124"/>
      <c r="L235" s="125"/>
      <c r="M235" s="125"/>
      <c r="N235" s="126"/>
      <c r="O235" s="126"/>
      <c r="P235" s="126"/>
      <c r="Q235" s="127"/>
      <c r="R235" s="105"/>
      <c r="S235" s="106"/>
      <c r="T235" s="106"/>
      <c r="U235" s="106"/>
      <c r="V235" s="107"/>
      <c r="W235" s="106"/>
      <c r="X235" s="106"/>
      <c r="Y235" s="108"/>
      <c r="Z235" s="109"/>
      <c r="AA235" s="110"/>
      <c r="AB235" s="111"/>
      <c r="AC235" s="112"/>
      <c r="AD235" s="112"/>
      <c r="AE235" s="113"/>
      <c r="AF235" s="114"/>
      <c r="AG235" s="107"/>
      <c r="AH235" s="107"/>
      <c r="AI235" s="107"/>
      <c r="AJ235" s="107"/>
      <c r="AK235" s="107"/>
      <c r="AL235" s="107"/>
      <c r="AM235" s="115"/>
      <c r="AO235" s="117"/>
      <c r="AP235" s="118"/>
      <c r="AQ235" s="118"/>
      <c r="AR235" s="118"/>
      <c r="AS235" s="119"/>
      <c r="AT235" s="119"/>
    </row>
    <row r="236" customFormat="false" ht="19.4" hidden="false" customHeight="false" outlineLevel="0" collapsed="false">
      <c r="A236" s="96"/>
      <c r="B236" s="97" t="s">
        <v>584</v>
      </c>
      <c r="C236" s="98"/>
      <c r="D236" s="99"/>
      <c r="E236" s="99"/>
      <c r="F236" s="99"/>
      <c r="G236" s="100"/>
      <c r="H236" s="101"/>
      <c r="I236" s="100"/>
      <c r="J236" s="101"/>
      <c r="K236" s="102"/>
      <c r="L236" s="103"/>
      <c r="M236" s="103"/>
      <c r="N236" s="104"/>
      <c r="O236" s="104"/>
      <c r="P236" s="104"/>
      <c r="Q236" s="100"/>
      <c r="R236" s="105"/>
      <c r="S236" s="106"/>
      <c r="T236" s="106"/>
      <c r="U236" s="106"/>
      <c r="V236" s="107"/>
      <c r="W236" s="106"/>
      <c r="X236" s="106"/>
      <c r="Y236" s="108"/>
      <c r="Z236" s="109"/>
      <c r="AA236" s="110"/>
      <c r="AB236" s="111"/>
      <c r="AC236" s="112"/>
      <c r="AD236" s="112"/>
      <c r="AE236" s="113"/>
      <c r="AF236" s="114"/>
      <c r="AG236" s="107"/>
      <c r="AH236" s="107"/>
      <c r="AI236" s="107"/>
      <c r="AJ236" s="107"/>
      <c r="AK236" s="107"/>
      <c r="AL236" s="107"/>
      <c r="AM236" s="115"/>
      <c r="AO236" s="117"/>
      <c r="AP236" s="118"/>
      <c r="AQ236" s="118"/>
      <c r="AR236" s="118"/>
      <c r="AS236" s="119"/>
      <c r="AT236" s="119"/>
    </row>
    <row r="237" customFormat="false" ht="13.5" hidden="false" customHeight="false" outlineLevel="0" collapsed="false">
      <c r="A237" s="120"/>
      <c r="B237" s="121" t="s">
        <v>585</v>
      </c>
      <c r="C237" s="110" t="n">
        <v>1</v>
      </c>
      <c r="D237" s="122" t="n">
        <v>0.2</v>
      </c>
      <c r="E237" s="122" t="n">
        <v>0.2</v>
      </c>
      <c r="F237" s="122" t="n">
        <f aca="false">0.5636/(0.2*0.2)</f>
        <v>14.09</v>
      </c>
      <c r="G237" s="123" t="n">
        <f aca="false">C237*D237*E237*F237</f>
        <v>0.5636</v>
      </c>
      <c r="H237" s="101"/>
      <c r="I237" s="123" t="n">
        <f aca="false">C237*F237*2*E237</f>
        <v>5.636</v>
      </c>
      <c r="J237" s="101"/>
      <c r="K237" s="124"/>
      <c r="L237" s="125"/>
      <c r="M237" s="125"/>
      <c r="N237" s="126"/>
      <c r="O237" s="126"/>
      <c r="P237" s="126"/>
      <c r="Q237" s="127"/>
      <c r="R237" s="105" t="str">
        <f aca="false">IF(P237=6,N237*O237*Q237*0.222*1,IF(P237&gt;6,"",IF(P237&lt;6,"")))</f>
        <v/>
      </c>
      <c r="S237" s="106" t="str">
        <f aca="false">IF(P237=8,N237*O237*Q237*0.395*1,IF(P237&gt;8,"",IF(P237&lt;8,"")))</f>
        <v/>
      </c>
      <c r="T237" s="106" t="str">
        <f aca="false">IF(P237=10,N237*O237*Q237*0.617*1,IF(P237&gt;10,"",IF(P237&lt;10,"")))</f>
        <v/>
      </c>
      <c r="U237" s="106" t="str">
        <f aca="false">IF(P237=12,N237*O237*Q237*0.888*1,IF(P237&gt;12,"",IF(P237&lt;12,"")))</f>
        <v/>
      </c>
      <c r="V237" s="107" t="str">
        <f aca="false">IF(P237=16,N237*O237*Q237*1.578*1,IF(P237&gt;16,"",IF(P237&lt;16,"")))</f>
        <v/>
      </c>
      <c r="W237" s="106" t="str">
        <f aca="false">IF(P237=20,N237*O237*Q237*2.466*1,IF(P237&gt;20,"",IF(P237&lt;20,"")))</f>
        <v/>
      </c>
      <c r="X237" s="106" t="str">
        <f aca="false">IF(P237=25,N237*O237*Q237*3.853*1,IF(P237&gt;25,"",IF(P237&lt;25,"")))</f>
        <v/>
      </c>
      <c r="Y237" s="108" t="str">
        <f aca="false">IF(P237=32,N237*O237*Q237*6.313*1,IF(P237&gt;32,"",IF(P237&lt;32,"")))</f>
        <v/>
      </c>
      <c r="Z237" s="109"/>
      <c r="AA237" s="110" t="str">
        <f aca="false">IF(AC237&gt;0,N237,"")</f>
        <v/>
      </c>
      <c r="AB237" s="111" t="str">
        <f aca="false">IF(AC237&gt;0,O237,"")</f>
        <v/>
      </c>
      <c r="AC237" s="112"/>
      <c r="AD237" s="112"/>
      <c r="AE237" s="113" t="str">
        <f aca="false">IF(AC237&gt;0,P237,"")</f>
        <v/>
      </c>
      <c r="AF237" s="114" t="str">
        <f aca="false">IF(AE237=6,AA237*AB237*AC237*AD237*(AE237/1000)*0.222*1,IF(AE237&gt;6,"",IF(AE237&lt;6,"")))</f>
        <v/>
      </c>
      <c r="AG237" s="107" t="str">
        <f aca="false">IF(AE237=8,AA237*AB237*AC237*AD237*(AE237/1000)*0.395*1,IF(AE237&gt;8,"",IF(AE237&lt;8,"")))</f>
        <v/>
      </c>
      <c r="AH237" s="107" t="str">
        <f aca="false">IF(AE237=10,AA237*AB237*AC237*AD237*(AE237/1000)*0.617*1,IF(AE237&gt;10,"",IF(AE237&lt;10,"")))</f>
        <v/>
      </c>
      <c r="AI237" s="107" t="str">
        <f aca="false">IF(AE237=12,AA237*AB237*AC237*AD237*(AE237/1000)*0.888*1,IF(AE237&gt;12,"",IF(AE237&lt;12,"")))</f>
        <v/>
      </c>
      <c r="AJ237" s="107" t="str">
        <f aca="false">IF(AE237=16,AA237*AB237*AC237*AD237*(AE237/1000)*1.578*1,IF(AE237&gt;16,"",IF(AE237&lt;16,"")))</f>
        <v/>
      </c>
      <c r="AK237" s="107" t="str">
        <f aca="false">IF(AE237=20,AA237*AB237*AC237*AD237*(AE237/1000)*2.466*1,IF(AE237&gt;20,"",IF(AE237&lt;20,"")))</f>
        <v/>
      </c>
      <c r="AL237" s="107" t="str">
        <f aca="false">IF(AE237=25,AA237*AB237*AC237*AD237*(AE237/1000)*3.853*1,IF(AE237&gt;25,"",IF(AE237&lt;25,"")))</f>
        <v/>
      </c>
      <c r="AM237" s="115" t="str">
        <f aca="false">IF(AE237=32,AA237*AB237*AC237*AD237*(AE237/1000)*6.313*1,IF(AE237&gt;32,"",IF(AE237&lt;32,"")))</f>
        <v/>
      </c>
      <c r="AN237" s="128"/>
      <c r="AO237" s="117" t="s">
        <v>457</v>
      </c>
      <c r="AP237" s="118" t="n">
        <f aca="false">SUM(R237:Y237)+SUM(AN237)</f>
        <v>0</v>
      </c>
      <c r="AQ237" s="118" t="n">
        <f aca="false">SUM(AF237:AM237)</f>
        <v>0</v>
      </c>
      <c r="AR237" s="118" t="n">
        <v>0.5636</v>
      </c>
      <c r="AS237" s="119" t="s">
        <v>586</v>
      </c>
      <c r="AT237" s="119" t="s">
        <v>209</v>
      </c>
    </row>
    <row r="238" customFormat="false" ht="13.5" hidden="false" customHeight="false" outlineLevel="0" collapsed="false">
      <c r="A238" s="129"/>
      <c r="B238" s="172"/>
      <c r="C238" s="110"/>
      <c r="D238" s="122"/>
      <c r="E238" s="122"/>
      <c r="F238" s="173"/>
      <c r="G238" s="123"/>
      <c r="H238" s="101"/>
      <c r="I238" s="123"/>
      <c r="J238" s="101"/>
      <c r="K238" s="124" t="s">
        <v>587</v>
      </c>
      <c r="L238" s="125"/>
      <c r="M238" s="125"/>
      <c r="N238" s="126" t="n">
        <f aca="false">$C$237</f>
        <v>1</v>
      </c>
      <c r="O238" s="126" t="n">
        <v>4</v>
      </c>
      <c r="P238" s="126" t="n">
        <v>10</v>
      </c>
      <c r="Q238" s="127" t="n">
        <f aca="false">14.7317+2*50*10/1000</f>
        <v>15.7317</v>
      </c>
      <c r="R238" s="105" t="str">
        <f aca="false">IF(P238=6,N238*O238*Q238*0.222*1,IF(P238&gt;6,"",IF(P238&lt;6,"")))</f>
        <v/>
      </c>
      <c r="S238" s="106" t="str">
        <f aca="false">IF(P238=8,N238*O238*Q238*0.395*1,IF(P238&gt;8,"",IF(P238&lt;8,"")))</f>
        <v/>
      </c>
      <c r="T238" s="106" t="n">
        <f aca="false">IF(P238=10,N238*O238*Q238*0.617*1,IF(P238&gt;10,"",IF(P238&lt;10,"")))</f>
        <v>38.8258356</v>
      </c>
      <c r="U238" s="106" t="str">
        <f aca="false">IF(P238=12,N238*O238*Q238*0.888*1,IF(P238&gt;12,"",IF(P238&lt;12,"")))</f>
        <v/>
      </c>
      <c r="V238" s="107" t="str">
        <f aca="false">IF(P238=16,N238*O238*Q238*1.578*1,IF(P238&gt;16,"",IF(P238&lt;16,"")))</f>
        <v/>
      </c>
      <c r="W238" s="106" t="str">
        <f aca="false">IF(P238=20,N238*O238*Q238*2.466*1,IF(P238&gt;20,"",IF(P238&lt;20,"")))</f>
        <v/>
      </c>
      <c r="X238" s="106" t="str">
        <f aca="false">IF(P238=25,N238*O238*Q238*3.853*1,IF(P238&gt;25,"",IF(P238&lt;25,"")))</f>
        <v/>
      </c>
      <c r="Y238" s="108" t="str">
        <f aca="false">IF(P238=32,N238*O238*Q238*6.313*1,IF(P238&gt;32,"",IF(P238&lt;32,"")))</f>
        <v/>
      </c>
      <c r="Z238" s="109"/>
      <c r="AA238" s="110" t="n">
        <f aca="false">IF(AC238&gt;0,N238,"")</f>
        <v>1</v>
      </c>
      <c r="AB238" s="111" t="n">
        <f aca="false">IF(AC238&gt;0,O238,"")</f>
        <v>4</v>
      </c>
      <c r="AC238" s="112" t="n">
        <v>1</v>
      </c>
      <c r="AD238" s="112" t="n">
        <v>50</v>
      </c>
      <c r="AE238" s="113" t="n">
        <f aca="false">IF(AC238&gt;0,P238,"")</f>
        <v>10</v>
      </c>
      <c r="AF238" s="114" t="str">
        <f aca="false">IF(AE238=6,AA238*AB238*AC238*AD238*(AE238/1000)*0.222*1,IF(AE238&gt;6,"",IF(AE238&lt;6,"")))</f>
        <v/>
      </c>
      <c r="AG238" s="107" t="str">
        <f aca="false">IF(AE238=8,AA238*AB238*AC238*AD238*(AE238/1000)*0.395*1,IF(AE238&gt;8,"",IF(AE238&lt;8,"")))</f>
        <v/>
      </c>
      <c r="AH238" s="107" t="n">
        <f aca="false">IF(AE238=10,AA238*AB238*AC238*AD238*(AE238/1000)*0.617*1,IF(AE238&gt;10,"",IF(AE238&lt;10,"")))</f>
        <v>1.234</v>
      </c>
      <c r="AI238" s="107" t="str">
        <f aca="false">IF(AE238=12,AA238*AB238*AC238*AD238*(AE238/1000)*0.888*1,IF(AE238&gt;12,"",IF(AE238&lt;12,"")))</f>
        <v/>
      </c>
      <c r="AJ238" s="107" t="str">
        <f aca="false">IF(AE238=16,AA238*AB238*AC238*AD238*(AE238/1000)*1.578*1,IF(AE238&gt;16,"",IF(AE238&lt;16,"")))</f>
        <v/>
      </c>
      <c r="AK238" s="107" t="str">
        <f aca="false">IF(AE238=20,AA238*AB238*AC238*AD238*(AE238/1000)*2.466*1,IF(AE238&gt;20,"",IF(AE238&lt;20,"")))</f>
        <v/>
      </c>
      <c r="AL238" s="107" t="str">
        <f aca="false">IF(AE238=25,AA238*AB238*AC238*AD238*(AE238/1000)*3.853*1,IF(AE238&gt;25,"",IF(AE238&lt;25,"")))</f>
        <v/>
      </c>
      <c r="AM238" s="115" t="str">
        <f aca="false">IF(AE238=32,AA238*AB238*AC238*AD238*(AE238/1000)*6.313*1,IF(AE238&gt;32,"",IF(AE238&lt;32,"")))</f>
        <v/>
      </c>
      <c r="AN238" s="128"/>
      <c r="AO238" s="117" t="s">
        <v>457</v>
      </c>
      <c r="AP238" s="118" t="n">
        <f aca="false">SUM(R238:Y238)+SUM(AN238)</f>
        <v>38.8258356</v>
      </c>
      <c r="AQ238" s="118" t="n">
        <f aca="false">SUM(AF238:AM238)</f>
        <v>1.234</v>
      </c>
      <c r="AR238" s="118"/>
      <c r="AS238" s="119"/>
      <c r="AT238" s="119" t="s">
        <v>162</v>
      </c>
    </row>
    <row r="239" customFormat="false" ht="13.5" hidden="false" customHeight="false" outlineLevel="0" collapsed="false">
      <c r="A239" s="129"/>
      <c r="B239" s="172"/>
      <c r="C239" s="110"/>
      <c r="D239" s="122"/>
      <c r="E239" s="122"/>
      <c r="F239" s="173"/>
      <c r="G239" s="123"/>
      <c r="H239" s="101"/>
      <c r="I239" s="123"/>
      <c r="J239" s="101"/>
      <c r="K239" s="124" t="s">
        <v>588</v>
      </c>
      <c r="L239" s="125" t="n">
        <f aca="false">$F$237</f>
        <v>14.09</v>
      </c>
      <c r="M239" s="125" t="n">
        <v>0.2</v>
      </c>
      <c r="N239" s="126" t="n">
        <f aca="false">$C$237</f>
        <v>1</v>
      </c>
      <c r="O239" s="126" t="n">
        <f aca="false">CEILING(L239/M239,1)+1</f>
        <v>72</v>
      </c>
      <c r="P239" s="126" t="n">
        <v>6</v>
      </c>
      <c r="Q239" s="127" t="n">
        <f aca="false">2*($D$237-2*0.035)+2*($E$237-2*0.035)+20*6/1000</f>
        <v>0.64</v>
      </c>
      <c r="R239" s="105" t="n">
        <f aca="false">IF(P239=6,N239*O239*Q239*0.222*1,IF(P239&gt;6,"",IF(P239&lt;6,"")))</f>
        <v>10.22976</v>
      </c>
      <c r="S239" s="106" t="str">
        <f aca="false">IF(P239=8,N239*O239*Q239*0.395*1,IF(P239&gt;8,"",IF(P239&lt;8,"")))</f>
        <v/>
      </c>
      <c r="T239" s="106" t="str">
        <f aca="false">IF(P239=10,N239*O239*Q239*0.617*1,IF(P239&gt;10,"",IF(P239&lt;10,"")))</f>
        <v/>
      </c>
      <c r="U239" s="106" t="str">
        <f aca="false">IF(P239=12,N239*O239*Q239*0.888*1,IF(P239&gt;12,"",IF(P239&lt;12,"")))</f>
        <v/>
      </c>
      <c r="V239" s="107" t="str">
        <f aca="false">IF(P239=16,N239*O239*Q239*1.578*1,IF(P239&gt;16,"",IF(P239&lt;16,"")))</f>
        <v/>
      </c>
      <c r="W239" s="106" t="str">
        <f aca="false">IF(P239=20,N239*O239*Q239*2.466*1,IF(P239&gt;20,"",IF(P239&lt;20,"")))</f>
        <v/>
      </c>
      <c r="X239" s="106" t="str">
        <f aca="false">IF(P239=25,N239*O239*Q239*3.853*1,IF(P239&gt;25,"",IF(P239&lt;25,"")))</f>
        <v/>
      </c>
      <c r="Y239" s="108" t="str">
        <f aca="false">IF(P239=32,N239*O239*Q239*6.313*1,IF(P239&gt;32,"",IF(P239&lt;32,"")))</f>
        <v/>
      </c>
      <c r="Z239" s="109"/>
      <c r="AA239" s="110" t="str">
        <f aca="false">IF(AC239&gt;0,N239,"")</f>
        <v/>
      </c>
      <c r="AB239" s="111" t="str">
        <f aca="false">IF(AC239&gt;0,O239,"")</f>
        <v/>
      </c>
      <c r="AC239" s="112"/>
      <c r="AD239" s="112"/>
      <c r="AE239" s="113" t="str">
        <f aca="false">IF(AC239&gt;0,P239,"")</f>
        <v/>
      </c>
      <c r="AF239" s="114" t="str">
        <f aca="false">IF(AE239=6,AA239*AB239*AC239*AD239*(AE239/1000)*0.222*1,IF(AE239&gt;6,"",IF(AE239&lt;6,"")))</f>
        <v/>
      </c>
      <c r="AG239" s="107" t="str">
        <f aca="false">IF(AE239=8,AA239*AB239*AC239*AD239*(AE239/1000)*0.395*1,IF(AE239&gt;8,"",IF(AE239&lt;8,"")))</f>
        <v/>
      </c>
      <c r="AH239" s="107" t="str">
        <f aca="false">IF(AE239=10,AA239*AB239*AC239*AD239*(AE239/1000)*0.617*1,IF(AE239&gt;10,"",IF(AE239&lt;10,"")))</f>
        <v/>
      </c>
      <c r="AI239" s="107" t="str">
        <f aca="false">IF(AE239=12,AA239*AB239*AC239*AD239*(AE239/1000)*0.888*1,IF(AE239&gt;12,"",IF(AE239&lt;12,"")))</f>
        <v/>
      </c>
      <c r="AJ239" s="107" t="str">
        <f aca="false">IF(AE239=16,AA239*AB239*AC239*AD239*(AE239/1000)*1.578*1,IF(AE239&gt;16,"",IF(AE239&lt;16,"")))</f>
        <v/>
      </c>
      <c r="AK239" s="107" t="str">
        <f aca="false">IF(AE239=20,AA239*AB239*AC239*AD239*(AE239/1000)*2.466*1,IF(AE239&gt;20,"",IF(AE239&lt;20,"")))</f>
        <v/>
      </c>
      <c r="AL239" s="107" t="str">
        <f aca="false">IF(AE239=25,AA239*AB239*AC239*AD239*(AE239/1000)*3.853*1,IF(AE239&gt;25,"",IF(AE239&lt;25,"")))</f>
        <v/>
      </c>
      <c r="AM239" s="115" t="str">
        <f aca="false">IF(AE239=32,AA239*AB239*AC239*AD239*(AE239/1000)*6.313*1,IF(AE239&gt;32,"",IF(AE239&lt;32,"")))</f>
        <v/>
      </c>
      <c r="AN239" s="128"/>
      <c r="AO239" s="117" t="s">
        <v>457</v>
      </c>
      <c r="AP239" s="118" t="n">
        <f aca="false">SUM(R239:Y239)+SUM(AN239)</f>
        <v>10.22976</v>
      </c>
      <c r="AQ239" s="118" t="n">
        <f aca="false">SUM(AF239:AM239)</f>
        <v>0</v>
      </c>
      <c r="AR239" s="118"/>
      <c r="AS239" s="119"/>
      <c r="AT239" s="119" t="s">
        <v>162</v>
      </c>
    </row>
    <row r="240" customFormat="false" ht="13.5" hidden="false" customHeight="false" outlineLevel="0" collapsed="false">
      <c r="A240" s="120"/>
      <c r="B240" s="121" t="s">
        <v>589</v>
      </c>
      <c r="C240" s="110" t="n">
        <v>1</v>
      </c>
      <c r="D240" s="122" t="n">
        <v>0.2</v>
      </c>
      <c r="E240" s="122" t="n">
        <v>0.2</v>
      </c>
      <c r="F240" s="122" t="n">
        <f aca="false">0.2019/(0.2*0.2)</f>
        <v>5.0475</v>
      </c>
      <c r="G240" s="123" t="n">
        <f aca="false">C240*D240*E240*F240</f>
        <v>0.2019</v>
      </c>
      <c r="H240" s="101"/>
      <c r="I240" s="123" t="n">
        <f aca="false">C240*F240*2*E240</f>
        <v>2.019</v>
      </c>
      <c r="J240" s="101"/>
      <c r="K240" s="124"/>
      <c r="L240" s="125"/>
      <c r="M240" s="125"/>
      <c r="N240" s="126"/>
      <c r="O240" s="126"/>
      <c r="P240" s="126"/>
      <c r="Q240" s="127"/>
      <c r="R240" s="105" t="str">
        <f aca="false">IF(P240=6,N240*O240*Q240*0.222*1,IF(P240&gt;6,"",IF(P240&lt;6,"")))</f>
        <v/>
      </c>
      <c r="S240" s="106" t="str">
        <f aca="false">IF(P240=8,N240*O240*Q240*0.395*1,IF(P240&gt;8,"",IF(P240&lt;8,"")))</f>
        <v/>
      </c>
      <c r="T240" s="106" t="str">
        <f aca="false">IF(P240=10,N240*O240*Q240*0.617*1,IF(P240&gt;10,"",IF(P240&lt;10,"")))</f>
        <v/>
      </c>
      <c r="U240" s="106" t="str">
        <f aca="false">IF(P240=12,N240*O240*Q240*0.888*1,IF(P240&gt;12,"",IF(P240&lt;12,"")))</f>
        <v/>
      </c>
      <c r="V240" s="107" t="str">
        <f aca="false">IF(P240=16,N240*O240*Q240*1.578*1,IF(P240&gt;16,"",IF(P240&lt;16,"")))</f>
        <v/>
      </c>
      <c r="W240" s="106" t="str">
        <f aca="false">IF(P240=20,N240*O240*Q240*2.466*1,IF(P240&gt;20,"",IF(P240&lt;20,"")))</f>
        <v/>
      </c>
      <c r="X240" s="106" t="str">
        <f aca="false">IF(P240=25,N240*O240*Q240*3.853*1,IF(P240&gt;25,"",IF(P240&lt;25,"")))</f>
        <v/>
      </c>
      <c r="Y240" s="108" t="str">
        <f aca="false">IF(P240=32,N240*O240*Q240*6.313*1,IF(P240&gt;32,"",IF(P240&lt;32,"")))</f>
        <v/>
      </c>
      <c r="Z240" s="109"/>
      <c r="AA240" s="110" t="str">
        <f aca="false">IF(AC240&gt;0,N240,"")</f>
        <v/>
      </c>
      <c r="AB240" s="111" t="str">
        <f aca="false">IF(AC240&gt;0,O240,"")</f>
        <v/>
      </c>
      <c r="AC240" s="112"/>
      <c r="AD240" s="112"/>
      <c r="AE240" s="113" t="str">
        <f aca="false">IF(AC240&gt;0,P240,"")</f>
        <v/>
      </c>
      <c r="AF240" s="114" t="str">
        <f aca="false">IF(AE240=6,AA240*AB240*AC240*AD240*(AE240/1000)*0.222*1,IF(AE240&gt;6,"",IF(AE240&lt;6,"")))</f>
        <v/>
      </c>
      <c r="AG240" s="107" t="str">
        <f aca="false">IF(AE240=8,AA240*AB240*AC240*AD240*(AE240/1000)*0.395*1,IF(AE240&gt;8,"",IF(AE240&lt;8,"")))</f>
        <v/>
      </c>
      <c r="AH240" s="107" t="str">
        <f aca="false">IF(AE240=10,AA240*AB240*AC240*AD240*(AE240/1000)*0.617*1,IF(AE240&gt;10,"",IF(AE240&lt;10,"")))</f>
        <v/>
      </c>
      <c r="AI240" s="107" t="str">
        <f aca="false">IF(AE240=12,AA240*AB240*AC240*AD240*(AE240/1000)*0.888*1,IF(AE240&gt;12,"",IF(AE240&lt;12,"")))</f>
        <v/>
      </c>
      <c r="AJ240" s="107" t="str">
        <f aca="false">IF(AE240=16,AA240*AB240*AC240*AD240*(AE240/1000)*1.578*1,IF(AE240&gt;16,"",IF(AE240&lt;16,"")))</f>
        <v/>
      </c>
      <c r="AK240" s="107" t="str">
        <f aca="false">IF(AE240=20,AA240*AB240*AC240*AD240*(AE240/1000)*2.466*1,IF(AE240&gt;20,"",IF(AE240&lt;20,"")))</f>
        <v/>
      </c>
      <c r="AL240" s="107" t="str">
        <f aca="false">IF(AE240=25,AA240*AB240*AC240*AD240*(AE240/1000)*3.853*1,IF(AE240&gt;25,"",IF(AE240&lt;25,"")))</f>
        <v/>
      </c>
      <c r="AM240" s="115" t="str">
        <f aca="false">IF(AE240=32,AA240*AB240*AC240*AD240*(AE240/1000)*6.313*1,IF(AE240&gt;32,"",IF(AE240&lt;32,"")))</f>
        <v/>
      </c>
      <c r="AN240" s="128"/>
      <c r="AO240" s="117" t="s">
        <v>457</v>
      </c>
      <c r="AP240" s="118" t="n">
        <f aca="false">SUM(R240:Y240)+SUM(AN240)</f>
        <v>0</v>
      </c>
      <c r="AQ240" s="118" t="n">
        <f aca="false">SUM(AF240:AM240)</f>
        <v>0</v>
      </c>
      <c r="AR240" s="118" t="n">
        <v>0.2019</v>
      </c>
      <c r="AS240" s="119" t="s">
        <v>590</v>
      </c>
      <c r="AT240" s="119" t="s">
        <v>209</v>
      </c>
    </row>
    <row r="241" customFormat="false" ht="13.5" hidden="false" customHeight="false" outlineLevel="0" collapsed="false">
      <c r="A241" s="129"/>
      <c r="B241" s="172"/>
      <c r="C241" s="110"/>
      <c r="D241" s="122"/>
      <c r="E241" s="122"/>
      <c r="F241" s="173"/>
      <c r="G241" s="123"/>
      <c r="H241" s="101"/>
      <c r="I241" s="123"/>
      <c r="J241" s="101"/>
      <c r="K241" s="124" t="s">
        <v>587</v>
      </c>
      <c r="L241" s="125"/>
      <c r="M241" s="125"/>
      <c r="N241" s="126" t="n">
        <f aca="false">$C$240</f>
        <v>1</v>
      </c>
      <c r="O241" s="126" t="n">
        <v>4</v>
      </c>
      <c r="P241" s="126" t="n">
        <v>10</v>
      </c>
      <c r="Q241" s="127" t="n">
        <f aca="false">5.14+2*50*10/1000</f>
        <v>6.14</v>
      </c>
      <c r="R241" s="105" t="str">
        <f aca="false">IF(P241=6,N241*O241*Q241*0.222*1,IF(P241&gt;6,"",IF(P241&lt;6,"")))</f>
        <v/>
      </c>
      <c r="S241" s="106" t="str">
        <f aca="false">IF(P241=8,N241*O241*Q241*0.395*1,IF(P241&gt;8,"",IF(P241&lt;8,"")))</f>
        <v/>
      </c>
      <c r="T241" s="106" t="n">
        <f aca="false">IF(P241=10,N241*O241*Q241*0.617*1,IF(P241&gt;10,"",IF(P241&lt;10,"")))</f>
        <v>15.15352</v>
      </c>
      <c r="U241" s="106" t="str">
        <f aca="false">IF(P241=12,N241*O241*Q241*0.888*1,IF(P241&gt;12,"",IF(P241&lt;12,"")))</f>
        <v/>
      </c>
      <c r="V241" s="107" t="str">
        <f aca="false">IF(P241=16,N241*O241*Q241*1.578*1,IF(P241&gt;16,"",IF(P241&lt;16,"")))</f>
        <v/>
      </c>
      <c r="W241" s="106" t="str">
        <f aca="false">IF(P241=20,N241*O241*Q241*2.466*1,IF(P241&gt;20,"",IF(P241&lt;20,"")))</f>
        <v/>
      </c>
      <c r="X241" s="106" t="str">
        <f aca="false">IF(P241=25,N241*O241*Q241*3.853*1,IF(P241&gt;25,"",IF(P241&lt;25,"")))</f>
        <v/>
      </c>
      <c r="Y241" s="108" t="str">
        <f aca="false">IF(P241=32,N241*O241*Q241*6.313*1,IF(P241&gt;32,"",IF(P241&lt;32,"")))</f>
        <v/>
      </c>
      <c r="Z241" s="109"/>
      <c r="AA241" s="110" t="str">
        <f aca="false">IF(AC241&gt;0,N241,"")</f>
        <v/>
      </c>
      <c r="AB241" s="111" t="str">
        <f aca="false">IF(AC241&gt;0,O241,"")</f>
        <v/>
      </c>
      <c r="AC241" s="112"/>
      <c r="AD241" s="112"/>
      <c r="AE241" s="113" t="str">
        <f aca="false">IF(AC241&gt;0,P241,"")</f>
        <v/>
      </c>
      <c r="AF241" s="114" t="str">
        <f aca="false">IF(AE241=6,AA241*AB241*AC241*AD241*(AE241/1000)*0.222*1,IF(AE241&gt;6,"",IF(AE241&lt;6,"")))</f>
        <v/>
      </c>
      <c r="AG241" s="107" t="str">
        <f aca="false">IF(AE241=8,AA241*AB241*AC241*AD241*(AE241/1000)*0.395*1,IF(AE241&gt;8,"",IF(AE241&lt;8,"")))</f>
        <v/>
      </c>
      <c r="AH241" s="107" t="str">
        <f aca="false">IF(AE241=10,AA241*AB241*AC241*AD241*(AE241/1000)*0.617*1,IF(AE241&gt;10,"",IF(AE241&lt;10,"")))</f>
        <v/>
      </c>
      <c r="AI241" s="107" t="str">
        <f aca="false">IF(AE241=12,AA241*AB241*AC241*AD241*(AE241/1000)*0.888*1,IF(AE241&gt;12,"",IF(AE241&lt;12,"")))</f>
        <v/>
      </c>
      <c r="AJ241" s="107" t="str">
        <f aca="false">IF(AE241=16,AA241*AB241*AC241*AD241*(AE241/1000)*1.578*1,IF(AE241&gt;16,"",IF(AE241&lt;16,"")))</f>
        <v/>
      </c>
      <c r="AK241" s="107" t="str">
        <f aca="false">IF(AE241=20,AA241*AB241*AC241*AD241*(AE241/1000)*2.466*1,IF(AE241&gt;20,"",IF(AE241&lt;20,"")))</f>
        <v/>
      </c>
      <c r="AL241" s="107" t="str">
        <f aca="false">IF(AE241=25,AA241*AB241*AC241*AD241*(AE241/1000)*3.853*1,IF(AE241&gt;25,"",IF(AE241&lt;25,"")))</f>
        <v/>
      </c>
      <c r="AM241" s="115" t="str">
        <f aca="false">IF(AE241=32,AA241*AB241*AC241*AD241*(AE241/1000)*6.313*1,IF(AE241&gt;32,"",IF(AE241&lt;32,"")))</f>
        <v/>
      </c>
      <c r="AN241" s="128"/>
      <c r="AO241" s="117" t="s">
        <v>457</v>
      </c>
      <c r="AP241" s="118" t="n">
        <f aca="false">SUM(R241:Y241)+SUM(AN241)</f>
        <v>15.15352</v>
      </c>
      <c r="AQ241" s="118" t="n">
        <f aca="false">SUM(AF241:AM241)</f>
        <v>0</v>
      </c>
      <c r="AR241" s="118"/>
      <c r="AS241" s="119"/>
      <c r="AT241" s="119" t="s">
        <v>162</v>
      </c>
    </row>
    <row r="242" customFormat="false" ht="13.5" hidden="false" customHeight="false" outlineLevel="0" collapsed="false">
      <c r="A242" s="129"/>
      <c r="B242" s="172"/>
      <c r="C242" s="110"/>
      <c r="D242" s="122"/>
      <c r="E242" s="122"/>
      <c r="F242" s="173"/>
      <c r="G242" s="123"/>
      <c r="H242" s="101"/>
      <c r="I242" s="123"/>
      <c r="J242" s="101"/>
      <c r="K242" s="124" t="s">
        <v>588</v>
      </c>
      <c r="L242" s="125" t="n">
        <f aca="false">$F$240</f>
        <v>5.0475</v>
      </c>
      <c r="M242" s="125" t="n">
        <v>0.2</v>
      </c>
      <c r="N242" s="126" t="n">
        <f aca="false">$C$240</f>
        <v>1</v>
      </c>
      <c r="O242" s="126" t="n">
        <f aca="false">CEILING(L242/M242,1)+1</f>
        <v>27</v>
      </c>
      <c r="P242" s="126" t="n">
        <v>6</v>
      </c>
      <c r="Q242" s="127" t="n">
        <f aca="false">2*($D$240-2*0.035)+2*($E$240-2*0.035)+20*6/1000</f>
        <v>0.64</v>
      </c>
      <c r="R242" s="105" t="n">
        <f aca="false">IF(P242=6,N242*O242*Q242*0.222*1,IF(P242&gt;6,"",IF(P242&lt;6,"")))</f>
        <v>3.83616</v>
      </c>
      <c r="S242" s="106" t="str">
        <f aca="false">IF(P242=8,N242*O242*Q242*0.395*1,IF(P242&gt;8,"",IF(P242&lt;8,"")))</f>
        <v/>
      </c>
      <c r="T242" s="106" t="str">
        <f aca="false">IF(P242=10,N242*O242*Q242*0.617*1,IF(P242&gt;10,"",IF(P242&lt;10,"")))</f>
        <v/>
      </c>
      <c r="U242" s="106" t="str">
        <f aca="false">IF(P242=12,N242*O242*Q242*0.888*1,IF(P242&gt;12,"",IF(P242&lt;12,"")))</f>
        <v/>
      </c>
      <c r="V242" s="107" t="str">
        <f aca="false">IF(P242=16,N242*O242*Q242*1.578*1,IF(P242&gt;16,"",IF(P242&lt;16,"")))</f>
        <v/>
      </c>
      <c r="W242" s="106" t="str">
        <f aca="false">IF(P242=20,N242*O242*Q242*2.466*1,IF(P242&gt;20,"",IF(P242&lt;20,"")))</f>
        <v/>
      </c>
      <c r="X242" s="106" t="str">
        <f aca="false">IF(P242=25,N242*O242*Q242*3.853*1,IF(P242&gt;25,"",IF(P242&lt;25,"")))</f>
        <v/>
      </c>
      <c r="Y242" s="108" t="str">
        <f aca="false">IF(P242=32,N242*O242*Q242*6.313*1,IF(P242&gt;32,"",IF(P242&lt;32,"")))</f>
        <v/>
      </c>
      <c r="Z242" s="109"/>
      <c r="AA242" s="110" t="str">
        <f aca="false">IF(AC242&gt;0,N242,"")</f>
        <v/>
      </c>
      <c r="AB242" s="111" t="str">
        <f aca="false">IF(AC242&gt;0,O242,"")</f>
        <v/>
      </c>
      <c r="AC242" s="112"/>
      <c r="AD242" s="112"/>
      <c r="AE242" s="113" t="str">
        <f aca="false">IF(AC242&gt;0,P242,"")</f>
        <v/>
      </c>
      <c r="AF242" s="114" t="str">
        <f aca="false">IF(AE242=6,AA242*AB242*AC242*AD242*(AE242/1000)*0.222*1,IF(AE242&gt;6,"",IF(AE242&lt;6,"")))</f>
        <v/>
      </c>
      <c r="AG242" s="107" t="str">
        <f aca="false">IF(AE242=8,AA242*AB242*AC242*AD242*(AE242/1000)*0.395*1,IF(AE242&gt;8,"",IF(AE242&lt;8,"")))</f>
        <v/>
      </c>
      <c r="AH242" s="107" t="str">
        <f aca="false">IF(AE242=10,AA242*AB242*AC242*AD242*(AE242/1000)*0.617*1,IF(AE242&gt;10,"",IF(AE242&lt;10,"")))</f>
        <v/>
      </c>
      <c r="AI242" s="107" t="str">
        <f aca="false">IF(AE242=12,AA242*AB242*AC242*AD242*(AE242/1000)*0.888*1,IF(AE242&gt;12,"",IF(AE242&lt;12,"")))</f>
        <v/>
      </c>
      <c r="AJ242" s="107" t="str">
        <f aca="false">IF(AE242=16,AA242*AB242*AC242*AD242*(AE242/1000)*1.578*1,IF(AE242&gt;16,"",IF(AE242&lt;16,"")))</f>
        <v/>
      </c>
      <c r="AK242" s="107" t="str">
        <f aca="false">IF(AE242=20,AA242*AB242*AC242*AD242*(AE242/1000)*2.466*1,IF(AE242&gt;20,"",IF(AE242&lt;20,"")))</f>
        <v/>
      </c>
      <c r="AL242" s="107" t="str">
        <f aca="false">IF(AE242=25,AA242*AB242*AC242*AD242*(AE242/1000)*3.853*1,IF(AE242&gt;25,"",IF(AE242&lt;25,"")))</f>
        <v/>
      </c>
      <c r="AM242" s="115" t="str">
        <f aca="false">IF(AE242=32,AA242*AB242*AC242*AD242*(AE242/1000)*6.313*1,IF(AE242&gt;32,"",IF(AE242&lt;32,"")))</f>
        <v/>
      </c>
      <c r="AN242" s="128"/>
      <c r="AO242" s="117" t="s">
        <v>457</v>
      </c>
      <c r="AP242" s="118" t="n">
        <f aca="false">SUM(R242:Y242)+SUM(AN242)</f>
        <v>3.83616</v>
      </c>
      <c r="AQ242" s="118" t="n">
        <f aca="false">SUM(AF242:AM242)</f>
        <v>0</v>
      </c>
      <c r="AR242" s="118"/>
      <c r="AS242" s="119"/>
      <c r="AT242" s="119" t="s">
        <v>162</v>
      </c>
    </row>
    <row r="243" customFormat="false" ht="13.5" hidden="false" customHeight="false" outlineLevel="0" collapsed="false">
      <c r="A243" s="120"/>
      <c r="B243" s="121" t="s">
        <v>591</v>
      </c>
      <c r="C243" s="110" t="n">
        <v>1</v>
      </c>
      <c r="D243" s="122" t="n">
        <v>0.2</v>
      </c>
      <c r="E243" s="122" t="n">
        <v>0.2</v>
      </c>
      <c r="F243" s="122" t="n">
        <f aca="false">0.1911/(0.2*0.2)</f>
        <v>4.7775</v>
      </c>
      <c r="G243" s="123" t="n">
        <f aca="false">C243*D243*E243*F243</f>
        <v>0.1911</v>
      </c>
      <c r="H243" s="101"/>
      <c r="I243" s="123" t="n">
        <f aca="false">C243*F243*2*E243</f>
        <v>1.911</v>
      </c>
      <c r="J243" s="101"/>
      <c r="K243" s="124"/>
      <c r="L243" s="125"/>
      <c r="M243" s="125"/>
      <c r="N243" s="126"/>
      <c r="O243" s="126"/>
      <c r="P243" s="126"/>
      <c r="Q243" s="127"/>
      <c r="R243" s="105" t="str">
        <f aca="false">IF(P243=6,N243*O243*Q243*0.222*1,IF(P243&gt;6,"",IF(P243&lt;6,"")))</f>
        <v/>
      </c>
      <c r="S243" s="106" t="str">
        <f aca="false">IF(P243=8,N243*O243*Q243*0.395*1,IF(P243&gt;8,"",IF(P243&lt;8,"")))</f>
        <v/>
      </c>
      <c r="T243" s="106" t="str">
        <f aca="false">IF(P243=10,N243*O243*Q243*0.617*1,IF(P243&gt;10,"",IF(P243&lt;10,"")))</f>
        <v/>
      </c>
      <c r="U243" s="106" t="str">
        <f aca="false">IF(P243=12,N243*O243*Q243*0.888*1,IF(P243&gt;12,"",IF(P243&lt;12,"")))</f>
        <v/>
      </c>
      <c r="V243" s="107" t="str">
        <f aca="false">IF(P243=16,N243*O243*Q243*1.578*1,IF(P243&gt;16,"",IF(P243&lt;16,"")))</f>
        <v/>
      </c>
      <c r="W243" s="106" t="str">
        <f aca="false">IF(P243=20,N243*O243*Q243*2.466*1,IF(P243&gt;20,"",IF(P243&lt;20,"")))</f>
        <v/>
      </c>
      <c r="X243" s="106" t="str">
        <f aca="false">IF(P243=25,N243*O243*Q243*3.853*1,IF(P243&gt;25,"",IF(P243&lt;25,"")))</f>
        <v/>
      </c>
      <c r="Y243" s="108" t="str">
        <f aca="false">IF(P243=32,N243*O243*Q243*6.313*1,IF(P243&gt;32,"",IF(P243&lt;32,"")))</f>
        <v/>
      </c>
      <c r="Z243" s="109"/>
      <c r="AA243" s="110" t="str">
        <f aca="false">IF(AC243&gt;0,N243,"")</f>
        <v/>
      </c>
      <c r="AB243" s="111" t="str">
        <f aca="false">IF(AC243&gt;0,O243,"")</f>
        <v/>
      </c>
      <c r="AC243" s="112"/>
      <c r="AD243" s="112"/>
      <c r="AE243" s="113" t="str">
        <f aca="false">IF(AC243&gt;0,P243,"")</f>
        <v/>
      </c>
      <c r="AF243" s="114" t="str">
        <f aca="false">IF(AE243=6,AA243*AB243*AC243*AD243*(AE243/1000)*0.222*1,IF(AE243&gt;6,"",IF(AE243&lt;6,"")))</f>
        <v/>
      </c>
      <c r="AG243" s="107" t="str">
        <f aca="false">IF(AE243=8,AA243*AB243*AC243*AD243*(AE243/1000)*0.395*1,IF(AE243&gt;8,"",IF(AE243&lt;8,"")))</f>
        <v/>
      </c>
      <c r="AH243" s="107" t="str">
        <f aca="false">IF(AE243=10,AA243*AB243*AC243*AD243*(AE243/1000)*0.617*1,IF(AE243&gt;10,"",IF(AE243&lt;10,"")))</f>
        <v/>
      </c>
      <c r="AI243" s="107" t="str">
        <f aca="false">IF(AE243=12,AA243*AB243*AC243*AD243*(AE243/1000)*0.888*1,IF(AE243&gt;12,"",IF(AE243&lt;12,"")))</f>
        <v/>
      </c>
      <c r="AJ243" s="107" t="str">
        <f aca="false">IF(AE243=16,AA243*AB243*AC243*AD243*(AE243/1000)*1.578*1,IF(AE243&gt;16,"",IF(AE243&lt;16,"")))</f>
        <v/>
      </c>
      <c r="AK243" s="107" t="str">
        <f aca="false">IF(AE243=20,AA243*AB243*AC243*AD243*(AE243/1000)*2.466*1,IF(AE243&gt;20,"",IF(AE243&lt;20,"")))</f>
        <v/>
      </c>
      <c r="AL243" s="107" t="str">
        <f aca="false">IF(AE243=25,AA243*AB243*AC243*AD243*(AE243/1000)*3.853*1,IF(AE243&gt;25,"",IF(AE243&lt;25,"")))</f>
        <v/>
      </c>
      <c r="AM243" s="115" t="str">
        <f aca="false">IF(AE243=32,AA243*AB243*AC243*AD243*(AE243/1000)*6.313*1,IF(AE243&gt;32,"",IF(AE243&lt;32,"")))</f>
        <v/>
      </c>
      <c r="AN243" s="128"/>
      <c r="AO243" s="117" t="s">
        <v>457</v>
      </c>
      <c r="AP243" s="118" t="n">
        <f aca="false">SUM(R243:Y243)+SUM(AN243)</f>
        <v>0</v>
      </c>
      <c r="AQ243" s="118" t="n">
        <f aca="false">SUM(AF243:AM243)</f>
        <v>0</v>
      </c>
      <c r="AR243" s="118" t="n">
        <v>0.1911</v>
      </c>
      <c r="AS243" s="119" t="s">
        <v>592</v>
      </c>
      <c r="AT243" s="119" t="s">
        <v>209</v>
      </c>
    </row>
    <row r="244" customFormat="false" ht="13.5" hidden="false" customHeight="false" outlineLevel="0" collapsed="false">
      <c r="A244" s="129"/>
      <c r="B244" s="172"/>
      <c r="C244" s="110"/>
      <c r="D244" s="122"/>
      <c r="E244" s="122"/>
      <c r="F244" s="173"/>
      <c r="G244" s="123"/>
      <c r="H244" s="101"/>
      <c r="I244" s="123"/>
      <c r="J244" s="101"/>
      <c r="K244" s="124" t="s">
        <v>587</v>
      </c>
      <c r="L244" s="125"/>
      <c r="M244" s="125"/>
      <c r="N244" s="126" t="n">
        <f aca="false">$C$243</f>
        <v>1</v>
      </c>
      <c r="O244" s="126" t="n">
        <v>4</v>
      </c>
      <c r="P244" s="126" t="n">
        <v>10</v>
      </c>
      <c r="Q244" s="127" t="n">
        <f aca="false">4.9406+2*50*10/1000</f>
        <v>5.9406</v>
      </c>
      <c r="R244" s="105" t="str">
        <f aca="false">IF(P244=6,N244*O244*Q244*0.222*1,IF(P244&gt;6,"",IF(P244&lt;6,"")))</f>
        <v/>
      </c>
      <c r="S244" s="106" t="str">
        <f aca="false">IF(P244=8,N244*O244*Q244*0.395*1,IF(P244&gt;8,"",IF(P244&lt;8,"")))</f>
        <v/>
      </c>
      <c r="T244" s="106" t="n">
        <f aca="false">IF(P244=10,N244*O244*Q244*0.617*1,IF(P244&gt;10,"",IF(P244&lt;10,"")))</f>
        <v>14.6614008</v>
      </c>
      <c r="U244" s="106" t="str">
        <f aca="false">IF(P244=12,N244*O244*Q244*0.888*1,IF(P244&gt;12,"",IF(P244&lt;12,"")))</f>
        <v/>
      </c>
      <c r="V244" s="107" t="str">
        <f aca="false">IF(P244=16,N244*O244*Q244*1.578*1,IF(P244&gt;16,"",IF(P244&lt;16,"")))</f>
        <v/>
      </c>
      <c r="W244" s="106" t="str">
        <f aca="false">IF(P244=20,N244*O244*Q244*2.466*1,IF(P244&gt;20,"",IF(P244&lt;20,"")))</f>
        <v/>
      </c>
      <c r="X244" s="106" t="str">
        <f aca="false">IF(P244=25,N244*O244*Q244*3.853*1,IF(P244&gt;25,"",IF(P244&lt;25,"")))</f>
        <v/>
      </c>
      <c r="Y244" s="108" t="str">
        <f aca="false">IF(P244=32,N244*O244*Q244*6.313*1,IF(P244&gt;32,"",IF(P244&lt;32,"")))</f>
        <v/>
      </c>
      <c r="Z244" s="109"/>
      <c r="AA244" s="110" t="str">
        <f aca="false">IF(AC244&gt;0,N244,"")</f>
        <v/>
      </c>
      <c r="AB244" s="111" t="str">
        <f aca="false">IF(AC244&gt;0,O244,"")</f>
        <v/>
      </c>
      <c r="AC244" s="112"/>
      <c r="AD244" s="112"/>
      <c r="AE244" s="113" t="str">
        <f aca="false">IF(AC244&gt;0,P244,"")</f>
        <v/>
      </c>
      <c r="AF244" s="114" t="str">
        <f aca="false">IF(AE244=6,AA244*AB244*AC244*AD244*(AE244/1000)*0.222*1,IF(AE244&gt;6,"",IF(AE244&lt;6,"")))</f>
        <v/>
      </c>
      <c r="AG244" s="107" t="str">
        <f aca="false">IF(AE244=8,AA244*AB244*AC244*AD244*(AE244/1000)*0.395*1,IF(AE244&gt;8,"",IF(AE244&lt;8,"")))</f>
        <v/>
      </c>
      <c r="AH244" s="107" t="str">
        <f aca="false">IF(AE244=10,AA244*AB244*AC244*AD244*(AE244/1000)*0.617*1,IF(AE244&gt;10,"",IF(AE244&lt;10,"")))</f>
        <v/>
      </c>
      <c r="AI244" s="107" t="str">
        <f aca="false">IF(AE244=12,AA244*AB244*AC244*AD244*(AE244/1000)*0.888*1,IF(AE244&gt;12,"",IF(AE244&lt;12,"")))</f>
        <v/>
      </c>
      <c r="AJ244" s="107" t="str">
        <f aca="false">IF(AE244=16,AA244*AB244*AC244*AD244*(AE244/1000)*1.578*1,IF(AE244&gt;16,"",IF(AE244&lt;16,"")))</f>
        <v/>
      </c>
      <c r="AK244" s="107" t="str">
        <f aca="false">IF(AE244=20,AA244*AB244*AC244*AD244*(AE244/1000)*2.466*1,IF(AE244&gt;20,"",IF(AE244&lt;20,"")))</f>
        <v/>
      </c>
      <c r="AL244" s="107" t="str">
        <f aca="false">IF(AE244=25,AA244*AB244*AC244*AD244*(AE244/1000)*3.853*1,IF(AE244&gt;25,"",IF(AE244&lt;25,"")))</f>
        <v/>
      </c>
      <c r="AM244" s="115" t="str">
        <f aca="false">IF(AE244=32,AA244*AB244*AC244*AD244*(AE244/1000)*6.313*1,IF(AE244&gt;32,"",IF(AE244&lt;32,"")))</f>
        <v/>
      </c>
      <c r="AN244" s="128"/>
      <c r="AO244" s="117" t="s">
        <v>457</v>
      </c>
      <c r="AP244" s="118" t="n">
        <f aca="false">SUM(R244:Y244)+SUM(AN244)</f>
        <v>14.6614008</v>
      </c>
      <c r="AQ244" s="118" t="n">
        <f aca="false">SUM(AF244:AM244)</f>
        <v>0</v>
      </c>
      <c r="AR244" s="118"/>
      <c r="AS244" s="119"/>
      <c r="AT244" s="119" t="s">
        <v>162</v>
      </c>
    </row>
    <row r="245" customFormat="false" ht="13.5" hidden="false" customHeight="false" outlineLevel="0" collapsed="false">
      <c r="A245" s="129"/>
      <c r="B245" s="172"/>
      <c r="C245" s="110"/>
      <c r="D245" s="122"/>
      <c r="E245" s="122"/>
      <c r="F245" s="173"/>
      <c r="G245" s="123"/>
      <c r="H245" s="101"/>
      <c r="I245" s="123"/>
      <c r="J245" s="101"/>
      <c r="K245" s="124" t="s">
        <v>588</v>
      </c>
      <c r="L245" s="125" t="n">
        <f aca="false">$F$243</f>
        <v>4.7775</v>
      </c>
      <c r="M245" s="125" t="n">
        <v>0.2</v>
      </c>
      <c r="N245" s="126" t="n">
        <f aca="false">$C$243</f>
        <v>1</v>
      </c>
      <c r="O245" s="126" t="n">
        <f aca="false">CEILING(L245/M245,1)+1</f>
        <v>25</v>
      </c>
      <c r="P245" s="126" t="n">
        <v>6</v>
      </c>
      <c r="Q245" s="127" t="n">
        <f aca="false">2*($D$243-2*0.035)+2*($E$243-2*0.035)+20*6/1000</f>
        <v>0.64</v>
      </c>
      <c r="R245" s="105" t="n">
        <f aca="false">IF(P245=6,N245*O245*Q245*0.222*1,IF(P245&gt;6,"",IF(P245&lt;6,"")))</f>
        <v>3.552</v>
      </c>
      <c r="S245" s="106" t="str">
        <f aca="false">IF(P245=8,N245*O245*Q245*0.395*1,IF(P245&gt;8,"",IF(P245&lt;8,"")))</f>
        <v/>
      </c>
      <c r="T245" s="106" t="str">
        <f aca="false">IF(P245=10,N245*O245*Q245*0.617*1,IF(P245&gt;10,"",IF(P245&lt;10,"")))</f>
        <v/>
      </c>
      <c r="U245" s="106" t="str">
        <f aca="false">IF(P245=12,N245*O245*Q245*0.888*1,IF(P245&gt;12,"",IF(P245&lt;12,"")))</f>
        <v/>
      </c>
      <c r="V245" s="107" t="str">
        <f aca="false">IF(P245=16,N245*O245*Q245*1.578*1,IF(P245&gt;16,"",IF(P245&lt;16,"")))</f>
        <v/>
      </c>
      <c r="W245" s="106" t="str">
        <f aca="false">IF(P245=20,N245*O245*Q245*2.466*1,IF(P245&gt;20,"",IF(P245&lt;20,"")))</f>
        <v/>
      </c>
      <c r="X245" s="106" t="str">
        <f aca="false">IF(P245=25,N245*O245*Q245*3.853*1,IF(P245&gt;25,"",IF(P245&lt;25,"")))</f>
        <v/>
      </c>
      <c r="Y245" s="108" t="str">
        <f aca="false">IF(P245=32,N245*O245*Q245*6.313*1,IF(P245&gt;32,"",IF(P245&lt;32,"")))</f>
        <v/>
      </c>
      <c r="Z245" s="109"/>
      <c r="AA245" s="110" t="str">
        <f aca="false">IF(AC245&gt;0,N245,"")</f>
        <v/>
      </c>
      <c r="AB245" s="111" t="str">
        <f aca="false">IF(AC245&gt;0,O245,"")</f>
        <v/>
      </c>
      <c r="AC245" s="112"/>
      <c r="AD245" s="112"/>
      <c r="AE245" s="113" t="str">
        <f aca="false">IF(AC245&gt;0,P245,"")</f>
        <v/>
      </c>
      <c r="AF245" s="114" t="str">
        <f aca="false">IF(AE245=6,AA245*AB245*AC245*AD245*(AE245/1000)*0.222*1,IF(AE245&gt;6,"",IF(AE245&lt;6,"")))</f>
        <v/>
      </c>
      <c r="AG245" s="107" t="str">
        <f aca="false">IF(AE245=8,AA245*AB245*AC245*AD245*(AE245/1000)*0.395*1,IF(AE245&gt;8,"",IF(AE245&lt;8,"")))</f>
        <v/>
      </c>
      <c r="AH245" s="107" t="str">
        <f aca="false">IF(AE245=10,AA245*AB245*AC245*AD245*(AE245/1000)*0.617*1,IF(AE245&gt;10,"",IF(AE245&lt;10,"")))</f>
        <v/>
      </c>
      <c r="AI245" s="107" t="str">
        <f aca="false">IF(AE245=12,AA245*AB245*AC245*AD245*(AE245/1000)*0.888*1,IF(AE245&gt;12,"",IF(AE245&lt;12,"")))</f>
        <v/>
      </c>
      <c r="AJ245" s="107" t="str">
        <f aca="false">IF(AE245=16,AA245*AB245*AC245*AD245*(AE245/1000)*1.578*1,IF(AE245&gt;16,"",IF(AE245&lt;16,"")))</f>
        <v/>
      </c>
      <c r="AK245" s="107" t="str">
        <f aca="false">IF(AE245=20,AA245*AB245*AC245*AD245*(AE245/1000)*2.466*1,IF(AE245&gt;20,"",IF(AE245&lt;20,"")))</f>
        <v/>
      </c>
      <c r="AL245" s="107" t="str">
        <f aca="false">IF(AE245=25,AA245*AB245*AC245*AD245*(AE245/1000)*3.853*1,IF(AE245&gt;25,"",IF(AE245&lt;25,"")))</f>
        <v/>
      </c>
      <c r="AM245" s="115" t="str">
        <f aca="false">IF(AE245=32,AA245*AB245*AC245*AD245*(AE245/1000)*6.313*1,IF(AE245&gt;32,"",IF(AE245&lt;32,"")))</f>
        <v/>
      </c>
      <c r="AN245" s="128"/>
      <c r="AO245" s="117" t="s">
        <v>457</v>
      </c>
      <c r="AP245" s="118" t="n">
        <f aca="false">SUM(R245:Y245)+SUM(AN245)</f>
        <v>3.552</v>
      </c>
      <c r="AQ245" s="118" t="n">
        <f aca="false">SUM(AF245:AM245)</f>
        <v>0</v>
      </c>
      <c r="AR245" s="118"/>
      <c r="AS245" s="119"/>
      <c r="AT245" s="119" t="s">
        <v>162</v>
      </c>
    </row>
    <row r="246" customFormat="false" ht="13.5" hidden="false" customHeight="false" outlineLevel="0" collapsed="false">
      <c r="A246" s="120"/>
      <c r="B246" s="121" t="s">
        <v>593</v>
      </c>
      <c r="C246" s="110" t="n">
        <v>1</v>
      </c>
      <c r="D246" s="122" t="n">
        <v>0.2</v>
      </c>
      <c r="E246" s="122" t="n">
        <v>0.2</v>
      </c>
      <c r="F246" s="122" t="n">
        <f aca="false">0.084/(0.2*0.2)</f>
        <v>2.1</v>
      </c>
      <c r="G246" s="123" t="n">
        <f aca="false">C246*D246*E246*F246</f>
        <v>0.084</v>
      </c>
      <c r="H246" s="101"/>
      <c r="I246" s="123" t="n">
        <f aca="false">C246*F246*2*E246</f>
        <v>0.84</v>
      </c>
      <c r="J246" s="101"/>
      <c r="K246" s="124"/>
      <c r="L246" s="125"/>
      <c r="M246" s="125"/>
      <c r="N246" s="126"/>
      <c r="O246" s="126"/>
      <c r="P246" s="126"/>
      <c r="Q246" s="127"/>
      <c r="R246" s="105" t="str">
        <f aca="false">IF(P246=6,N246*O246*Q246*0.222*1,IF(P246&gt;6,"",IF(P246&lt;6,"")))</f>
        <v/>
      </c>
      <c r="S246" s="106" t="str">
        <f aca="false">IF(P246=8,N246*O246*Q246*0.395*1,IF(P246&gt;8,"",IF(P246&lt;8,"")))</f>
        <v/>
      </c>
      <c r="T246" s="106" t="str">
        <f aca="false">IF(P246=10,N246*O246*Q246*0.617*1,IF(P246&gt;10,"",IF(P246&lt;10,"")))</f>
        <v/>
      </c>
      <c r="U246" s="106" t="str">
        <f aca="false">IF(P246=12,N246*O246*Q246*0.888*1,IF(P246&gt;12,"",IF(P246&lt;12,"")))</f>
        <v/>
      </c>
      <c r="V246" s="107" t="str">
        <f aca="false">IF(P246=16,N246*O246*Q246*1.578*1,IF(P246&gt;16,"",IF(P246&lt;16,"")))</f>
        <v/>
      </c>
      <c r="W246" s="106" t="str">
        <f aca="false">IF(P246=20,N246*O246*Q246*2.466*1,IF(P246&gt;20,"",IF(P246&lt;20,"")))</f>
        <v/>
      </c>
      <c r="X246" s="106" t="str">
        <f aca="false">IF(P246=25,N246*O246*Q246*3.853*1,IF(P246&gt;25,"",IF(P246&lt;25,"")))</f>
        <v/>
      </c>
      <c r="Y246" s="108" t="str">
        <f aca="false">IF(P246=32,N246*O246*Q246*6.313*1,IF(P246&gt;32,"",IF(P246&lt;32,"")))</f>
        <v/>
      </c>
      <c r="Z246" s="109"/>
      <c r="AA246" s="110" t="str">
        <f aca="false">IF(AC246&gt;0,N246,"")</f>
        <v/>
      </c>
      <c r="AB246" s="111" t="str">
        <f aca="false">IF(AC246&gt;0,O246,"")</f>
        <v/>
      </c>
      <c r="AC246" s="112"/>
      <c r="AD246" s="112"/>
      <c r="AE246" s="113" t="str">
        <f aca="false">IF(AC246&gt;0,P246,"")</f>
        <v/>
      </c>
      <c r="AF246" s="114" t="str">
        <f aca="false">IF(AE246=6,AA246*AB246*AC246*AD246*(AE246/1000)*0.222*1,IF(AE246&gt;6,"",IF(AE246&lt;6,"")))</f>
        <v/>
      </c>
      <c r="AG246" s="107" t="str">
        <f aca="false">IF(AE246=8,AA246*AB246*AC246*AD246*(AE246/1000)*0.395*1,IF(AE246&gt;8,"",IF(AE246&lt;8,"")))</f>
        <v/>
      </c>
      <c r="AH246" s="107" t="str">
        <f aca="false">IF(AE246=10,AA246*AB246*AC246*AD246*(AE246/1000)*0.617*1,IF(AE246&gt;10,"",IF(AE246&lt;10,"")))</f>
        <v/>
      </c>
      <c r="AI246" s="107" t="str">
        <f aca="false">IF(AE246=12,AA246*AB246*AC246*AD246*(AE246/1000)*0.888*1,IF(AE246&gt;12,"",IF(AE246&lt;12,"")))</f>
        <v/>
      </c>
      <c r="AJ246" s="107" t="str">
        <f aca="false">IF(AE246=16,AA246*AB246*AC246*AD246*(AE246/1000)*1.578*1,IF(AE246&gt;16,"",IF(AE246&lt;16,"")))</f>
        <v/>
      </c>
      <c r="AK246" s="107" t="str">
        <f aca="false">IF(AE246=20,AA246*AB246*AC246*AD246*(AE246/1000)*2.466*1,IF(AE246&gt;20,"",IF(AE246&lt;20,"")))</f>
        <v/>
      </c>
      <c r="AL246" s="107" t="str">
        <f aca="false">IF(AE246=25,AA246*AB246*AC246*AD246*(AE246/1000)*3.853*1,IF(AE246&gt;25,"",IF(AE246&lt;25,"")))</f>
        <v/>
      </c>
      <c r="AM246" s="115" t="str">
        <f aca="false">IF(AE246=32,AA246*AB246*AC246*AD246*(AE246/1000)*6.313*1,IF(AE246&gt;32,"",IF(AE246&lt;32,"")))</f>
        <v/>
      </c>
      <c r="AN246" s="128"/>
      <c r="AO246" s="117" t="s">
        <v>457</v>
      </c>
      <c r="AP246" s="118" t="n">
        <f aca="false">SUM(R246:Y246)+SUM(AN246)</f>
        <v>0</v>
      </c>
      <c r="AQ246" s="118" t="n">
        <f aca="false">SUM(AF246:AM246)</f>
        <v>0</v>
      </c>
      <c r="AR246" s="118" t="n">
        <v>0.084</v>
      </c>
      <c r="AS246" s="119" t="s">
        <v>594</v>
      </c>
      <c r="AT246" s="119" t="s">
        <v>209</v>
      </c>
    </row>
    <row r="247" customFormat="false" ht="13.5" hidden="false" customHeight="false" outlineLevel="0" collapsed="false">
      <c r="A247" s="129"/>
      <c r="B247" s="172"/>
      <c r="C247" s="110"/>
      <c r="D247" s="122"/>
      <c r="E247" s="122"/>
      <c r="F247" s="173"/>
      <c r="G247" s="123"/>
      <c r="H247" s="101"/>
      <c r="I247" s="123"/>
      <c r="J247" s="101"/>
      <c r="K247" s="124" t="s">
        <v>587</v>
      </c>
      <c r="L247" s="125"/>
      <c r="M247" s="125"/>
      <c r="N247" s="126" t="n">
        <f aca="false">$C$246</f>
        <v>1</v>
      </c>
      <c r="O247" s="126" t="n">
        <v>4</v>
      </c>
      <c r="P247" s="126" t="n">
        <v>10</v>
      </c>
      <c r="Q247" s="127" t="n">
        <f aca="false">2.1+2*50*10/1000</f>
        <v>3.1</v>
      </c>
      <c r="R247" s="105" t="str">
        <f aca="false">IF(P247=6,N247*O247*Q247*0.222*1,IF(P247&gt;6,"",IF(P247&lt;6,"")))</f>
        <v/>
      </c>
      <c r="S247" s="106" t="str">
        <f aca="false">IF(P247=8,N247*O247*Q247*0.395*1,IF(P247&gt;8,"",IF(P247&lt;8,"")))</f>
        <v/>
      </c>
      <c r="T247" s="106" t="n">
        <f aca="false">IF(P247=10,N247*O247*Q247*0.617*1,IF(P247&gt;10,"",IF(P247&lt;10,"")))</f>
        <v>7.6508</v>
      </c>
      <c r="U247" s="106" t="str">
        <f aca="false">IF(P247=12,N247*O247*Q247*0.888*1,IF(P247&gt;12,"",IF(P247&lt;12,"")))</f>
        <v/>
      </c>
      <c r="V247" s="107" t="str">
        <f aca="false">IF(P247=16,N247*O247*Q247*1.578*1,IF(P247&gt;16,"",IF(P247&lt;16,"")))</f>
        <v/>
      </c>
      <c r="W247" s="106" t="str">
        <f aca="false">IF(P247=20,N247*O247*Q247*2.466*1,IF(P247&gt;20,"",IF(P247&lt;20,"")))</f>
        <v/>
      </c>
      <c r="X247" s="106" t="str">
        <f aca="false">IF(P247=25,N247*O247*Q247*3.853*1,IF(P247&gt;25,"",IF(P247&lt;25,"")))</f>
        <v/>
      </c>
      <c r="Y247" s="108" t="str">
        <f aca="false">IF(P247=32,N247*O247*Q247*6.313*1,IF(P247&gt;32,"",IF(P247&lt;32,"")))</f>
        <v/>
      </c>
      <c r="Z247" s="109"/>
      <c r="AA247" s="110" t="str">
        <f aca="false">IF(AC247&gt;0,N247,"")</f>
        <v/>
      </c>
      <c r="AB247" s="111" t="str">
        <f aca="false">IF(AC247&gt;0,O247,"")</f>
        <v/>
      </c>
      <c r="AC247" s="112"/>
      <c r="AD247" s="112"/>
      <c r="AE247" s="113" t="str">
        <f aca="false">IF(AC247&gt;0,P247,"")</f>
        <v/>
      </c>
      <c r="AF247" s="114" t="str">
        <f aca="false">IF(AE247=6,AA247*AB247*AC247*AD247*(AE247/1000)*0.222*1,IF(AE247&gt;6,"",IF(AE247&lt;6,"")))</f>
        <v/>
      </c>
      <c r="AG247" s="107" t="str">
        <f aca="false">IF(AE247=8,AA247*AB247*AC247*AD247*(AE247/1000)*0.395*1,IF(AE247&gt;8,"",IF(AE247&lt;8,"")))</f>
        <v/>
      </c>
      <c r="AH247" s="107" t="str">
        <f aca="false">IF(AE247=10,AA247*AB247*AC247*AD247*(AE247/1000)*0.617*1,IF(AE247&gt;10,"",IF(AE247&lt;10,"")))</f>
        <v/>
      </c>
      <c r="AI247" s="107" t="str">
        <f aca="false">IF(AE247=12,AA247*AB247*AC247*AD247*(AE247/1000)*0.888*1,IF(AE247&gt;12,"",IF(AE247&lt;12,"")))</f>
        <v/>
      </c>
      <c r="AJ247" s="107" t="str">
        <f aca="false">IF(AE247=16,AA247*AB247*AC247*AD247*(AE247/1000)*1.578*1,IF(AE247&gt;16,"",IF(AE247&lt;16,"")))</f>
        <v/>
      </c>
      <c r="AK247" s="107" t="str">
        <f aca="false">IF(AE247=20,AA247*AB247*AC247*AD247*(AE247/1000)*2.466*1,IF(AE247&gt;20,"",IF(AE247&lt;20,"")))</f>
        <v/>
      </c>
      <c r="AL247" s="107" t="str">
        <f aca="false">IF(AE247=25,AA247*AB247*AC247*AD247*(AE247/1000)*3.853*1,IF(AE247&gt;25,"",IF(AE247&lt;25,"")))</f>
        <v/>
      </c>
      <c r="AM247" s="115" t="str">
        <f aca="false">IF(AE247=32,AA247*AB247*AC247*AD247*(AE247/1000)*6.313*1,IF(AE247&gt;32,"",IF(AE247&lt;32,"")))</f>
        <v/>
      </c>
      <c r="AN247" s="128"/>
      <c r="AO247" s="117" t="s">
        <v>457</v>
      </c>
      <c r="AP247" s="118" t="n">
        <f aca="false">SUM(R247:Y247)+SUM(AN247)</f>
        <v>7.6508</v>
      </c>
      <c r="AQ247" s="118" t="n">
        <f aca="false">SUM(AF247:AM247)</f>
        <v>0</v>
      </c>
      <c r="AR247" s="118"/>
      <c r="AS247" s="119"/>
      <c r="AT247" s="119" t="s">
        <v>162</v>
      </c>
    </row>
    <row r="248" customFormat="false" ht="13.5" hidden="false" customHeight="false" outlineLevel="0" collapsed="false">
      <c r="A248" s="129"/>
      <c r="B248" s="172"/>
      <c r="C248" s="110"/>
      <c r="D248" s="122"/>
      <c r="E248" s="122"/>
      <c r="F248" s="173"/>
      <c r="G248" s="123"/>
      <c r="H248" s="101"/>
      <c r="I248" s="123"/>
      <c r="J248" s="101"/>
      <c r="K248" s="124" t="s">
        <v>588</v>
      </c>
      <c r="L248" s="125" t="n">
        <f aca="false">$F$246</f>
        <v>2.1</v>
      </c>
      <c r="M248" s="125" t="n">
        <v>0.2</v>
      </c>
      <c r="N248" s="126" t="n">
        <f aca="false">$C$246</f>
        <v>1</v>
      </c>
      <c r="O248" s="126" t="n">
        <f aca="false">CEILING(L248/M248,1)+1</f>
        <v>12</v>
      </c>
      <c r="P248" s="126" t="n">
        <v>6</v>
      </c>
      <c r="Q248" s="127" t="n">
        <f aca="false">2*($D$246-2*0.035)+2*($E$246-2*0.035)+20*6/1000</f>
        <v>0.64</v>
      </c>
      <c r="R248" s="105" t="n">
        <f aca="false">IF(P248=6,N248*O248*Q248*0.222*1,IF(P248&gt;6,"",IF(P248&lt;6,"")))</f>
        <v>1.70496</v>
      </c>
      <c r="S248" s="106" t="str">
        <f aca="false">IF(P248=8,N248*O248*Q248*0.395*1,IF(P248&gt;8,"",IF(P248&lt;8,"")))</f>
        <v/>
      </c>
      <c r="T248" s="106" t="str">
        <f aca="false">IF(P248=10,N248*O248*Q248*0.617*1,IF(P248&gt;10,"",IF(P248&lt;10,"")))</f>
        <v/>
      </c>
      <c r="U248" s="106" t="str">
        <f aca="false">IF(P248=12,N248*O248*Q248*0.888*1,IF(P248&gt;12,"",IF(P248&lt;12,"")))</f>
        <v/>
      </c>
      <c r="V248" s="107" t="str">
        <f aca="false">IF(P248=16,N248*O248*Q248*1.578*1,IF(P248&gt;16,"",IF(P248&lt;16,"")))</f>
        <v/>
      </c>
      <c r="W248" s="106" t="str">
        <f aca="false">IF(P248=20,N248*O248*Q248*2.466*1,IF(P248&gt;20,"",IF(P248&lt;20,"")))</f>
        <v/>
      </c>
      <c r="X248" s="106" t="str">
        <f aca="false">IF(P248=25,N248*O248*Q248*3.853*1,IF(P248&gt;25,"",IF(P248&lt;25,"")))</f>
        <v/>
      </c>
      <c r="Y248" s="108" t="str">
        <f aca="false">IF(P248=32,N248*O248*Q248*6.313*1,IF(P248&gt;32,"",IF(P248&lt;32,"")))</f>
        <v/>
      </c>
      <c r="Z248" s="109"/>
      <c r="AA248" s="110" t="str">
        <f aca="false">IF(AC248&gt;0,N248,"")</f>
        <v/>
      </c>
      <c r="AB248" s="111" t="str">
        <f aca="false">IF(AC248&gt;0,O248,"")</f>
        <v/>
      </c>
      <c r="AC248" s="112"/>
      <c r="AD248" s="112"/>
      <c r="AE248" s="113" t="str">
        <f aca="false">IF(AC248&gt;0,P248,"")</f>
        <v/>
      </c>
      <c r="AF248" s="114" t="str">
        <f aca="false">IF(AE248=6,AA248*AB248*AC248*AD248*(AE248/1000)*0.222*1,IF(AE248&gt;6,"",IF(AE248&lt;6,"")))</f>
        <v/>
      </c>
      <c r="AG248" s="107" t="str">
        <f aca="false">IF(AE248=8,AA248*AB248*AC248*AD248*(AE248/1000)*0.395*1,IF(AE248&gt;8,"",IF(AE248&lt;8,"")))</f>
        <v/>
      </c>
      <c r="AH248" s="107" t="str">
        <f aca="false">IF(AE248=10,AA248*AB248*AC248*AD248*(AE248/1000)*0.617*1,IF(AE248&gt;10,"",IF(AE248&lt;10,"")))</f>
        <v/>
      </c>
      <c r="AI248" s="107" t="str">
        <f aca="false">IF(AE248=12,AA248*AB248*AC248*AD248*(AE248/1000)*0.888*1,IF(AE248&gt;12,"",IF(AE248&lt;12,"")))</f>
        <v/>
      </c>
      <c r="AJ248" s="107" t="str">
        <f aca="false">IF(AE248=16,AA248*AB248*AC248*AD248*(AE248/1000)*1.578*1,IF(AE248&gt;16,"",IF(AE248&lt;16,"")))</f>
        <v/>
      </c>
      <c r="AK248" s="107" t="str">
        <f aca="false">IF(AE248=20,AA248*AB248*AC248*AD248*(AE248/1000)*2.466*1,IF(AE248&gt;20,"",IF(AE248&lt;20,"")))</f>
        <v/>
      </c>
      <c r="AL248" s="107" t="str">
        <f aca="false">IF(AE248=25,AA248*AB248*AC248*AD248*(AE248/1000)*3.853*1,IF(AE248&gt;25,"",IF(AE248&lt;25,"")))</f>
        <v/>
      </c>
      <c r="AM248" s="115" t="str">
        <f aca="false">IF(AE248=32,AA248*AB248*AC248*AD248*(AE248/1000)*6.313*1,IF(AE248&gt;32,"",IF(AE248&lt;32,"")))</f>
        <v/>
      </c>
      <c r="AN248" s="128"/>
      <c r="AO248" s="117" t="s">
        <v>457</v>
      </c>
      <c r="AP248" s="118" t="n">
        <f aca="false">SUM(R248:Y248)+SUM(AN248)</f>
        <v>1.70496</v>
      </c>
      <c r="AQ248" s="118" t="n">
        <f aca="false">SUM(AF248:AM248)</f>
        <v>0</v>
      </c>
      <c r="AR248" s="118"/>
      <c r="AS248" s="119"/>
      <c r="AT248" s="119" t="s">
        <v>162</v>
      </c>
    </row>
    <row r="249" customFormat="false" ht="13.5" hidden="false" customHeight="false" outlineLevel="0" collapsed="false">
      <c r="A249" s="120"/>
      <c r="B249" s="121" t="s">
        <v>595</v>
      </c>
      <c r="C249" s="110" t="n">
        <v>1</v>
      </c>
      <c r="D249" s="122" t="n">
        <v>0.2</v>
      </c>
      <c r="E249" s="122" t="n">
        <v>0.2</v>
      </c>
      <c r="F249" s="122" t="n">
        <f aca="false">0.084/(0.2*0.2)</f>
        <v>2.1</v>
      </c>
      <c r="G249" s="123" t="n">
        <f aca="false">C249*D249*E249*F249</f>
        <v>0.084</v>
      </c>
      <c r="H249" s="101"/>
      <c r="I249" s="123" t="n">
        <f aca="false">C249*F249*2*E249</f>
        <v>0.84</v>
      </c>
      <c r="J249" s="101"/>
      <c r="K249" s="124"/>
      <c r="L249" s="125"/>
      <c r="M249" s="125"/>
      <c r="N249" s="126"/>
      <c r="O249" s="126"/>
      <c r="P249" s="126"/>
      <c r="Q249" s="127"/>
      <c r="R249" s="105" t="str">
        <f aca="false">IF(P249=6,N249*O249*Q249*0.222*1,IF(P249&gt;6,"",IF(P249&lt;6,"")))</f>
        <v/>
      </c>
      <c r="S249" s="106" t="str">
        <f aca="false">IF(P249=8,N249*O249*Q249*0.395*1,IF(P249&gt;8,"",IF(P249&lt;8,"")))</f>
        <v/>
      </c>
      <c r="T249" s="106" t="str">
        <f aca="false">IF(P249=10,N249*O249*Q249*0.617*1,IF(P249&gt;10,"",IF(P249&lt;10,"")))</f>
        <v/>
      </c>
      <c r="U249" s="106" t="str">
        <f aca="false">IF(P249=12,N249*O249*Q249*0.888*1,IF(P249&gt;12,"",IF(P249&lt;12,"")))</f>
        <v/>
      </c>
      <c r="V249" s="107" t="str">
        <f aca="false">IF(P249=16,N249*O249*Q249*1.578*1,IF(P249&gt;16,"",IF(P249&lt;16,"")))</f>
        <v/>
      </c>
      <c r="W249" s="106" t="str">
        <f aca="false">IF(P249=20,N249*O249*Q249*2.466*1,IF(P249&gt;20,"",IF(P249&lt;20,"")))</f>
        <v/>
      </c>
      <c r="X249" s="106" t="str">
        <f aca="false">IF(P249=25,N249*O249*Q249*3.853*1,IF(P249&gt;25,"",IF(P249&lt;25,"")))</f>
        <v/>
      </c>
      <c r="Y249" s="108" t="str">
        <f aca="false">IF(P249=32,N249*O249*Q249*6.313*1,IF(P249&gt;32,"",IF(P249&lt;32,"")))</f>
        <v/>
      </c>
      <c r="Z249" s="109"/>
      <c r="AA249" s="110" t="str">
        <f aca="false">IF(AC249&gt;0,N249,"")</f>
        <v/>
      </c>
      <c r="AB249" s="111" t="str">
        <f aca="false">IF(AC249&gt;0,O249,"")</f>
        <v/>
      </c>
      <c r="AC249" s="112"/>
      <c r="AD249" s="112"/>
      <c r="AE249" s="113" t="str">
        <f aca="false">IF(AC249&gt;0,P249,"")</f>
        <v/>
      </c>
      <c r="AF249" s="114" t="str">
        <f aca="false">IF(AE249=6,AA249*AB249*AC249*AD249*(AE249/1000)*0.222*1,IF(AE249&gt;6,"",IF(AE249&lt;6,"")))</f>
        <v/>
      </c>
      <c r="AG249" s="107" t="str">
        <f aca="false">IF(AE249=8,AA249*AB249*AC249*AD249*(AE249/1000)*0.395*1,IF(AE249&gt;8,"",IF(AE249&lt;8,"")))</f>
        <v/>
      </c>
      <c r="AH249" s="107" t="str">
        <f aca="false">IF(AE249=10,AA249*AB249*AC249*AD249*(AE249/1000)*0.617*1,IF(AE249&gt;10,"",IF(AE249&lt;10,"")))</f>
        <v/>
      </c>
      <c r="AI249" s="107" t="str">
        <f aca="false">IF(AE249=12,AA249*AB249*AC249*AD249*(AE249/1000)*0.888*1,IF(AE249&gt;12,"",IF(AE249&lt;12,"")))</f>
        <v/>
      </c>
      <c r="AJ249" s="107" t="str">
        <f aca="false">IF(AE249=16,AA249*AB249*AC249*AD249*(AE249/1000)*1.578*1,IF(AE249&gt;16,"",IF(AE249&lt;16,"")))</f>
        <v/>
      </c>
      <c r="AK249" s="107" t="str">
        <f aca="false">IF(AE249=20,AA249*AB249*AC249*AD249*(AE249/1000)*2.466*1,IF(AE249&gt;20,"",IF(AE249&lt;20,"")))</f>
        <v/>
      </c>
      <c r="AL249" s="107" t="str">
        <f aca="false">IF(AE249=25,AA249*AB249*AC249*AD249*(AE249/1000)*3.853*1,IF(AE249&gt;25,"",IF(AE249&lt;25,"")))</f>
        <v/>
      </c>
      <c r="AM249" s="115" t="str">
        <f aca="false">IF(AE249=32,AA249*AB249*AC249*AD249*(AE249/1000)*6.313*1,IF(AE249&gt;32,"",IF(AE249&lt;32,"")))</f>
        <v/>
      </c>
      <c r="AN249" s="128"/>
      <c r="AO249" s="117" t="s">
        <v>457</v>
      </c>
      <c r="AP249" s="118" t="n">
        <f aca="false">SUM(R249:Y249)+SUM(AN249)</f>
        <v>0</v>
      </c>
      <c r="AQ249" s="118" t="n">
        <f aca="false">SUM(AF249:AM249)</f>
        <v>0</v>
      </c>
      <c r="AR249" s="118" t="n">
        <v>0.084</v>
      </c>
      <c r="AS249" s="119" t="s">
        <v>596</v>
      </c>
      <c r="AT249" s="119" t="s">
        <v>209</v>
      </c>
    </row>
    <row r="250" customFormat="false" ht="13.5" hidden="false" customHeight="false" outlineLevel="0" collapsed="false">
      <c r="A250" s="129"/>
      <c r="B250" s="172"/>
      <c r="C250" s="110"/>
      <c r="D250" s="122"/>
      <c r="E250" s="122"/>
      <c r="F250" s="173"/>
      <c r="G250" s="123"/>
      <c r="H250" s="101"/>
      <c r="I250" s="123"/>
      <c r="J250" s="101"/>
      <c r="K250" s="124" t="s">
        <v>587</v>
      </c>
      <c r="L250" s="125"/>
      <c r="M250" s="125"/>
      <c r="N250" s="126" t="n">
        <f aca="false">$C$249</f>
        <v>1</v>
      </c>
      <c r="O250" s="126" t="n">
        <v>4</v>
      </c>
      <c r="P250" s="126" t="n">
        <v>10</v>
      </c>
      <c r="Q250" s="127" t="n">
        <f aca="false">2.1+2*50*10/1000</f>
        <v>3.1</v>
      </c>
      <c r="R250" s="105" t="str">
        <f aca="false">IF(P250=6,N250*O250*Q250*0.222*1,IF(P250&gt;6,"",IF(P250&lt;6,"")))</f>
        <v/>
      </c>
      <c r="S250" s="106" t="str">
        <f aca="false">IF(P250=8,N250*O250*Q250*0.395*1,IF(P250&gt;8,"",IF(P250&lt;8,"")))</f>
        <v/>
      </c>
      <c r="T250" s="106" t="n">
        <f aca="false">IF(P250=10,N250*O250*Q250*0.617*1,IF(P250&gt;10,"",IF(P250&lt;10,"")))</f>
        <v>7.6508</v>
      </c>
      <c r="U250" s="106" t="str">
        <f aca="false">IF(P250=12,N250*O250*Q250*0.888*1,IF(P250&gt;12,"",IF(P250&lt;12,"")))</f>
        <v/>
      </c>
      <c r="V250" s="107" t="str">
        <f aca="false">IF(P250=16,N250*O250*Q250*1.578*1,IF(P250&gt;16,"",IF(P250&lt;16,"")))</f>
        <v/>
      </c>
      <c r="W250" s="106" t="str">
        <f aca="false">IF(P250=20,N250*O250*Q250*2.466*1,IF(P250&gt;20,"",IF(P250&lt;20,"")))</f>
        <v/>
      </c>
      <c r="X250" s="106" t="str">
        <f aca="false">IF(P250=25,N250*O250*Q250*3.853*1,IF(P250&gt;25,"",IF(P250&lt;25,"")))</f>
        <v/>
      </c>
      <c r="Y250" s="108" t="str">
        <f aca="false">IF(P250=32,N250*O250*Q250*6.313*1,IF(P250&gt;32,"",IF(P250&lt;32,"")))</f>
        <v/>
      </c>
      <c r="Z250" s="109"/>
      <c r="AA250" s="110" t="str">
        <f aca="false">IF(AC250&gt;0,N250,"")</f>
        <v/>
      </c>
      <c r="AB250" s="111" t="str">
        <f aca="false">IF(AC250&gt;0,O250,"")</f>
        <v/>
      </c>
      <c r="AC250" s="112"/>
      <c r="AD250" s="112"/>
      <c r="AE250" s="113" t="str">
        <f aca="false">IF(AC250&gt;0,P250,"")</f>
        <v/>
      </c>
      <c r="AF250" s="114" t="str">
        <f aca="false">IF(AE250=6,AA250*AB250*AC250*AD250*(AE250/1000)*0.222*1,IF(AE250&gt;6,"",IF(AE250&lt;6,"")))</f>
        <v/>
      </c>
      <c r="AG250" s="107" t="str">
        <f aca="false">IF(AE250=8,AA250*AB250*AC250*AD250*(AE250/1000)*0.395*1,IF(AE250&gt;8,"",IF(AE250&lt;8,"")))</f>
        <v/>
      </c>
      <c r="AH250" s="107" t="str">
        <f aca="false">IF(AE250=10,AA250*AB250*AC250*AD250*(AE250/1000)*0.617*1,IF(AE250&gt;10,"",IF(AE250&lt;10,"")))</f>
        <v/>
      </c>
      <c r="AI250" s="107" t="str">
        <f aca="false">IF(AE250=12,AA250*AB250*AC250*AD250*(AE250/1000)*0.888*1,IF(AE250&gt;12,"",IF(AE250&lt;12,"")))</f>
        <v/>
      </c>
      <c r="AJ250" s="107" t="str">
        <f aca="false">IF(AE250=16,AA250*AB250*AC250*AD250*(AE250/1000)*1.578*1,IF(AE250&gt;16,"",IF(AE250&lt;16,"")))</f>
        <v/>
      </c>
      <c r="AK250" s="107" t="str">
        <f aca="false">IF(AE250=20,AA250*AB250*AC250*AD250*(AE250/1000)*2.466*1,IF(AE250&gt;20,"",IF(AE250&lt;20,"")))</f>
        <v/>
      </c>
      <c r="AL250" s="107" t="str">
        <f aca="false">IF(AE250=25,AA250*AB250*AC250*AD250*(AE250/1000)*3.853*1,IF(AE250&gt;25,"",IF(AE250&lt;25,"")))</f>
        <v/>
      </c>
      <c r="AM250" s="115" t="str">
        <f aca="false">IF(AE250=32,AA250*AB250*AC250*AD250*(AE250/1000)*6.313*1,IF(AE250&gt;32,"",IF(AE250&lt;32,"")))</f>
        <v/>
      </c>
      <c r="AN250" s="128"/>
      <c r="AO250" s="117" t="s">
        <v>457</v>
      </c>
      <c r="AP250" s="118" t="n">
        <f aca="false">SUM(R250:Y250)+SUM(AN250)</f>
        <v>7.6508</v>
      </c>
      <c r="AQ250" s="118" t="n">
        <f aca="false">SUM(AF250:AM250)</f>
        <v>0</v>
      </c>
      <c r="AR250" s="118"/>
      <c r="AS250" s="119"/>
      <c r="AT250" s="119" t="s">
        <v>162</v>
      </c>
    </row>
    <row r="251" customFormat="false" ht="13.5" hidden="false" customHeight="false" outlineLevel="0" collapsed="false">
      <c r="A251" s="129"/>
      <c r="B251" s="172"/>
      <c r="C251" s="110"/>
      <c r="D251" s="122"/>
      <c r="E251" s="122"/>
      <c r="F251" s="173"/>
      <c r="G251" s="123"/>
      <c r="H251" s="101"/>
      <c r="I251" s="123"/>
      <c r="J251" s="101"/>
      <c r="K251" s="124" t="s">
        <v>588</v>
      </c>
      <c r="L251" s="125" t="n">
        <f aca="false">$F$249</f>
        <v>2.1</v>
      </c>
      <c r="M251" s="125" t="n">
        <v>0.2</v>
      </c>
      <c r="N251" s="126" t="n">
        <f aca="false">$C$249</f>
        <v>1</v>
      </c>
      <c r="O251" s="126" t="n">
        <f aca="false">CEILING(L251/M251,1)+1</f>
        <v>12</v>
      </c>
      <c r="P251" s="126" t="n">
        <v>6</v>
      </c>
      <c r="Q251" s="127" t="n">
        <f aca="false">2*($D$249-2*0.035)+2*($E$249-2*0.035)+20*6/1000</f>
        <v>0.64</v>
      </c>
      <c r="R251" s="105" t="n">
        <f aca="false">IF(P251=6,N251*O251*Q251*0.222*1,IF(P251&gt;6,"",IF(P251&lt;6,"")))</f>
        <v>1.70496</v>
      </c>
      <c r="S251" s="106" t="str">
        <f aca="false">IF(P251=8,N251*O251*Q251*0.395*1,IF(P251&gt;8,"",IF(P251&lt;8,"")))</f>
        <v/>
      </c>
      <c r="T251" s="106" t="str">
        <f aca="false">IF(P251=10,N251*O251*Q251*0.617*1,IF(P251&gt;10,"",IF(P251&lt;10,"")))</f>
        <v/>
      </c>
      <c r="U251" s="106" t="str">
        <f aca="false">IF(P251=12,N251*O251*Q251*0.888*1,IF(P251&gt;12,"",IF(P251&lt;12,"")))</f>
        <v/>
      </c>
      <c r="V251" s="107" t="str">
        <f aca="false">IF(P251=16,N251*O251*Q251*1.578*1,IF(P251&gt;16,"",IF(P251&lt;16,"")))</f>
        <v/>
      </c>
      <c r="W251" s="106" t="str">
        <f aca="false">IF(P251=20,N251*O251*Q251*2.466*1,IF(P251&gt;20,"",IF(P251&lt;20,"")))</f>
        <v/>
      </c>
      <c r="X251" s="106" t="str">
        <f aca="false">IF(P251=25,N251*O251*Q251*3.853*1,IF(P251&gt;25,"",IF(P251&lt;25,"")))</f>
        <v/>
      </c>
      <c r="Y251" s="108" t="str">
        <f aca="false">IF(P251=32,N251*O251*Q251*6.313*1,IF(P251&gt;32,"",IF(P251&lt;32,"")))</f>
        <v/>
      </c>
      <c r="Z251" s="109"/>
      <c r="AA251" s="110" t="str">
        <f aca="false">IF(AC251&gt;0,N251,"")</f>
        <v/>
      </c>
      <c r="AB251" s="111" t="str">
        <f aca="false">IF(AC251&gt;0,O251,"")</f>
        <v/>
      </c>
      <c r="AC251" s="112"/>
      <c r="AD251" s="112"/>
      <c r="AE251" s="113" t="str">
        <f aca="false">IF(AC251&gt;0,P251,"")</f>
        <v/>
      </c>
      <c r="AF251" s="114" t="str">
        <f aca="false">IF(AE251=6,AA251*AB251*AC251*AD251*(AE251/1000)*0.222*1,IF(AE251&gt;6,"",IF(AE251&lt;6,"")))</f>
        <v/>
      </c>
      <c r="AG251" s="107" t="str">
        <f aca="false">IF(AE251=8,AA251*AB251*AC251*AD251*(AE251/1000)*0.395*1,IF(AE251&gt;8,"",IF(AE251&lt;8,"")))</f>
        <v/>
      </c>
      <c r="AH251" s="107" t="str">
        <f aca="false">IF(AE251=10,AA251*AB251*AC251*AD251*(AE251/1000)*0.617*1,IF(AE251&gt;10,"",IF(AE251&lt;10,"")))</f>
        <v/>
      </c>
      <c r="AI251" s="107" t="str">
        <f aca="false">IF(AE251=12,AA251*AB251*AC251*AD251*(AE251/1000)*0.888*1,IF(AE251&gt;12,"",IF(AE251&lt;12,"")))</f>
        <v/>
      </c>
      <c r="AJ251" s="107" t="str">
        <f aca="false">IF(AE251=16,AA251*AB251*AC251*AD251*(AE251/1000)*1.578*1,IF(AE251&gt;16,"",IF(AE251&lt;16,"")))</f>
        <v/>
      </c>
      <c r="AK251" s="107" t="str">
        <f aca="false">IF(AE251=20,AA251*AB251*AC251*AD251*(AE251/1000)*2.466*1,IF(AE251&gt;20,"",IF(AE251&lt;20,"")))</f>
        <v/>
      </c>
      <c r="AL251" s="107" t="str">
        <f aca="false">IF(AE251=25,AA251*AB251*AC251*AD251*(AE251/1000)*3.853*1,IF(AE251&gt;25,"",IF(AE251&lt;25,"")))</f>
        <v/>
      </c>
      <c r="AM251" s="115" t="str">
        <f aca="false">IF(AE251=32,AA251*AB251*AC251*AD251*(AE251/1000)*6.313*1,IF(AE251&gt;32,"",IF(AE251&lt;32,"")))</f>
        <v/>
      </c>
      <c r="AN251" s="128"/>
      <c r="AO251" s="117" t="s">
        <v>457</v>
      </c>
      <c r="AP251" s="118" t="n">
        <f aca="false">SUM(R251:Y251)+SUM(AN251)</f>
        <v>1.70496</v>
      </c>
      <c r="AQ251" s="118" t="n">
        <f aca="false">SUM(AF251:AM251)</f>
        <v>0</v>
      </c>
      <c r="AR251" s="118"/>
      <c r="AS251" s="119"/>
      <c r="AT251" s="119" t="s">
        <v>162</v>
      </c>
    </row>
    <row r="252" customFormat="false" ht="13.5" hidden="false" customHeight="false" outlineLevel="0" collapsed="false">
      <c r="A252" s="120"/>
      <c r="B252" s="121" t="s">
        <v>597</v>
      </c>
      <c r="C252" s="110" t="n">
        <v>1</v>
      </c>
      <c r="D252" s="122" t="n">
        <v>0.2</v>
      </c>
      <c r="E252" s="122" t="n">
        <v>0.2</v>
      </c>
      <c r="F252" s="122" t="n">
        <f aca="false">0.2006/(0.2*0.2)</f>
        <v>5.015</v>
      </c>
      <c r="G252" s="123" t="n">
        <f aca="false">C252*D252*E252*F252</f>
        <v>0.2006</v>
      </c>
      <c r="H252" s="101"/>
      <c r="I252" s="123" t="n">
        <f aca="false">C252*F252*2*E252</f>
        <v>2.006</v>
      </c>
      <c r="J252" s="101"/>
      <c r="K252" s="124"/>
      <c r="L252" s="125"/>
      <c r="M252" s="125"/>
      <c r="N252" s="126"/>
      <c r="O252" s="126"/>
      <c r="P252" s="126"/>
      <c r="Q252" s="127"/>
      <c r="R252" s="105" t="str">
        <f aca="false">IF(P252=6,N252*O252*Q252*0.222*1,IF(P252&gt;6,"",IF(P252&lt;6,"")))</f>
        <v/>
      </c>
      <c r="S252" s="106" t="str">
        <f aca="false">IF(P252=8,N252*O252*Q252*0.395*1,IF(P252&gt;8,"",IF(P252&lt;8,"")))</f>
        <v/>
      </c>
      <c r="T252" s="106" t="str">
        <f aca="false">IF(P252=10,N252*O252*Q252*0.617*1,IF(P252&gt;10,"",IF(P252&lt;10,"")))</f>
        <v/>
      </c>
      <c r="U252" s="106" t="str">
        <f aca="false">IF(P252=12,N252*O252*Q252*0.888*1,IF(P252&gt;12,"",IF(P252&lt;12,"")))</f>
        <v/>
      </c>
      <c r="V252" s="107" t="str">
        <f aca="false">IF(P252=16,N252*O252*Q252*1.578*1,IF(P252&gt;16,"",IF(P252&lt;16,"")))</f>
        <v/>
      </c>
      <c r="W252" s="106" t="str">
        <f aca="false">IF(P252=20,N252*O252*Q252*2.466*1,IF(P252&gt;20,"",IF(P252&lt;20,"")))</f>
        <v/>
      </c>
      <c r="X252" s="106" t="str">
        <f aca="false">IF(P252=25,N252*O252*Q252*3.853*1,IF(P252&gt;25,"",IF(P252&lt;25,"")))</f>
        <v/>
      </c>
      <c r="Y252" s="108" t="str">
        <f aca="false">IF(P252=32,N252*O252*Q252*6.313*1,IF(P252&gt;32,"",IF(P252&lt;32,"")))</f>
        <v/>
      </c>
      <c r="Z252" s="109"/>
      <c r="AA252" s="110" t="str">
        <f aca="false">IF(AC252&gt;0,N252,"")</f>
        <v/>
      </c>
      <c r="AB252" s="111" t="str">
        <f aca="false">IF(AC252&gt;0,O252,"")</f>
        <v/>
      </c>
      <c r="AC252" s="112"/>
      <c r="AD252" s="112"/>
      <c r="AE252" s="113" t="str">
        <f aca="false">IF(AC252&gt;0,P252,"")</f>
        <v/>
      </c>
      <c r="AF252" s="114" t="str">
        <f aca="false">IF(AE252=6,AA252*AB252*AC252*AD252*(AE252/1000)*0.222*1,IF(AE252&gt;6,"",IF(AE252&lt;6,"")))</f>
        <v/>
      </c>
      <c r="AG252" s="107" t="str">
        <f aca="false">IF(AE252=8,AA252*AB252*AC252*AD252*(AE252/1000)*0.395*1,IF(AE252&gt;8,"",IF(AE252&lt;8,"")))</f>
        <v/>
      </c>
      <c r="AH252" s="107" t="str">
        <f aca="false">IF(AE252=10,AA252*AB252*AC252*AD252*(AE252/1000)*0.617*1,IF(AE252&gt;10,"",IF(AE252&lt;10,"")))</f>
        <v/>
      </c>
      <c r="AI252" s="107" t="str">
        <f aca="false">IF(AE252=12,AA252*AB252*AC252*AD252*(AE252/1000)*0.888*1,IF(AE252&gt;12,"",IF(AE252&lt;12,"")))</f>
        <v/>
      </c>
      <c r="AJ252" s="107" t="str">
        <f aca="false">IF(AE252=16,AA252*AB252*AC252*AD252*(AE252/1000)*1.578*1,IF(AE252&gt;16,"",IF(AE252&lt;16,"")))</f>
        <v/>
      </c>
      <c r="AK252" s="107" t="str">
        <f aca="false">IF(AE252=20,AA252*AB252*AC252*AD252*(AE252/1000)*2.466*1,IF(AE252&gt;20,"",IF(AE252&lt;20,"")))</f>
        <v/>
      </c>
      <c r="AL252" s="107" t="str">
        <f aca="false">IF(AE252=25,AA252*AB252*AC252*AD252*(AE252/1000)*3.853*1,IF(AE252&gt;25,"",IF(AE252&lt;25,"")))</f>
        <v/>
      </c>
      <c r="AM252" s="115" t="str">
        <f aca="false">IF(AE252=32,AA252*AB252*AC252*AD252*(AE252/1000)*6.313*1,IF(AE252&gt;32,"",IF(AE252&lt;32,"")))</f>
        <v/>
      </c>
      <c r="AN252" s="128"/>
      <c r="AO252" s="117" t="s">
        <v>457</v>
      </c>
      <c r="AP252" s="118" t="n">
        <f aca="false">SUM(R252:Y252)+SUM(AN252)</f>
        <v>0</v>
      </c>
      <c r="AQ252" s="118" t="n">
        <f aca="false">SUM(AF252:AM252)</f>
        <v>0</v>
      </c>
      <c r="AR252" s="118" t="n">
        <v>0.2006</v>
      </c>
      <c r="AS252" s="119" t="s">
        <v>598</v>
      </c>
      <c r="AT252" s="119" t="s">
        <v>209</v>
      </c>
    </row>
    <row r="253" customFormat="false" ht="13.5" hidden="false" customHeight="false" outlineLevel="0" collapsed="false">
      <c r="A253" s="129"/>
      <c r="B253" s="172"/>
      <c r="C253" s="110"/>
      <c r="D253" s="122"/>
      <c r="E253" s="122"/>
      <c r="F253" s="173"/>
      <c r="G253" s="123"/>
      <c r="H253" s="101"/>
      <c r="I253" s="123"/>
      <c r="J253" s="101"/>
      <c r="K253" s="124" t="s">
        <v>587</v>
      </c>
      <c r="L253" s="125"/>
      <c r="M253" s="125"/>
      <c r="N253" s="126" t="n">
        <f aca="false">$C$252</f>
        <v>1</v>
      </c>
      <c r="O253" s="126" t="n">
        <v>4</v>
      </c>
      <c r="P253" s="126" t="n">
        <v>10</v>
      </c>
      <c r="Q253" s="127" t="n">
        <f aca="false">5.14+2*50*10/1000</f>
        <v>6.14</v>
      </c>
      <c r="R253" s="105" t="str">
        <f aca="false">IF(P253=6,N253*O253*Q253*0.222*1,IF(P253&gt;6,"",IF(P253&lt;6,"")))</f>
        <v/>
      </c>
      <c r="S253" s="106" t="str">
        <f aca="false">IF(P253=8,N253*O253*Q253*0.395*1,IF(P253&gt;8,"",IF(P253&lt;8,"")))</f>
        <v/>
      </c>
      <c r="T253" s="106" t="n">
        <f aca="false">IF(P253=10,N253*O253*Q253*0.617*1,IF(P253&gt;10,"",IF(P253&lt;10,"")))</f>
        <v>15.15352</v>
      </c>
      <c r="U253" s="106" t="str">
        <f aca="false">IF(P253=12,N253*O253*Q253*0.888*1,IF(P253&gt;12,"",IF(P253&lt;12,"")))</f>
        <v/>
      </c>
      <c r="V253" s="107" t="str">
        <f aca="false">IF(P253=16,N253*O253*Q253*1.578*1,IF(P253&gt;16,"",IF(P253&lt;16,"")))</f>
        <v/>
      </c>
      <c r="W253" s="106" t="str">
        <f aca="false">IF(P253=20,N253*O253*Q253*2.466*1,IF(P253&gt;20,"",IF(P253&lt;20,"")))</f>
        <v/>
      </c>
      <c r="X253" s="106" t="str">
        <f aca="false">IF(P253=25,N253*O253*Q253*3.853*1,IF(P253&gt;25,"",IF(P253&lt;25,"")))</f>
        <v/>
      </c>
      <c r="Y253" s="108" t="str">
        <f aca="false">IF(P253=32,N253*O253*Q253*6.313*1,IF(P253&gt;32,"",IF(P253&lt;32,"")))</f>
        <v/>
      </c>
      <c r="Z253" s="109"/>
      <c r="AA253" s="110" t="str">
        <f aca="false">IF(AC253&gt;0,N253,"")</f>
        <v/>
      </c>
      <c r="AB253" s="111" t="str">
        <f aca="false">IF(AC253&gt;0,O253,"")</f>
        <v/>
      </c>
      <c r="AC253" s="112"/>
      <c r="AD253" s="112"/>
      <c r="AE253" s="113" t="str">
        <f aca="false">IF(AC253&gt;0,P253,"")</f>
        <v/>
      </c>
      <c r="AF253" s="114" t="str">
        <f aca="false">IF(AE253=6,AA253*AB253*AC253*AD253*(AE253/1000)*0.222*1,IF(AE253&gt;6,"",IF(AE253&lt;6,"")))</f>
        <v/>
      </c>
      <c r="AG253" s="107" t="str">
        <f aca="false">IF(AE253=8,AA253*AB253*AC253*AD253*(AE253/1000)*0.395*1,IF(AE253&gt;8,"",IF(AE253&lt;8,"")))</f>
        <v/>
      </c>
      <c r="AH253" s="107" t="str">
        <f aca="false">IF(AE253=10,AA253*AB253*AC253*AD253*(AE253/1000)*0.617*1,IF(AE253&gt;10,"",IF(AE253&lt;10,"")))</f>
        <v/>
      </c>
      <c r="AI253" s="107" t="str">
        <f aca="false">IF(AE253=12,AA253*AB253*AC253*AD253*(AE253/1000)*0.888*1,IF(AE253&gt;12,"",IF(AE253&lt;12,"")))</f>
        <v/>
      </c>
      <c r="AJ253" s="107" t="str">
        <f aca="false">IF(AE253=16,AA253*AB253*AC253*AD253*(AE253/1000)*1.578*1,IF(AE253&gt;16,"",IF(AE253&lt;16,"")))</f>
        <v/>
      </c>
      <c r="AK253" s="107" t="str">
        <f aca="false">IF(AE253=20,AA253*AB253*AC253*AD253*(AE253/1000)*2.466*1,IF(AE253&gt;20,"",IF(AE253&lt;20,"")))</f>
        <v/>
      </c>
      <c r="AL253" s="107" t="str">
        <f aca="false">IF(AE253=25,AA253*AB253*AC253*AD253*(AE253/1000)*3.853*1,IF(AE253&gt;25,"",IF(AE253&lt;25,"")))</f>
        <v/>
      </c>
      <c r="AM253" s="115" t="str">
        <f aca="false">IF(AE253=32,AA253*AB253*AC253*AD253*(AE253/1000)*6.313*1,IF(AE253&gt;32,"",IF(AE253&lt;32,"")))</f>
        <v/>
      </c>
      <c r="AN253" s="128"/>
      <c r="AO253" s="117" t="s">
        <v>457</v>
      </c>
      <c r="AP253" s="118" t="n">
        <f aca="false">SUM(R253:Y253)+SUM(AN253)</f>
        <v>15.15352</v>
      </c>
      <c r="AQ253" s="118" t="n">
        <f aca="false">SUM(AF253:AM253)</f>
        <v>0</v>
      </c>
      <c r="AR253" s="118"/>
      <c r="AS253" s="119"/>
      <c r="AT253" s="119" t="s">
        <v>162</v>
      </c>
    </row>
    <row r="254" customFormat="false" ht="13.5" hidden="false" customHeight="false" outlineLevel="0" collapsed="false">
      <c r="A254" s="129"/>
      <c r="B254" s="172"/>
      <c r="C254" s="110"/>
      <c r="D254" s="122"/>
      <c r="E254" s="122"/>
      <c r="F254" s="173"/>
      <c r="G254" s="123"/>
      <c r="H254" s="101"/>
      <c r="I254" s="123"/>
      <c r="J254" s="101"/>
      <c r="K254" s="124" t="s">
        <v>588</v>
      </c>
      <c r="L254" s="125" t="n">
        <f aca="false">$F$252</f>
        <v>5.015</v>
      </c>
      <c r="M254" s="125" t="n">
        <v>0.2</v>
      </c>
      <c r="N254" s="126" t="n">
        <f aca="false">$C$252</f>
        <v>1</v>
      </c>
      <c r="O254" s="126" t="n">
        <f aca="false">CEILING(L254/M254,1)+1</f>
        <v>27</v>
      </c>
      <c r="P254" s="126" t="n">
        <v>6</v>
      </c>
      <c r="Q254" s="127" t="n">
        <f aca="false">2*($D$252-2*0.035)+2*($E$252-2*0.035)+20*6/1000</f>
        <v>0.64</v>
      </c>
      <c r="R254" s="105" t="n">
        <f aca="false">IF(P254=6,N254*O254*Q254*0.222*1,IF(P254&gt;6,"",IF(P254&lt;6,"")))</f>
        <v>3.83616</v>
      </c>
      <c r="S254" s="106" t="str">
        <f aca="false">IF(P254=8,N254*O254*Q254*0.395*1,IF(P254&gt;8,"",IF(P254&lt;8,"")))</f>
        <v/>
      </c>
      <c r="T254" s="106" t="str">
        <f aca="false">IF(P254=10,N254*O254*Q254*0.617*1,IF(P254&gt;10,"",IF(P254&lt;10,"")))</f>
        <v/>
      </c>
      <c r="U254" s="106" t="str">
        <f aca="false">IF(P254=12,N254*O254*Q254*0.888*1,IF(P254&gt;12,"",IF(P254&lt;12,"")))</f>
        <v/>
      </c>
      <c r="V254" s="107" t="str">
        <f aca="false">IF(P254=16,N254*O254*Q254*1.578*1,IF(P254&gt;16,"",IF(P254&lt;16,"")))</f>
        <v/>
      </c>
      <c r="W254" s="106" t="str">
        <f aca="false">IF(P254=20,N254*O254*Q254*2.466*1,IF(P254&gt;20,"",IF(P254&lt;20,"")))</f>
        <v/>
      </c>
      <c r="X254" s="106" t="str">
        <f aca="false">IF(P254=25,N254*O254*Q254*3.853*1,IF(P254&gt;25,"",IF(P254&lt;25,"")))</f>
        <v/>
      </c>
      <c r="Y254" s="108" t="str">
        <f aca="false">IF(P254=32,N254*O254*Q254*6.313*1,IF(P254&gt;32,"",IF(P254&lt;32,"")))</f>
        <v/>
      </c>
      <c r="Z254" s="109"/>
      <c r="AA254" s="110" t="str">
        <f aca="false">IF(AC254&gt;0,N254,"")</f>
        <v/>
      </c>
      <c r="AB254" s="111" t="str">
        <f aca="false">IF(AC254&gt;0,O254,"")</f>
        <v/>
      </c>
      <c r="AC254" s="112"/>
      <c r="AD254" s="112"/>
      <c r="AE254" s="113" t="str">
        <f aca="false">IF(AC254&gt;0,P254,"")</f>
        <v/>
      </c>
      <c r="AF254" s="114" t="str">
        <f aca="false">IF(AE254=6,AA254*AB254*AC254*AD254*(AE254/1000)*0.222*1,IF(AE254&gt;6,"",IF(AE254&lt;6,"")))</f>
        <v/>
      </c>
      <c r="AG254" s="107" t="str">
        <f aca="false">IF(AE254=8,AA254*AB254*AC254*AD254*(AE254/1000)*0.395*1,IF(AE254&gt;8,"",IF(AE254&lt;8,"")))</f>
        <v/>
      </c>
      <c r="AH254" s="107" t="str">
        <f aca="false">IF(AE254=10,AA254*AB254*AC254*AD254*(AE254/1000)*0.617*1,IF(AE254&gt;10,"",IF(AE254&lt;10,"")))</f>
        <v/>
      </c>
      <c r="AI254" s="107" t="str">
        <f aca="false">IF(AE254=12,AA254*AB254*AC254*AD254*(AE254/1000)*0.888*1,IF(AE254&gt;12,"",IF(AE254&lt;12,"")))</f>
        <v/>
      </c>
      <c r="AJ254" s="107" t="str">
        <f aca="false">IF(AE254=16,AA254*AB254*AC254*AD254*(AE254/1000)*1.578*1,IF(AE254&gt;16,"",IF(AE254&lt;16,"")))</f>
        <v/>
      </c>
      <c r="AK254" s="107" t="str">
        <f aca="false">IF(AE254=20,AA254*AB254*AC254*AD254*(AE254/1000)*2.466*1,IF(AE254&gt;20,"",IF(AE254&lt;20,"")))</f>
        <v/>
      </c>
      <c r="AL254" s="107" t="str">
        <f aca="false">IF(AE254=25,AA254*AB254*AC254*AD254*(AE254/1000)*3.853*1,IF(AE254&gt;25,"",IF(AE254&lt;25,"")))</f>
        <v/>
      </c>
      <c r="AM254" s="115" t="str">
        <f aca="false">IF(AE254=32,AA254*AB254*AC254*AD254*(AE254/1000)*6.313*1,IF(AE254&gt;32,"",IF(AE254&lt;32,"")))</f>
        <v/>
      </c>
      <c r="AN254" s="128"/>
      <c r="AO254" s="117" t="s">
        <v>457</v>
      </c>
      <c r="AP254" s="118" t="n">
        <f aca="false">SUM(R254:Y254)+SUM(AN254)</f>
        <v>3.83616</v>
      </c>
      <c r="AQ254" s="118" t="n">
        <f aca="false">SUM(AF254:AM254)</f>
        <v>0</v>
      </c>
      <c r="AR254" s="118"/>
      <c r="AS254" s="119"/>
      <c r="AT254" s="119" t="s">
        <v>162</v>
      </c>
    </row>
    <row r="255" customFormat="false" ht="13.5" hidden="false" customHeight="false" outlineLevel="0" collapsed="false">
      <c r="A255" s="120"/>
      <c r="B255" s="121" t="s">
        <v>599</v>
      </c>
      <c r="C255" s="110" t="n">
        <v>1</v>
      </c>
      <c r="D255" s="122" t="n">
        <v>0.2</v>
      </c>
      <c r="E255" s="122" t="n">
        <v>0.2</v>
      </c>
      <c r="F255" s="122" t="n">
        <f aca="false">0.1735/(0.2*0.2)</f>
        <v>4.3375</v>
      </c>
      <c r="G255" s="123" t="n">
        <f aca="false">C255*D255*E255*F255</f>
        <v>0.1735</v>
      </c>
      <c r="H255" s="101"/>
      <c r="I255" s="123" t="n">
        <f aca="false">C255*F255*2*E255</f>
        <v>1.735</v>
      </c>
      <c r="J255" s="101"/>
      <c r="K255" s="124"/>
      <c r="L255" s="125"/>
      <c r="M255" s="125"/>
      <c r="N255" s="126"/>
      <c r="O255" s="126"/>
      <c r="P255" s="126"/>
      <c r="Q255" s="127"/>
      <c r="R255" s="105" t="str">
        <f aca="false">IF(P255=6,N255*O255*Q255*0.222*1,IF(P255&gt;6,"",IF(P255&lt;6,"")))</f>
        <v/>
      </c>
      <c r="S255" s="106" t="str">
        <f aca="false">IF(P255=8,N255*O255*Q255*0.395*1,IF(P255&gt;8,"",IF(P255&lt;8,"")))</f>
        <v/>
      </c>
      <c r="T255" s="106" t="str">
        <f aca="false">IF(P255=10,N255*O255*Q255*0.617*1,IF(P255&gt;10,"",IF(P255&lt;10,"")))</f>
        <v/>
      </c>
      <c r="U255" s="106" t="str">
        <f aca="false">IF(P255=12,N255*O255*Q255*0.888*1,IF(P255&gt;12,"",IF(P255&lt;12,"")))</f>
        <v/>
      </c>
      <c r="V255" s="107" t="str">
        <f aca="false">IF(P255=16,N255*O255*Q255*1.578*1,IF(P255&gt;16,"",IF(P255&lt;16,"")))</f>
        <v/>
      </c>
      <c r="W255" s="106" t="str">
        <f aca="false">IF(P255=20,N255*O255*Q255*2.466*1,IF(P255&gt;20,"",IF(P255&lt;20,"")))</f>
        <v/>
      </c>
      <c r="X255" s="106" t="str">
        <f aca="false">IF(P255=25,N255*O255*Q255*3.853*1,IF(P255&gt;25,"",IF(P255&lt;25,"")))</f>
        <v/>
      </c>
      <c r="Y255" s="108" t="str">
        <f aca="false">IF(P255=32,N255*O255*Q255*6.313*1,IF(P255&gt;32,"",IF(P255&lt;32,"")))</f>
        <v/>
      </c>
      <c r="Z255" s="109"/>
      <c r="AA255" s="110" t="str">
        <f aca="false">IF(AC255&gt;0,N255,"")</f>
        <v/>
      </c>
      <c r="AB255" s="111" t="str">
        <f aca="false">IF(AC255&gt;0,O255,"")</f>
        <v/>
      </c>
      <c r="AC255" s="112"/>
      <c r="AD255" s="112"/>
      <c r="AE255" s="113" t="str">
        <f aca="false">IF(AC255&gt;0,P255,"")</f>
        <v/>
      </c>
      <c r="AF255" s="114" t="str">
        <f aca="false">IF(AE255=6,AA255*AB255*AC255*AD255*(AE255/1000)*0.222*1,IF(AE255&gt;6,"",IF(AE255&lt;6,"")))</f>
        <v/>
      </c>
      <c r="AG255" s="107" t="str">
        <f aca="false">IF(AE255=8,AA255*AB255*AC255*AD255*(AE255/1000)*0.395*1,IF(AE255&gt;8,"",IF(AE255&lt;8,"")))</f>
        <v/>
      </c>
      <c r="AH255" s="107" t="str">
        <f aca="false">IF(AE255=10,AA255*AB255*AC255*AD255*(AE255/1000)*0.617*1,IF(AE255&gt;10,"",IF(AE255&lt;10,"")))</f>
        <v/>
      </c>
      <c r="AI255" s="107" t="str">
        <f aca="false">IF(AE255=12,AA255*AB255*AC255*AD255*(AE255/1000)*0.888*1,IF(AE255&gt;12,"",IF(AE255&lt;12,"")))</f>
        <v/>
      </c>
      <c r="AJ255" s="107" t="str">
        <f aca="false">IF(AE255=16,AA255*AB255*AC255*AD255*(AE255/1000)*1.578*1,IF(AE255&gt;16,"",IF(AE255&lt;16,"")))</f>
        <v/>
      </c>
      <c r="AK255" s="107" t="str">
        <f aca="false">IF(AE255=20,AA255*AB255*AC255*AD255*(AE255/1000)*2.466*1,IF(AE255&gt;20,"",IF(AE255&lt;20,"")))</f>
        <v/>
      </c>
      <c r="AL255" s="107" t="str">
        <f aca="false">IF(AE255=25,AA255*AB255*AC255*AD255*(AE255/1000)*3.853*1,IF(AE255&gt;25,"",IF(AE255&lt;25,"")))</f>
        <v/>
      </c>
      <c r="AM255" s="115" t="str">
        <f aca="false">IF(AE255=32,AA255*AB255*AC255*AD255*(AE255/1000)*6.313*1,IF(AE255&gt;32,"",IF(AE255&lt;32,"")))</f>
        <v/>
      </c>
      <c r="AN255" s="128"/>
      <c r="AO255" s="117" t="s">
        <v>457</v>
      </c>
      <c r="AP255" s="118" t="n">
        <f aca="false">SUM(R255:Y255)+SUM(AN255)</f>
        <v>0</v>
      </c>
      <c r="AQ255" s="118" t="n">
        <f aca="false">SUM(AF255:AM255)</f>
        <v>0</v>
      </c>
      <c r="AR255" s="118" t="n">
        <v>0.1735</v>
      </c>
      <c r="AS255" s="119" t="s">
        <v>600</v>
      </c>
      <c r="AT255" s="119" t="s">
        <v>209</v>
      </c>
    </row>
    <row r="256" customFormat="false" ht="13.5" hidden="false" customHeight="false" outlineLevel="0" collapsed="false">
      <c r="A256" s="129"/>
      <c r="B256" s="172"/>
      <c r="C256" s="110"/>
      <c r="D256" s="122"/>
      <c r="E256" s="122"/>
      <c r="F256" s="173"/>
      <c r="G256" s="123"/>
      <c r="H256" s="101"/>
      <c r="I256" s="123"/>
      <c r="J256" s="101"/>
      <c r="K256" s="124" t="s">
        <v>587</v>
      </c>
      <c r="L256" s="125"/>
      <c r="M256" s="125"/>
      <c r="N256" s="126" t="n">
        <f aca="false">$C$255</f>
        <v>1</v>
      </c>
      <c r="O256" s="126" t="n">
        <v>4</v>
      </c>
      <c r="P256" s="126" t="n">
        <v>10</v>
      </c>
      <c r="Q256" s="127" t="n">
        <f aca="false">4.5311+2*50*10/1000</f>
        <v>5.5311</v>
      </c>
      <c r="R256" s="105" t="str">
        <f aca="false">IF(P256=6,N256*O256*Q256*0.222*1,IF(P256&gt;6,"",IF(P256&lt;6,"")))</f>
        <v/>
      </c>
      <c r="S256" s="106" t="str">
        <f aca="false">IF(P256=8,N256*O256*Q256*0.395*1,IF(P256&gt;8,"",IF(P256&lt;8,"")))</f>
        <v/>
      </c>
      <c r="T256" s="106" t="n">
        <f aca="false">IF(P256=10,N256*O256*Q256*0.617*1,IF(P256&gt;10,"",IF(P256&lt;10,"")))</f>
        <v>13.6507548</v>
      </c>
      <c r="U256" s="106" t="str">
        <f aca="false">IF(P256=12,N256*O256*Q256*0.888*1,IF(P256&gt;12,"",IF(P256&lt;12,"")))</f>
        <v/>
      </c>
      <c r="V256" s="107" t="str">
        <f aca="false">IF(P256=16,N256*O256*Q256*1.578*1,IF(P256&gt;16,"",IF(P256&lt;16,"")))</f>
        <v/>
      </c>
      <c r="W256" s="106" t="str">
        <f aca="false">IF(P256=20,N256*O256*Q256*2.466*1,IF(P256&gt;20,"",IF(P256&lt;20,"")))</f>
        <v/>
      </c>
      <c r="X256" s="106" t="str">
        <f aca="false">IF(P256=25,N256*O256*Q256*3.853*1,IF(P256&gt;25,"",IF(P256&lt;25,"")))</f>
        <v/>
      </c>
      <c r="Y256" s="108" t="str">
        <f aca="false">IF(P256=32,N256*O256*Q256*6.313*1,IF(P256&gt;32,"",IF(P256&lt;32,"")))</f>
        <v/>
      </c>
      <c r="Z256" s="109"/>
      <c r="AA256" s="110" t="str">
        <f aca="false">IF(AC256&gt;0,N256,"")</f>
        <v/>
      </c>
      <c r="AB256" s="111" t="str">
        <f aca="false">IF(AC256&gt;0,O256,"")</f>
        <v/>
      </c>
      <c r="AC256" s="112"/>
      <c r="AD256" s="112"/>
      <c r="AE256" s="113" t="str">
        <f aca="false">IF(AC256&gt;0,P256,"")</f>
        <v/>
      </c>
      <c r="AF256" s="114" t="str">
        <f aca="false">IF(AE256=6,AA256*AB256*AC256*AD256*(AE256/1000)*0.222*1,IF(AE256&gt;6,"",IF(AE256&lt;6,"")))</f>
        <v/>
      </c>
      <c r="AG256" s="107" t="str">
        <f aca="false">IF(AE256=8,AA256*AB256*AC256*AD256*(AE256/1000)*0.395*1,IF(AE256&gt;8,"",IF(AE256&lt;8,"")))</f>
        <v/>
      </c>
      <c r="AH256" s="107" t="str">
        <f aca="false">IF(AE256=10,AA256*AB256*AC256*AD256*(AE256/1000)*0.617*1,IF(AE256&gt;10,"",IF(AE256&lt;10,"")))</f>
        <v/>
      </c>
      <c r="AI256" s="107" t="str">
        <f aca="false">IF(AE256=12,AA256*AB256*AC256*AD256*(AE256/1000)*0.888*1,IF(AE256&gt;12,"",IF(AE256&lt;12,"")))</f>
        <v/>
      </c>
      <c r="AJ256" s="107" t="str">
        <f aca="false">IF(AE256=16,AA256*AB256*AC256*AD256*(AE256/1000)*1.578*1,IF(AE256&gt;16,"",IF(AE256&lt;16,"")))</f>
        <v/>
      </c>
      <c r="AK256" s="107" t="str">
        <f aca="false">IF(AE256=20,AA256*AB256*AC256*AD256*(AE256/1000)*2.466*1,IF(AE256&gt;20,"",IF(AE256&lt;20,"")))</f>
        <v/>
      </c>
      <c r="AL256" s="107" t="str">
        <f aca="false">IF(AE256=25,AA256*AB256*AC256*AD256*(AE256/1000)*3.853*1,IF(AE256&gt;25,"",IF(AE256&lt;25,"")))</f>
        <v/>
      </c>
      <c r="AM256" s="115" t="str">
        <f aca="false">IF(AE256=32,AA256*AB256*AC256*AD256*(AE256/1000)*6.313*1,IF(AE256&gt;32,"",IF(AE256&lt;32,"")))</f>
        <v/>
      </c>
      <c r="AN256" s="128"/>
      <c r="AO256" s="117" t="s">
        <v>457</v>
      </c>
      <c r="AP256" s="118" t="n">
        <f aca="false">SUM(R256:Y256)+SUM(AN256)</f>
        <v>13.6507548</v>
      </c>
      <c r="AQ256" s="118" t="n">
        <f aca="false">SUM(AF256:AM256)</f>
        <v>0</v>
      </c>
      <c r="AR256" s="118"/>
      <c r="AS256" s="119"/>
      <c r="AT256" s="119" t="s">
        <v>162</v>
      </c>
    </row>
    <row r="257" customFormat="false" ht="13.5" hidden="false" customHeight="false" outlineLevel="0" collapsed="false">
      <c r="A257" s="129"/>
      <c r="B257" s="172"/>
      <c r="C257" s="110"/>
      <c r="D257" s="122"/>
      <c r="E257" s="122"/>
      <c r="F257" s="173"/>
      <c r="G257" s="123"/>
      <c r="H257" s="101"/>
      <c r="I257" s="123"/>
      <c r="J257" s="101"/>
      <c r="K257" s="124" t="s">
        <v>588</v>
      </c>
      <c r="L257" s="125" t="n">
        <f aca="false">$F$255</f>
        <v>4.3375</v>
      </c>
      <c r="M257" s="125" t="n">
        <v>0.2</v>
      </c>
      <c r="N257" s="126" t="n">
        <f aca="false">$C$255</f>
        <v>1</v>
      </c>
      <c r="O257" s="126" t="n">
        <f aca="false">CEILING(L257/M257,1)+1</f>
        <v>23</v>
      </c>
      <c r="P257" s="126" t="n">
        <v>6</v>
      </c>
      <c r="Q257" s="127" t="n">
        <f aca="false">2*($D$255-2*0.035)+2*($E$255-2*0.035)+20*6/1000</f>
        <v>0.64</v>
      </c>
      <c r="R257" s="105" t="n">
        <f aca="false">IF(P257=6,N257*O257*Q257*0.222*1,IF(P257&gt;6,"",IF(P257&lt;6,"")))</f>
        <v>3.26784</v>
      </c>
      <c r="S257" s="106" t="str">
        <f aca="false">IF(P257=8,N257*O257*Q257*0.395*1,IF(P257&gt;8,"",IF(P257&lt;8,"")))</f>
        <v/>
      </c>
      <c r="T257" s="106" t="str">
        <f aca="false">IF(P257=10,N257*O257*Q257*0.617*1,IF(P257&gt;10,"",IF(P257&lt;10,"")))</f>
        <v/>
      </c>
      <c r="U257" s="106" t="str">
        <f aca="false">IF(P257=12,N257*O257*Q257*0.888*1,IF(P257&gt;12,"",IF(P257&lt;12,"")))</f>
        <v/>
      </c>
      <c r="V257" s="107" t="str">
        <f aca="false">IF(P257=16,N257*O257*Q257*1.578*1,IF(P257&gt;16,"",IF(P257&lt;16,"")))</f>
        <v/>
      </c>
      <c r="W257" s="106" t="str">
        <f aca="false">IF(P257=20,N257*O257*Q257*2.466*1,IF(P257&gt;20,"",IF(P257&lt;20,"")))</f>
        <v/>
      </c>
      <c r="X257" s="106" t="str">
        <f aca="false">IF(P257=25,N257*O257*Q257*3.853*1,IF(P257&gt;25,"",IF(P257&lt;25,"")))</f>
        <v/>
      </c>
      <c r="Y257" s="108" t="str">
        <f aca="false">IF(P257=32,N257*O257*Q257*6.313*1,IF(P257&gt;32,"",IF(P257&lt;32,"")))</f>
        <v/>
      </c>
      <c r="Z257" s="109"/>
      <c r="AA257" s="110" t="str">
        <f aca="false">IF(AC257&gt;0,N257,"")</f>
        <v/>
      </c>
      <c r="AB257" s="111" t="str">
        <f aca="false">IF(AC257&gt;0,O257,"")</f>
        <v/>
      </c>
      <c r="AC257" s="112"/>
      <c r="AD257" s="112"/>
      <c r="AE257" s="113" t="str">
        <f aca="false">IF(AC257&gt;0,P257,"")</f>
        <v/>
      </c>
      <c r="AF257" s="114" t="str">
        <f aca="false">IF(AE257=6,AA257*AB257*AC257*AD257*(AE257/1000)*0.222*1,IF(AE257&gt;6,"",IF(AE257&lt;6,"")))</f>
        <v/>
      </c>
      <c r="AG257" s="107" t="str">
        <f aca="false">IF(AE257=8,AA257*AB257*AC257*AD257*(AE257/1000)*0.395*1,IF(AE257&gt;8,"",IF(AE257&lt;8,"")))</f>
        <v/>
      </c>
      <c r="AH257" s="107" t="str">
        <f aca="false">IF(AE257=10,AA257*AB257*AC257*AD257*(AE257/1000)*0.617*1,IF(AE257&gt;10,"",IF(AE257&lt;10,"")))</f>
        <v/>
      </c>
      <c r="AI257" s="107" t="str">
        <f aca="false">IF(AE257=12,AA257*AB257*AC257*AD257*(AE257/1000)*0.888*1,IF(AE257&gt;12,"",IF(AE257&lt;12,"")))</f>
        <v/>
      </c>
      <c r="AJ257" s="107" t="str">
        <f aca="false">IF(AE257=16,AA257*AB257*AC257*AD257*(AE257/1000)*1.578*1,IF(AE257&gt;16,"",IF(AE257&lt;16,"")))</f>
        <v/>
      </c>
      <c r="AK257" s="107" t="str">
        <f aca="false">IF(AE257=20,AA257*AB257*AC257*AD257*(AE257/1000)*2.466*1,IF(AE257&gt;20,"",IF(AE257&lt;20,"")))</f>
        <v/>
      </c>
      <c r="AL257" s="107" t="str">
        <f aca="false">IF(AE257=25,AA257*AB257*AC257*AD257*(AE257/1000)*3.853*1,IF(AE257&gt;25,"",IF(AE257&lt;25,"")))</f>
        <v/>
      </c>
      <c r="AM257" s="115" t="str">
        <f aca="false">IF(AE257=32,AA257*AB257*AC257*AD257*(AE257/1000)*6.313*1,IF(AE257&gt;32,"",IF(AE257&lt;32,"")))</f>
        <v/>
      </c>
      <c r="AN257" s="128"/>
      <c r="AO257" s="117" t="s">
        <v>457</v>
      </c>
      <c r="AP257" s="118" t="n">
        <f aca="false">SUM(R257:Y257)+SUM(AN257)</f>
        <v>3.26784</v>
      </c>
      <c r="AQ257" s="118" t="n">
        <f aca="false">SUM(AF257:AM257)</f>
        <v>0</v>
      </c>
      <c r="AR257" s="118"/>
      <c r="AS257" s="119"/>
      <c r="AT257" s="119" t="s">
        <v>162</v>
      </c>
    </row>
    <row r="258" customFormat="false" ht="13.5" hidden="false" customHeight="false" outlineLevel="0" collapsed="false">
      <c r="A258" s="120"/>
      <c r="B258" s="121" t="s">
        <v>601</v>
      </c>
      <c r="C258" s="110" t="n">
        <v>1</v>
      </c>
      <c r="D258" s="122" t="n">
        <v>0.2</v>
      </c>
      <c r="E258" s="122" t="n">
        <v>0.2</v>
      </c>
      <c r="F258" s="122" t="n">
        <f aca="false">0.0655/(0.2*0.2)</f>
        <v>1.6375</v>
      </c>
      <c r="G258" s="123" t="n">
        <f aca="false">C258*D258*E258*F258</f>
        <v>0.0655</v>
      </c>
      <c r="H258" s="101"/>
      <c r="I258" s="123" t="n">
        <f aca="false">C258*F258*2*E258</f>
        <v>0.655</v>
      </c>
      <c r="J258" s="101"/>
      <c r="K258" s="124"/>
      <c r="L258" s="125"/>
      <c r="M258" s="125"/>
      <c r="N258" s="126"/>
      <c r="O258" s="126"/>
      <c r="P258" s="126"/>
      <c r="Q258" s="127"/>
      <c r="R258" s="105" t="str">
        <f aca="false">IF(P258=6,N258*O258*Q258*0.222*1,IF(P258&gt;6,"",IF(P258&lt;6,"")))</f>
        <v/>
      </c>
      <c r="S258" s="106" t="str">
        <f aca="false">IF(P258=8,N258*O258*Q258*0.395*1,IF(P258&gt;8,"",IF(P258&lt;8,"")))</f>
        <v/>
      </c>
      <c r="T258" s="106" t="str">
        <f aca="false">IF(P258=10,N258*O258*Q258*0.617*1,IF(P258&gt;10,"",IF(P258&lt;10,"")))</f>
        <v/>
      </c>
      <c r="U258" s="106" t="str">
        <f aca="false">IF(P258=12,N258*O258*Q258*0.888*1,IF(P258&gt;12,"",IF(P258&lt;12,"")))</f>
        <v/>
      </c>
      <c r="V258" s="107" t="str">
        <f aca="false">IF(P258=16,N258*O258*Q258*1.578*1,IF(P258&gt;16,"",IF(P258&lt;16,"")))</f>
        <v/>
      </c>
      <c r="W258" s="106" t="str">
        <f aca="false">IF(P258=20,N258*O258*Q258*2.466*1,IF(P258&gt;20,"",IF(P258&lt;20,"")))</f>
        <v/>
      </c>
      <c r="X258" s="106" t="str">
        <f aca="false">IF(P258=25,N258*O258*Q258*3.853*1,IF(P258&gt;25,"",IF(P258&lt;25,"")))</f>
        <v/>
      </c>
      <c r="Y258" s="108" t="str">
        <f aca="false">IF(P258=32,N258*O258*Q258*6.313*1,IF(P258&gt;32,"",IF(P258&lt;32,"")))</f>
        <v/>
      </c>
      <c r="Z258" s="109"/>
      <c r="AA258" s="110" t="str">
        <f aca="false">IF(AC258&gt;0,N258,"")</f>
        <v/>
      </c>
      <c r="AB258" s="111" t="str">
        <f aca="false">IF(AC258&gt;0,O258,"")</f>
        <v/>
      </c>
      <c r="AC258" s="112"/>
      <c r="AD258" s="112"/>
      <c r="AE258" s="113" t="str">
        <f aca="false">IF(AC258&gt;0,P258,"")</f>
        <v/>
      </c>
      <c r="AF258" s="114" t="str">
        <f aca="false">IF(AE258=6,AA258*AB258*AC258*AD258*(AE258/1000)*0.222*1,IF(AE258&gt;6,"",IF(AE258&lt;6,"")))</f>
        <v/>
      </c>
      <c r="AG258" s="107" t="str">
        <f aca="false">IF(AE258=8,AA258*AB258*AC258*AD258*(AE258/1000)*0.395*1,IF(AE258&gt;8,"",IF(AE258&lt;8,"")))</f>
        <v/>
      </c>
      <c r="AH258" s="107" t="str">
        <f aca="false">IF(AE258=10,AA258*AB258*AC258*AD258*(AE258/1000)*0.617*1,IF(AE258&gt;10,"",IF(AE258&lt;10,"")))</f>
        <v/>
      </c>
      <c r="AI258" s="107" t="str">
        <f aca="false">IF(AE258=12,AA258*AB258*AC258*AD258*(AE258/1000)*0.888*1,IF(AE258&gt;12,"",IF(AE258&lt;12,"")))</f>
        <v/>
      </c>
      <c r="AJ258" s="107" t="str">
        <f aca="false">IF(AE258=16,AA258*AB258*AC258*AD258*(AE258/1000)*1.578*1,IF(AE258&gt;16,"",IF(AE258&lt;16,"")))</f>
        <v/>
      </c>
      <c r="AK258" s="107" t="str">
        <f aca="false">IF(AE258=20,AA258*AB258*AC258*AD258*(AE258/1000)*2.466*1,IF(AE258&gt;20,"",IF(AE258&lt;20,"")))</f>
        <v/>
      </c>
      <c r="AL258" s="107" t="str">
        <f aca="false">IF(AE258=25,AA258*AB258*AC258*AD258*(AE258/1000)*3.853*1,IF(AE258&gt;25,"",IF(AE258&lt;25,"")))</f>
        <v/>
      </c>
      <c r="AM258" s="115" t="str">
        <f aca="false">IF(AE258=32,AA258*AB258*AC258*AD258*(AE258/1000)*6.313*1,IF(AE258&gt;32,"",IF(AE258&lt;32,"")))</f>
        <v/>
      </c>
      <c r="AN258" s="128"/>
      <c r="AO258" s="117" t="s">
        <v>457</v>
      </c>
      <c r="AP258" s="118" t="n">
        <f aca="false">SUM(R258:Y258)+SUM(AN258)</f>
        <v>0</v>
      </c>
      <c r="AQ258" s="118" t="n">
        <f aca="false">SUM(AF258:AM258)</f>
        <v>0</v>
      </c>
      <c r="AR258" s="118" t="n">
        <v>0.0655</v>
      </c>
      <c r="AS258" s="119" t="s">
        <v>602</v>
      </c>
      <c r="AT258" s="119" t="s">
        <v>209</v>
      </c>
    </row>
    <row r="259" customFormat="false" ht="13.5" hidden="false" customHeight="false" outlineLevel="0" collapsed="false">
      <c r="A259" s="129"/>
      <c r="B259" s="172"/>
      <c r="C259" s="110"/>
      <c r="D259" s="122"/>
      <c r="E259" s="122"/>
      <c r="F259" s="173"/>
      <c r="G259" s="123"/>
      <c r="H259" s="101"/>
      <c r="I259" s="123"/>
      <c r="J259" s="101"/>
      <c r="K259" s="124" t="s">
        <v>587</v>
      </c>
      <c r="L259" s="125"/>
      <c r="M259" s="125"/>
      <c r="N259" s="126" t="n">
        <f aca="false">$C$258</f>
        <v>1</v>
      </c>
      <c r="O259" s="126" t="n">
        <v>4</v>
      </c>
      <c r="P259" s="126" t="n">
        <v>10</v>
      </c>
      <c r="Q259" s="127" t="n">
        <f aca="false">1.9261+2*50*10/1000</f>
        <v>2.9261</v>
      </c>
      <c r="R259" s="105" t="str">
        <f aca="false">IF(P259=6,N259*O259*Q259*0.222*1,IF(P259&gt;6,"",IF(P259&lt;6,"")))</f>
        <v/>
      </c>
      <c r="S259" s="106" t="str">
        <f aca="false">IF(P259=8,N259*O259*Q259*0.395*1,IF(P259&gt;8,"",IF(P259&lt;8,"")))</f>
        <v/>
      </c>
      <c r="T259" s="106" t="n">
        <f aca="false">IF(P259=10,N259*O259*Q259*0.617*1,IF(P259&gt;10,"",IF(P259&lt;10,"")))</f>
        <v>7.2216148</v>
      </c>
      <c r="U259" s="106" t="str">
        <f aca="false">IF(P259=12,N259*O259*Q259*0.888*1,IF(P259&gt;12,"",IF(P259&lt;12,"")))</f>
        <v/>
      </c>
      <c r="V259" s="107" t="str">
        <f aca="false">IF(P259=16,N259*O259*Q259*1.578*1,IF(P259&gt;16,"",IF(P259&lt;16,"")))</f>
        <v/>
      </c>
      <c r="W259" s="106" t="str">
        <f aca="false">IF(P259=20,N259*O259*Q259*2.466*1,IF(P259&gt;20,"",IF(P259&lt;20,"")))</f>
        <v/>
      </c>
      <c r="X259" s="106" t="str">
        <f aca="false">IF(P259=25,N259*O259*Q259*3.853*1,IF(P259&gt;25,"",IF(P259&lt;25,"")))</f>
        <v/>
      </c>
      <c r="Y259" s="108" t="str">
        <f aca="false">IF(P259=32,N259*O259*Q259*6.313*1,IF(P259&gt;32,"",IF(P259&lt;32,"")))</f>
        <v/>
      </c>
      <c r="Z259" s="109"/>
      <c r="AA259" s="110" t="str">
        <f aca="false">IF(AC259&gt;0,N259,"")</f>
        <v/>
      </c>
      <c r="AB259" s="111" t="str">
        <f aca="false">IF(AC259&gt;0,O259,"")</f>
        <v/>
      </c>
      <c r="AC259" s="112"/>
      <c r="AD259" s="112"/>
      <c r="AE259" s="113" t="str">
        <f aca="false">IF(AC259&gt;0,P259,"")</f>
        <v/>
      </c>
      <c r="AF259" s="114" t="str">
        <f aca="false">IF(AE259=6,AA259*AB259*AC259*AD259*(AE259/1000)*0.222*1,IF(AE259&gt;6,"",IF(AE259&lt;6,"")))</f>
        <v/>
      </c>
      <c r="AG259" s="107" t="str">
        <f aca="false">IF(AE259=8,AA259*AB259*AC259*AD259*(AE259/1000)*0.395*1,IF(AE259&gt;8,"",IF(AE259&lt;8,"")))</f>
        <v/>
      </c>
      <c r="AH259" s="107" t="str">
        <f aca="false">IF(AE259=10,AA259*AB259*AC259*AD259*(AE259/1000)*0.617*1,IF(AE259&gt;10,"",IF(AE259&lt;10,"")))</f>
        <v/>
      </c>
      <c r="AI259" s="107" t="str">
        <f aca="false">IF(AE259=12,AA259*AB259*AC259*AD259*(AE259/1000)*0.888*1,IF(AE259&gt;12,"",IF(AE259&lt;12,"")))</f>
        <v/>
      </c>
      <c r="AJ259" s="107" t="str">
        <f aca="false">IF(AE259=16,AA259*AB259*AC259*AD259*(AE259/1000)*1.578*1,IF(AE259&gt;16,"",IF(AE259&lt;16,"")))</f>
        <v/>
      </c>
      <c r="AK259" s="107" t="str">
        <f aca="false">IF(AE259=20,AA259*AB259*AC259*AD259*(AE259/1000)*2.466*1,IF(AE259&gt;20,"",IF(AE259&lt;20,"")))</f>
        <v/>
      </c>
      <c r="AL259" s="107" t="str">
        <f aca="false">IF(AE259=25,AA259*AB259*AC259*AD259*(AE259/1000)*3.853*1,IF(AE259&gt;25,"",IF(AE259&lt;25,"")))</f>
        <v/>
      </c>
      <c r="AM259" s="115" t="str">
        <f aca="false">IF(AE259=32,AA259*AB259*AC259*AD259*(AE259/1000)*6.313*1,IF(AE259&gt;32,"",IF(AE259&lt;32,"")))</f>
        <v/>
      </c>
      <c r="AN259" s="128"/>
      <c r="AO259" s="117" t="s">
        <v>457</v>
      </c>
      <c r="AP259" s="118" t="n">
        <f aca="false">SUM(R259:Y259)+SUM(AN259)</f>
        <v>7.2216148</v>
      </c>
      <c r="AQ259" s="118" t="n">
        <f aca="false">SUM(AF259:AM259)</f>
        <v>0</v>
      </c>
      <c r="AR259" s="118"/>
      <c r="AS259" s="119"/>
      <c r="AT259" s="119" t="s">
        <v>162</v>
      </c>
    </row>
    <row r="260" customFormat="false" ht="13.5" hidden="false" customHeight="false" outlineLevel="0" collapsed="false">
      <c r="A260" s="129"/>
      <c r="B260" s="172"/>
      <c r="C260" s="110"/>
      <c r="D260" s="122"/>
      <c r="E260" s="122"/>
      <c r="F260" s="173"/>
      <c r="G260" s="123"/>
      <c r="H260" s="101"/>
      <c r="I260" s="123"/>
      <c r="J260" s="101"/>
      <c r="K260" s="124" t="s">
        <v>588</v>
      </c>
      <c r="L260" s="125" t="n">
        <f aca="false">$F$258</f>
        <v>1.6375</v>
      </c>
      <c r="M260" s="125" t="n">
        <v>0.2</v>
      </c>
      <c r="N260" s="126" t="n">
        <f aca="false">$C$258</f>
        <v>1</v>
      </c>
      <c r="O260" s="126" t="n">
        <f aca="false">CEILING(L260/M260,1)+1</f>
        <v>10</v>
      </c>
      <c r="P260" s="126" t="n">
        <v>6</v>
      </c>
      <c r="Q260" s="127" t="n">
        <f aca="false">2*($D$258-2*0.035)+2*($E$258-2*0.035)+20*6/1000</f>
        <v>0.64</v>
      </c>
      <c r="R260" s="105" t="n">
        <f aca="false">IF(P260=6,N260*O260*Q260*0.222*1,IF(P260&gt;6,"",IF(P260&lt;6,"")))</f>
        <v>1.4208</v>
      </c>
      <c r="S260" s="106" t="str">
        <f aca="false">IF(P260=8,N260*O260*Q260*0.395*1,IF(P260&gt;8,"",IF(P260&lt;8,"")))</f>
        <v/>
      </c>
      <c r="T260" s="106" t="str">
        <f aca="false">IF(P260=10,N260*O260*Q260*0.617*1,IF(P260&gt;10,"",IF(P260&lt;10,"")))</f>
        <v/>
      </c>
      <c r="U260" s="106" t="str">
        <f aca="false">IF(P260=12,N260*O260*Q260*0.888*1,IF(P260&gt;12,"",IF(P260&lt;12,"")))</f>
        <v/>
      </c>
      <c r="V260" s="107" t="str">
        <f aca="false">IF(P260=16,N260*O260*Q260*1.578*1,IF(P260&gt;16,"",IF(P260&lt;16,"")))</f>
        <v/>
      </c>
      <c r="W260" s="106" t="str">
        <f aca="false">IF(P260=20,N260*O260*Q260*2.466*1,IF(P260&gt;20,"",IF(P260&lt;20,"")))</f>
        <v/>
      </c>
      <c r="X260" s="106" t="str">
        <f aca="false">IF(P260=25,N260*O260*Q260*3.853*1,IF(P260&gt;25,"",IF(P260&lt;25,"")))</f>
        <v/>
      </c>
      <c r="Y260" s="108" t="str">
        <f aca="false">IF(P260=32,N260*O260*Q260*6.313*1,IF(P260&gt;32,"",IF(P260&lt;32,"")))</f>
        <v/>
      </c>
      <c r="Z260" s="109"/>
      <c r="AA260" s="110" t="str">
        <f aca="false">IF(AC260&gt;0,N260,"")</f>
        <v/>
      </c>
      <c r="AB260" s="111" t="str">
        <f aca="false">IF(AC260&gt;0,O260,"")</f>
        <v/>
      </c>
      <c r="AC260" s="112"/>
      <c r="AD260" s="112"/>
      <c r="AE260" s="113" t="str">
        <f aca="false">IF(AC260&gt;0,P260,"")</f>
        <v/>
      </c>
      <c r="AF260" s="114" t="str">
        <f aca="false">IF(AE260=6,AA260*AB260*AC260*AD260*(AE260/1000)*0.222*1,IF(AE260&gt;6,"",IF(AE260&lt;6,"")))</f>
        <v/>
      </c>
      <c r="AG260" s="107" t="str">
        <f aca="false">IF(AE260=8,AA260*AB260*AC260*AD260*(AE260/1000)*0.395*1,IF(AE260&gt;8,"",IF(AE260&lt;8,"")))</f>
        <v/>
      </c>
      <c r="AH260" s="107" t="str">
        <f aca="false">IF(AE260=10,AA260*AB260*AC260*AD260*(AE260/1000)*0.617*1,IF(AE260&gt;10,"",IF(AE260&lt;10,"")))</f>
        <v/>
      </c>
      <c r="AI260" s="107" t="str">
        <f aca="false">IF(AE260=12,AA260*AB260*AC260*AD260*(AE260/1000)*0.888*1,IF(AE260&gt;12,"",IF(AE260&lt;12,"")))</f>
        <v/>
      </c>
      <c r="AJ260" s="107" t="str">
        <f aca="false">IF(AE260=16,AA260*AB260*AC260*AD260*(AE260/1000)*1.578*1,IF(AE260&gt;16,"",IF(AE260&lt;16,"")))</f>
        <v/>
      </c>
      <c r="AK260" s="107" t="str">
        <f aca="false">IF(AE260=20,AA260*AB260*AC260*AD260*(AE260/1000)*2.466*1,IF(AE260&gt;20,"",IF(AE260&lt;20,"")))</f>
        <v/>
      </c>
      <c r="AL260" s="107" t="str">
        <f aca="false">IF(AE260=25,AA260*AB260*AC260*AD260*(AE260/1000)*3.853*1,IF(AE260&gt;25,"",IF(AE260&lt;25,"")))</f>
        <v/>
      </c>
      <c r="AM260" s="115" t="str">
        <f aca="false">IF(AE260=32,AA260*AB260*AC260*AD260*(AE260/1000)*6.313*1,IF(AE260&gt;32,"",IF(AE260&lt;32,"")))</f>
        <v/>
      </c>
      <c r="AN260" s="128"/>
      <c r="AO260" s="117" t="s">
        <v>457</v>
      </c>
      <c r="AP260" s="118" t="n">
        <f aca="false">SUM(R260:Y260)+SUM(AN260)</f>
        <v>1.4208</v>
      </c>
      <c r="AQ260" s="118" t="n">
        <f aca="false">SUM(AF260:AM260)</f>
        <v>0</v>
      </c>
      <c r="AR260" s="118"/>
      <c r="AS260" s="119"/>
      <c r="AT260" s="119" t="s">
        <v>162</v>
      </c>
    </row>
    <row r="261" customFormat="false" ht="13.5" hidden="false" customHeight="false" outlineLevel="0" collapsed="false">
      <c r="A261" s="120"/>
      <c r="B261" s="121" t="s">
        <v>603</v>
      </c>
      <c r="C261" s="110" t="n">
        <v>1</v>
      </c>
      <c r="D261" s="122" t="n">
        <v>0.2</v>
      </c>
      <c r="E261" s="122" t="n">
        <v>0.2</v>
      </c>
      <c r="F261" s="122" t="n">
        <f aca="false">0.0874/(0.2*0.2)</f>
        <v>2.185</v>
      </c>
      <c r="G261" s="123" t="n">
        <f aca="false">C261*D261*E261*F261</f>
        <v>0.0874</v>
      </c>
      <c r="H261" s="101"/>
      <c r="I261" s="123" t="n">
        <f aca="false">C261*F261*2*E261</f>
        <v>0.874</v>
      </c>
      <c r="J261" s="101"/>
      <c r="K261" s="124"/>
      <c r="L261" s="125"/>
      <c r="M261" s="125"/>
      <c r="N261" s="126"/>
      <c r="O261" s="126"/>
      <c r="P261" s="126"/>
      <c r="Q261" s="127"/>
      <c r="R261" s="105" t="str">
        <f aca="false">IF(P261=6,N261*O261*Q261*0.222*1,IF(P261&gt;6,"",IF(P261&lt;6,"")))</f>
        <v/>
      </c>
      <c r="S261" s="106" t="str">
        <f aca="false">IF(P261=8,N261*O261*Q261*0.395*1,IF(P261&gt;8,"",IF(P261&lt;8,"")))</f>
        <v/>
      </c>
      <c r="T261" s="106" t="str">
        <f aca="false">IF(P261=10,N261*O261*Q261*0.617*1,IF(P261&gt;10,"",IF(P261&lt;10,"")))</f>
        <v/>
      </c>
      <c r="U261" s="106" t="str">
        <f aca="false">IF(P261=12,N261*O261*Q261*0.888*1,IF(P261&gt;12,"",IF(P261&lt;12,"")))</f>
        <v/>
      </c>
      <c r="V261" s="107" t="str">
        <f aca="false">IF(P261=16,N261*O261*Q261*1.578*1,IF(P261&gt;16,"",IF(P261&lt;16,"")))</f>
        <v/>
      </c>
      <c r="W261" s="106" t="str">
        <f aca="false">IF(P261=20,N261*O261*Q261*2.466*1,IF(P261&gt;20,"",IF(P261&lt;20,"")))</f>
        <v/>
      </c>
      <c r="X261" s="106" t="str">
        <f aca="false">IF(P261=25,N261*O261*Q261*3.853*1,IF(P261&gt;25,"",IF(P261&lt;25,"")))</f>
        <v/>
      </c>
      <c r="Y261" s="108" t="str">
        <f aca="false">IF(P261=32,N261*O261*Q261*6.313*1,IF(P261&gt;32,"",IF(P261&lt;32,"")))</f>
        <v/>
      </c>
      <c r="Z261" s="109"/>
      <c r="AA261" s="110" t="str">
        <f aca="false">IF(AC261&gt;0,N261,"")</f>
        <v/>
      </c>
      <c r="AB261" s="111" t="str">
        <f aca="false">IF(AC261&gt;0,O261,"")</f>
        <v/>
      </c>
      <c r="AC261" s="112"/>
      <c r="AD261" s="112"/>
      <c r="AE261" s="113" t="str">
        <f aca="false">IF(AC261&gt;0,P261,"")</f>
        <v/>
      </c>
      <c r="AF261" s="114" t="str">
        <f aca="false">IF(AE261=6,AA261*AB261*AC261*AD261*(AE261/1000)*0.222*1,IF(AE261&gt;6,"",IF(AE261&lt;6,"")))</f>
        <v/>
      </c>
      <c r="AG261" s="107" t="str">
        <f aca="false">IF(AE261=8,AA261*AB261*AC261*AD261*(AE261/1000)*0.395*1,IF(AE261&gt;8,"",IF(AE261&lt;8,"")))</f>
        <v/>
      </c>
      <c r="AH261" s="107" t="str">
        <f aca="false">IF(AE261=10,AA261*AB261*AC261*AD261*(AE261/1000)*0.617*1,IF(AE261&gt;10,"",IF(AE261&lt;10,"")))</f>
        <v/>
      </c>
      <c r="AI261" s="107" t="str">
        <f aca="false">IF(AE261=12,AA261*AB261*AC261*AD261*(AE261/1000)*0.888*1,IF(AE261&gt;12,"",IF(AE261&lt;12,"")))</f>
        <v/>
      </c>
      <c r="AJ261" s="107" t="str">
        <f aca="false">IF(AE261=16,AA261*AB261*AC261*AD261*(AE261/1000)*1.578*1,IF(AE261&gt;16,"",IF(AE261&lt;16,"")))</f>
        <v/>
      </c>
      <c r="AK261" s="107" t="str">
        <f aca="false">IF(AE261=20,AA261*AB261*AC261*AD261*(AE261/1000)*2.466*1,IF(AE261&gt;20,"",IF(AE261&lt;20,"")))</f>
        <v/>
      </c>
      <c r="AL261" s="107" t="str">
        <f aca="false">IF(AE261=25,AA261*AB261*AC261*AD261*(AE261/1000)*3.853*1,IF(AE261&gt;25,"",IF(AE261&lt;25,"")))</f>
        <v/>
      </c>
      <c r="AM261" s="115" t="str">
        <f aca="false">IF(AE261=32,AA261*AB261*AC261*AD261*(AE261/1000)*6.313*1,IF(AE261&gt;32,"",IF(AE261&lt;32,"")))</f>
        <v/>
      </c>
      <c r="AN261" s="128"/>
      <c r="AO261" s="117" t="s">
        <v>457</v>
      </c>
      <c r="AP261" s="118" t="n">
        <f aca="false">SUM(R261:Y261)+SUM(AN261)</f>
        <v>0</v>
      </c>
      <c r="AQ261" s="118" t="n">
        <f aca="false">SUM(AF261:AM261)</f>
        <v>0</v>
      </c>
      <c r="AR261" s="118" t="n">
        <v>0.0874</v>
      </c>
      <c r="AS261" s="119" t="s">
        <v>604</v>
      </c>
      <c r="AT261" s="119" t="s">
        <v>209</v>
      </c>
    </row>
    <row r="262" customFormat="false" ht="13.5" hidden="false" customHeight="false" outlineLevel="0" collapsed="false">
      <c r="A262" s="129"/>
      <c r="B262" s="172"/>
      <c r="C262" s="110"/>
      <c r="D262" s="122"/>
      <c r="E262" s="122"/>
      <c r="F262" s="173"/>
      <c r="G262" s="123"/>
      <c r="H262" s="101"/>
      <c r="I262" s="123"/>
      <c r="J262" s="101"/>
      <c r="K262" s="124" t="s">
        <v>587</v>
      </c>
      <c r="L262" s="125"/>
      <c r="M262" s="125"/>
      <c r="N262" s="126" t="n">
        <f aca="false">$C$261</f>
        <v>1</v>
      </c>
      <c r="O262" s="126" t="n">
        <v>4</v>
      </c>
      <c r="P262" s="126" t="n">
        <v>10</v>
      </c>
      <c r="Q262" s="127" t="n">
        <f aca="false">2.3356+2*50*10/1000</f>
        <v>3.3356</v>
      </c>
      <c r="R262" s="105" t="str">
        <f aca="false">IF(P262=6,N262*O262*Q262*0.222*1,IF(P262&gt;6,"",IF(P262&lt;6,"")))</f>
        <v/>
      </c>
      <c r="S262" s="106" t="str">
        <f aca="false">IF(P262=8,N262*O262*Q262*0.395*1,IF(P262&gt;8,"",IF(P262&lt;8,"")))</f>
        <v/>
      </c>
      <c r="T262" s="106" t="n">
        <f aca="false">IF(P262=10,N262*O262*Q262*0.617*1,IF(P262&gt;10,"",IF(P262&lt;10,"")))</f>
        <v>8.2322608</v>
      </c>
      <c r="U262" s="106" t="str">
        <f aca="false">IF(P262=12,N262*O262*Q262*0.888*1,IF(P262&gt;12,"",IF(P262&lt;12,"")))</f>
        <v/>
      </c>
      <c r="V262" s="107" t="str">
        <f aca="false">IF(P262=16,N262*O262*Q262*1.578*1,IF(P262&gt;16,"",IF(P262&lt;16,"")))</f>
        <v/>
      </c>
      <c r="W262" s="106" t="str">
        <f aca="false">IF(P262=20,N262*O262*Q262*2.466*1,IF(P262&gt;20,"",IF(P262&lt;20,"")))</f>
        <v/>
      </c>
      <c r="X262" s="106" t="str">
        <f aca="false">IF(P262=25,N262*O262*Q262*3.853*1,IF(P262&gt;25,"",IF(P262&lt;25,"")))</f>
        <v/>
      </c>
      <c r="Y262" s="108" t="str">
        <f aca="false">IF(P262=32,N262*O262*Q262*6.313*1,IF(P262&gt;32,"",IF(P262&lt;32,"")))</f>
        <v/>
      </c>
      <c r="Z262" s="109"/>
      <c r="AA262" s="110" t="str">
        <f aca="false">IF(AC262&gt;0,N262,"")</f>
        <v/>
      </c>
      <c r="AB262" s="111" t="str">
        <f aca="false">IF(AC262&gt;0,O262,"")</f>
        <v/>
      </c>
      <c r="AC262" s="112"/>
      <c r="AD262" s="112"/>
      <c r="AE262" s="113" t="str">
        <f aca="false">IF(AC262&gt;0,P262,"")</f>
        <v/>
      </c>
      <c r="AF262" s="114" t="str">
        <f aca="false">IF(AE262=6,AA262*AB262*AC262*AD262*(AE262/1000)*0.222*1,IF(AE262&gt;6,"",IF(AE262&lt;6,"")))</f>
        <v/>
      </c>
      <c r="AG262" s="107" t="str">
        <f aca="false">IF(AE262=8,AA262*AB262*AC262*AD262*(AE262/1000)*0.395*1,IF(AE262&gt;8,"",IF(AE262&lt;8,"")))</f>
        <v/>
      </c>
      <c r="AH262" s="107" t="str">
        <f aca="false">IF(AE262=10,AA262*AB262*AC262*AD262*(AE262/1000)*0.617*1,IF(AE262&gt;10,"",IF(AE262&lt;10,"")))</f>
        <v/>
      </c>
      <c r="AI262" s="107" t="str">
        <f aca="false">IF(AE262=12,AA262*AB262*AC262*AD262*(AE262/1000)*0.888*1,IF(AE262&gt;12,"",IF(AE262&lt;12,"")))</f>
        <v/>
      </c>
      <c r="AJ262" s="107" t="str">
        <f aca="false">IF(AE262=16,AA262*AB262*AC262*AD262*(AE262/1000)*1.578*1,IF(AE262&gt;16,"",IF(AE262&lt;16,"")))</f>
        <v/>
      </c>
      <c r="AK262" s="107" t="str">
        <f aca="false">IF(AE262=20,AA262*AB262*AC262*AD262*(AE262/1000)*2.466*1,IF(AE262&gt;20,"",IF(AE262&lt;20,"")))</f>
        <v/>
      </c>
      <c r="AL262" s="107" t="str">
        <f aca="false">IF(AE262=25,AA262*AB262*AC262*AD262*(AE262/1000)*3.853*1,IF(AE262&gt;25,"",IF(AE262&lt;25,"")))</f>
        <v/>
      </c>
      <c r="AM262" s="115" t="str">
        <f aca="false">IF(AE262=32,AA262*AB262*AC262*AD262*(AE262/1000)*6.313*1,IF(AE262&gt;32,"",IF(AE262&lt;32,"")))</f>
        <v/>
      </c>
      <c r="AN262" s="128"/>
      <c r="AO262" s="117" t="s">
        <v>457</v>
      </c>
      <c r="AP262" s="118" t="n">
        <f aca="false">SUM(R262:Y262)+SUM(AN262)</f>
        <v>8.2322608</v>
      </c>
      <c r="AQ262" s="118" t="n">
        <f aca="false">SUM(AF262:AM262)</f>
        <v>0</v>
      </c>
      <c r="AR262" s="118"/>
      <c r="AS262" s="119"/>
      <c r="AT262" s="119" t="s">
        <v>162</v>
      </c>
    </row>
    <row r="263" customFormat="false" ht="13.5" hidden="false" customHeight="false" outlineLevel="0" collapsed="false">
      <c r="A263" s="129"/>
      <c r="B263" s="172"/>
      <c r="C263" s="110"/>
      <c r="D263" s="122"/>
      <c r="E263" s="122"/>
      <c r="F263" s="173"/>
      <c r="G263" s="123"/>
      <c r="H263" s="101"/>
      <c r="I263" s="123"/>
      <c r="J263" s="101"/>
      <c r="K263" s="124" t="s">
        <v>588</v>
      </c>
      <c r="L263" s="125" t="n">
        <f aca="false">$F$261</f>
        <v>2.185</v>
      </c>
      <c r="M263" s="125" t="n">
        <v>0.2</v>
      </c>
      <c r="N263" s="126" t="n">
        <f aca="false">$C$261</f>
        <v>1</v>
      </c>
      <c r="O263" s="126" t="n">
        <f aca="false">CEILING(L263/M263,1)+1</f>
        <v>12</v>
      </c>
      <c r="P263" s="126" t="n">
        <v>6</v>
      </c>
      <c r="Q263" s="127" t="n">
        <f aca="false">2*($D$261-2*0.035)+2*($E$261-2*0.035)+20*6/1000</f>
        <v>0.64</v>
      </c>
      <c r="R263" s="105" t="n">
        <f aca="false">IF(P263=6,N263*O263*Q263*0.222*1,IF(P263&gt;6,"",IF(P263&lt;6,"")))</f>
        <v>1.70496</v>
      </c>
      <c r="S263" s="106" t="str">
        <f aca="false">IF(P263=8,N263*O263*Q263*0.395*1,IF(P263&gt;8,"",IF(P263&lt;8,"")))</f>
        <v/>
      </c>
      <c r="T263" s="106" t="str">
        <f aca="false">IF(P263=10,N263*O263*Q263*0.617*1,IF(P263&gt;10,"",IF(P263&lt;10,"")))</f>
        <v/>
      </c>
      <c r="U263" s="106" t="str">
        <f aca="false">IF(P263=12,N263*O263*Q263*0.888*1,IF(P263&gt;12,"",IF(P263&lt;12,"")))</f>
        <v/>
      </c>
      <c r="V263" s="107" t="str">
        <f aca="false">IF(P263=16,N263*O263*Q263*1.578*1,IF(P263&gt;16,"",IF(P263&lt;16,"")))</f>
        <v/>
      </c>
      <c r="W263" s="106" t="str">
        <f aca="false">IF(P263=20,N263*O263*Q263*2.466*1,IF(P263&gt;20,"",IF(P263&lt;20,"")))</f>
        <v/>
      </c>
      <c r="X263" s="106" t="str">
        <f aca="false">IF(P263=25,N263*O263*Q263*3.853*1,IF(P263&gt;25,"",IF(P263&lt;25,"")))</f>
        <v/>
      </c>
      <c r="Y263" s="108" t="str">
        <f aca="false">IF(P263=32,N263*O263*Q263*6.313*1,IF(P263&gt;32,"",IF(P263&lt;32,"")))</f>
        <v/>
      </c>
      <c r="Z263" s="109"/>
      <c r="AA263" s="110" t="str">
        <f aca="false">IF(AC263&gt;0,N263,"")</f>
        <v/>
      </c>
      <c r="AB263" s="111" t="str">
        <f aca="false">IF(AC263&gt;0,O263,"")</f>
        <v/>
      </c>
      <c r="AC263" s="112"/>
      <c r="AD263" s="112"/>
      <c r="AE263" s="113" t="str">
        <f aca="false">IF(AC263&gt;0,P263,"")</f>
        <v/>
      </c>
      <c r="AF263" s="114" t="str">
        <f aca="false">IF(AE263=6,AA263*AB263*AC263*AD263*(AE263/1000)*0.222*1,IF(AE263&gt;6,"",IF(AE263&lt;6,"")))</f>
        <v/>
      </c>
      <c r="AG263" s="107" t="str">
        <f aca="false">IF(AE263=8,AA263*AB263*AC263*AD263*(AE263/1000)*0.395*1,IF(AE263&gt;8,"",IF(AE263&lt;8,"")))</f>
        <v/>
      </c>
      <c r="AH263" s="107" t="str">
        <f aca="false">IF(AE263=10,AA263*AB263*AC263*AD263*(AE263/1000)*0.617*1,IF(AE263&gt;10,"",IF(AE263&lt;10,"")))</f>
        <v/>
      </c>
      <c r="AI263" s="107" t="str">
        <f aca="false">IF(AE263=12,AA263*AB263*AC263*AD263*(AE263/1000)*0.888*1,IF(AE263&gt;12,"",IF(AE263&lt;12,"")))</f>
        <v/>
      </c>
      <c r="AJ263" s="107" t="str">
        <f aca="false">IF(AE263=16,AA263*AB263*AC263*AD263*(AE263/1000)*1.578*1,IF(AE263&gt;16,"",IF(AE263&lt;16,"")))</f>
        <v/>
      </c>
      <c r="AK263" s="107" t="str">
        <f aca="false">IF(AE263=20,AA263*AB263*AC263*AD263*(AE263/1000)*2.466*1,IF(AE263&gt;20,"",IF(AE263&lt;20,"")))</f>
        <v/>
      </c>
      <c r="AL263" s="107" t="str">
        <f aca="false">IF(AE263=25,AA263*AB263*AC263*AD263*(AE263/1000)*3.853*1,IF(AE263&gt;25,"",IF(AE263&lt;25,"")))</f>
        <v/>
      </c>
      <c r="AM263" s="115" t="str">
        <f aca="false">IF(AE263=32,AA263*AB263*AC263*AD263*(AE263/1000)*6.313*1,IF(AE263&gt;32,"",IF(AE263&lt;32,"")))</f>
        <v/>
      </c>
      <c r="AN263" s="128"/>
      <c r="AO263" s="117" t="s">
        <v>457</v>
      </c>
      <c r="AP263" s="118" t="n">
        <f aca="false">SUM(R263:Y263)+SUM(AN263)</f>
        <v>1.70496</v>
      </c>
      <c r="AQ263" s="118" t="n">
        <f aca="false">SUM(AF263:AM263)</f>
        <v>0</v>
      </c>
      <c r="AR263" s="118"/>
      <c r="AS263" s="119"/>
      <c r="AT263" s="119" t="s">
        <v>162</v>
      </c>
    </row>
    <row r="264" customFormat="false" ht="13.5" hidden="false" customHeight="false" outlineLevel="0" collapsed="false">
      <c r="A264" s="129"/>
      <c r="B264" s="130"/>
      <c r="C264" s="110"/>
      <c r="D264" s="122"/>
      <c r="E264" s="122"/>
      <c r="F264" s="122"/>
      <c r="G264" s="123"/>
      <c r="H264" s="101"/>
      <c r="I264" s="123"/>
      <c r="J264" s="101"/>
      <c r="K264" s="124"/>
      <c r="L264" s="125"/>
      <c r="M264" s="125"/>
      <c r="N264" s="126"/>
      <c r="O264" s="126"/>
      <c r="P264" s="126"/>
      <c r="Q264" s="127"/>
      <c r="R264" s="105"/>
      <c r="S264" s="106"/>
      <c r="T264" s="106"/>
      <c r="U264" s="106"/>
      <c r="V264" s="107"/>
      <c r="W264" s="106"/>
      <c r="X264" s="106"/>
      <c r="Y264" s="108"/>
      <c r="Z264" s="109"/>
      <c r="AA264" s="110"/>
      <c r="AB264" s="111"/>
      <c r="AC264" s="112"/>
      <c r="AD264" s="112"/>
      <c r="AE264" s="113"/>
      <c r="AF264" s="114"/>
      <c r="AG264" s="107"/>
      <c r="AH264" s="107"/>
      <c r="AI264" s="107"/>
      <c r="AJ264" s="107"/>
      <c r="AK264" s="107"/>
      <c r="AL264" s="107"/>
      <c r="AM264" s="115"/>
      <c r="AO264" s="117"/>
      <c r="AP264" s="118"/>
      <c r="AQ264" s="118"/>
      <c r="AR264" s="118"/>
      <c r="AS264" s="119"/>
      <c r="AT264" s="119"/>
    </row>
    <row r="265" customFormat="false" ht="13.5" hidden="false" customHeight="false" outlineLevel="0" collapsed="false">
      <c r="A265" s="131"/>
      <c r="B265" s="132"/>
      <c r="C265" s="133" t="s">
        <v>196</v>
      </c>
      <c r="D265" s="133"/>
      <c r="E265" s="133"/>
      <c r="F265" s="133"/>
      <c r="G265" s="134" t="n">
        <f aca="false">SUM(G6:G263)</f>
        <v>27.2302</v>
      </c>
      <c r="H265" s="135"/>
      <c r="I265" s="136"/>
      <c r="J265" s="137"/>
      <c r="K265" s="137"/>
      <c r="L265" s="137"/>
      <c r="M265" s="137"/>
      <c r="N265" s="138"/>
      <c r="O265" s="139" t="s">
        <v>197</v>
      </c>
      <c r="P265" s="139"/>
      <c r="Q265" s="139"/>
      <c r="R265" s="140" t="n">
        <f aca="false">SUM(R6:R263)</f>
        <v>31.2576</v>
      </c>
      <c r="S265" s="140" t="n">
        <f aca="false">SUM(S6:S263)</f>
        <v>958.320876</v>
      </c>
      <c r="T265" s="140" t="n">
        <f aca="false">SUM(T6:T263)</f>
        <v>220.7258268</v>
      </c>
      <c r="U265" s="140" t="n">
        <f aca="false">SUM(U6:U263)</f>
        <v>139.6355136</v>
      </c>
      <c r="V265" s="140" t="n">
        <f aca="false">SUM(V6:V263)</f>
        <v>882.7515048</v>
      </c>
      <c r="W265" s="140" t="n">
        <f aca="false">SUM(W6:W263)</f>
        <v>1516.259556</v>
      </c>
      <c r="X265" s="140" t="n">
        <f aca="false">SUM(X6:X263)</f>
        <v>0</v>
      </c>
      <c r="Y265" s="140" t="n">
        <f aca="false">SUM(Y6:Y263)</f>
        <v>0</v>
      </c>
      <c r="Z265" s="141"/>
      <c r="AA265" s="142"/>
      <c r="AB265" s="143" t="s">
        <v>197</v>
      </c>
      <c r="AC265" s="143"/>
      <c r="AD265" s="143"/>
      <c r="AE265" s="143"/>
      <c r="AF265" s="140" t="n">
        <f aca="false">SUM(AF6:AF263)</f>
        <v>0</v>
      </c>
      <c r="AG265" s="140" t="n">
        <f aca="false">SUM(AG6:AG263)</f>
        <v>0</v>
      </c>
      <c r="AH265" s="140" t="n">
        <f aca="false">SUM(AH6:AH263)</f>
        <v>1.234</v>
      </c>
      <c r="AI265" s="140" t="n">
        <f aca="false">SUM(AI6:AI263)</f>
        <v>0</v>
      </c>
      <c r="AJ265" s="140" t="n">
        <f aca="false">SUM(AJ6:AJ263)</f>
        <v>0</v>
      </c>
      <c r="AK265" s="140" t="n">
        <f aca="false">SUM(AK6:AK263)</f>
        <v>9.864</v>
      </c>
      <c r="AL265" s="140" t="n">
        <f aca="false">SUM(AL6:AL263)</f>
        <v>0</v>
      </c>
      <c r="AM265" s="140" t="n">
        <f aca="false">SUM(AM6:AM263)</f>
        <v>0</v>
      </c>
      <c r="AN265" s="144" t="n">
        <f aca="false">SUM(AN6:AN263)</f>
        <v>0</v>
      </c>
      <c r="AO265" s="117"/>
      <c r="AP265" s="118"/>
      <c r="AQ265" s="118"/>
      <c r="AR265" s="118"/>
      <c r="AS265" s="119"/>
      <c r="AT265" s="119"/>
    </row>
    <row r="266" customFormat="false" ht="13.5" hidden="false" customHeight="false" outlineLevel="0" collapsed="false">
      <c r="A266" s="131" t="s">
        <v>198</v>
      </c>
      <c r="B266" s="95"/>
      <c r="C266" s="145" t="s">
        <v>199</v>
      </c>
      <c r="D266" s="145"/>
      <c r="E266" s="145"/>
      <c r="F266" s="145"/>
      <c r="G266" s="146" t="n">
        <f aca="false">SUM(I6:I263)</f>
        <v>222.895879300349</v>
      </c>
      <c r="H266" s="147"/>
      <c r="I266" s="136"/>
      <c r="J266" s="148"/>
      <c r="K266" s="137"/>
      <c r="L266" s="137"/>
      <c r="M266" s="137"/>
      <c r="N266" s="138"/>
      <c r="O266" s="149" t="s">
        <v>200</v>
      </c>
      <c r="P266" s="149"/>
      <c r="Q266" s="149"/>
      <c r="R266" s="150" t="n">
        <f aca="false">SUM(R265:Y265)+AN265</f>
        <v>3748.9508772</v>
      </c>
      <c r="S266" s="150"/>
      <c r="T266" s="150"/>
      <c r="U266" s="150"/>
      <c r="V266" s="150"/>
      <c r="W266" s="150"/>
      <c r="X266" s="150"/>
      <c r="Y266" s="150"/>
      <c r="Z266" s="151"/>
      <c r="AA266" s="152"/>
      <c r="AB266" s="153" t="s">
        <v>200</v>
      </c>
      <c r="AC266" s="153"/>
      <c r="AD266" s="153"/>
      <c r="AE266" s="153"/>
      <c r="AF266" s="150" t="n">
        <f aca="false">SUM(AF265:AM265)</f>
        <v>11.098</v>
      </c>
      <c r="AG266" s="150"/>
      <c r="AH266" s="150"/>
      <c r="AI266" s="150"/>
      <c r="AJ266" s="150"/>
      <c r="AK266" s="150"/>
      <c r="AL266" s="150"/>
      <c r="AM266" s="150"/>
      <c r="AN266" s="154"/>
      <c r="AO266" s="117"/>
      <c r="AP266" s="118"/>
      <c r="AQ266" s="118"/>
      <c r="AR266" s="118"/>
      <c r="AS266" s="119"/>
      <c r="AT266" s="119"/>
    </row>
    <row r="267" customFormat="false" ht="13.5" hidden="false" customHeight="false" outlineLevel="0" collapsed="false">
      <c r="A267" s="155"/>
      <c r="B267" s="156"/>
      <c r="C267" s="157" t="s">
        <v>201</v>
      </c>
      <c r="D267" s="157"/>
      <c r="E267" s="157"/>
      <c r="F267" s="157"/>
      <c r="G267" s="158" t="n">
        <f aca="false">IF(G265&gt;0,G266/G265,0)</f>
        <v>8.1856130068949</v>
      </c>
      <c r="H267" s="159"/>
      <c r="I267" s="160"/>
      <c r="J267" s="160"/>
      <c r="K267" s="160"/>
      <c r="L267" s="160"/>
      <c r="M267" s="160"/>
      <c r="N267" s="161"/>
      <c r="O267" s="162" t="s">
        <v>202</v>
      </c>
      <c r="P267" s="162"/>
      <c r="Q267" s="162"/>
      <c r="R267" s="163" t="n">
        <f aca="false">IF(G265&gt;0,R266/G265,0)</f>
        <v>137.676215275687</v>
      </c>
      <c r="S267" s="164"/>
      <c r="T267" s="165"/>
      <c r="U267" s="165"/>
      <c r="V267" s="165"/>
      <c r="W267" s="165"/>
      <c r="X267" s="165"/>
      <c r="Y267" s="166"/>
      <c r="Z267" s="141"/>
      <c r="AA267" s="167"/>
      <c r="AB267" s="168" t="s">
        <v>203</v>
      </c>
      <c r="AC267" s="168"/>
      <c r="AD267" s="168"/>
      <c r="AE267" s="168"/>
      <c r="AF267" s="163" t="n">
        <f aca="false">IF(G265&gt;0,AF266/G265,0)</f>
        <v>0.407562191978024</v>
      </c>
      <c r="AG267" s="164"/>
      <c r="AH267" s="165"/>
      <c r="AI267" s="165"/>
      <c r="AJ267" s="169" t="s">
        <v>204</v>
      </c>
      <c r="AK267" s="169"/>
      <c r="AL267" s="169"/>
      <c r="AM267" s="170" t="n">
        <f aca="false">IF(R266&gt;0,AF266/R266,0)</f>
        <v>0.00296029485675439</v>
      </c>
      <c r="AN267" s="44"/>
      <c r="AO267" s="117"/>
      <c r="AP267" s="118"/>
      <c r="AQ267" s="118"/>
      <c r="AR267" s="118"/>
      <c r="AS267" s="119"/>
      <c r="AT267" s="119"/>
    </row>
  </sheetData>
  <mergeCells count="23">
    <mergeCell ref="T1:V1"/>
    <mergeCell ref="X1:Z1"/>
    <mergeCell ref="X2:Y2"/>
    <mergeCell ref="A4:A5"/>
    <mergeCell ref="B4:B5"/>
    <mergeCell ref="C4:G4"/>
    <mergeCell ref="K4:Q4"/>
    <mergeCell ref="R4:Y4"/>
    <mergeCell ref="Z4:Z5"/>
    <mergeCell ref="AA4:AE4"/>
    <mergeCell ref="AF4:AM4"/>
    <mergeCell ref="C265:F265"/>
    <mergeCell ref="O265:Q265"/>
    <mergeCell ref="AB265:AE265"/>
    <mergeCell ref="C266:F266"/>
    <mergeCell ref="O266:Q266"/>
    <mergeCell ref="R266:Y266"/>
    <mergeCell ref="AB266:AE266"/>
    <mergeCell ref="AF266:AM266"/>
    <mergeCell ref="C267:F267"/>
    <mergeCell ref="O267:Q267"/>
    <mergeCell ref="AB267:AE267"/>
    <mergeCell ref="AJ267:AL2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6"/>
    <col collapsed="false" customWidth="true" hidden="false" outlineLevel="0" max="2" min="2" style="4" width="150"/>
    <col collapsed="false" customWidth="true" hidden="false" outlineLevel="0" max="3" min="3" style="4" width="70"/>
  </cols>
  <sheetData>
    <row r="1" customFormat="false" ht="15" hidden="false" customHeight="false" outlineLevel="0" collapsed="false">
      <c r="A1" s="176" t="s">
        <v>605</v>
      </c>
    </row>
    <row r="2" customFormat="false" ht="15" hidden="false" customHeight="false" outlineLevel="0" collapsed="false">
      <c r="A2" s="177" t="s">
        <v>606</v>
      </c>
    </row>
    <row r="4" customFormat="false" ht="15" hidden="false" customHeight="false" outlineLevel="0" collapsed="false">
      <c r="A4" s="178" t="s">
        <v>607</v>
      </c>
      <c r="B4" s="178" t="s">
        <v>608</v>
      </c>
      <c r="C4" s="178" t="s">
        <v>609</v>
      </c>
    </row>
    <row r="5" customFormat="false" ht="22.35" hidden="false" customHeight="false" outlineLevel="0" collapsed="false">
      <c r="A5" s="179" t="s">
        <v>610</v>
      </c>
      <c r="B5" s="179" t="s">
        <v>611</v>
      </c>
      <c r="C5" s="179" t="s">
        <v>612</v>
      </c>
    </row>
    <row r="6" customFormat="false" ht="15" hidden="false" customHeight="false" outlineLevel="0" collapsed="false">
      <c r="A6" s="179" t="s">
        <v>613</v>
      </c>
      <c r="B6" s="179" t="s">
        <v>614</v>
      </c>
      <c r="C6" s="179" t="s">
        <v>615</v>
      </c>
    </row>
    <row r="7" customFormat="false" ht="15" hidden="false" customHeight="false" outlineLevel="0" collapsed="false">
      <c r="A7" s="179" t="s">
        <v>616</v>
      </c>
      <c r="B7" s="179" t="s">
        <v>617</v>
      </c>
      <c r="C7" s="179" t="s">
        <v>618</v>
      </c>
    </row>
    <row r="8" customFormat="false" ht="15" hidden="false" customHeight="false" outlineLevel="0" collapsed="false">
      <c r="A8" s="179" t="s">
        <v>619</v>
      </c>
      <c r="B8" s="179" t="s">
        <v>620</v>
      </c>
      <c r="C8" s="179" t="s">
        <v>621</v>
      </c>
    </row>
    <row r="9" customFormat="false" ht="15" hidden="false" customHeight="false" outlineLevel="0" collapsed="false">
      <c r="A9" s="179" t="s">
        <v>622</v>
      </c>
      <c r="B9" s="179" t="s">
        <v>623</v>
      </c>
      <c r="C9" s="179" t="s">
        <v>624</v>
      </c>
    </row>
    <row r="10" customFormat="false" ht="15" hidden="false" customHeight="false" outlineLevel="0" collapsed="false">
      <c r="A10" s="179" t="s">
        <v>625</v>
      </c>
      <c r="B10" s="179" t="s">
        <v>626</v>
      </c>
      <c r="C10" s="179" t="s">
        <v>627</v>
      </c>
    </row>
    <row r="11" customFormat="false" ht="15" hidden="false" customHeight="false" outlineLevel="0" collapsed="false">
      <c r="A11" s="179" t="s">
        <v>628</v>
      </c>
      <c r="B11" s="179" t="s">
        <v>629</v>
      </c>
      <c r="C11" s="179" t="s">
        <v>630</v>
      </c>
    </row>
    <row r="12" customFormat="false" ht="15" hidden="false" customHeight="false" outlineLevel="0" collapsed="false">
      <c r="A12" s="179" t="s">
        <v>631</v>
      </c>
      <c r="B12" s="179" t="s">
        <v>632</v>
      </c>
      <c r="C12" s="179" t="s">
        <v>633</v>
      </c>
    </row>
    <row r="14" customFormat="false" ht="15" hidden="false" customHeight="false" outlineLevel="0" collapsed="false">
      <c r="A14" s="178" t="s">
        <v>634</v>
      </c>
      <c r="B14" s="178" t="s">
        <v>635</v>
      </c>
    </row>
    <row r="15" customFormat="false" ht="22.35" hidden="false" customHeight="false" outlineLevel="0" collapsed="false">
      <c r="A15" s="179" t="s">
        <v>636</v>
      </c>
      <c r="B15" s="179" t="s">
        <v>637</v>
      </c>
    </row>
    <row r="16" customFormat="false" ht="15" hidden="false" customHeight="false" outlineLevel="0" collapsed="false">
      <c r="A16" s="179" t="s">
        <v>638</v>
      </c>
      <c r="B16" s="179" t="s">
        <v>639</v>
      </c>
    </row>
    <row r="17" customFormat="false" ht="15" hidden="false" customHeight="false" outlineLevel="0" collapsed="false">
      <c r="A17" s="179" t="s">
        <v>640</v>
      </c>
      <c r="B17" s="179" t="s">
        <v>641</v>
      </c>
    </row>
    <row r="18" customFormat="false" ht="15" hidden="false" customHeight="false" outlineLevel="0" collapsed="false">
      <c r="A18" s="179" t="s">
        <v>642</v>
      </c>
      <c r="B18" s="179" t="s">
        <v>643</v>
      </c>
    </row>
    <row r="19" customFormat="false" ht="15" hidden="false" customHeight="false" outlineLevel="0" collapsed="false">
      <c r="A19" s="179" t="s">
        <v>644</v>
      </c>
      <c r="B19" s="179" t="s">
        <v>645</v>
      </c>
    </row>
    <row r="20" customFormat="false" ht="15" hidden="false" customHeight="false" outlineLevel="0" collapsed="false">
      <c r="A20" s="179" t="s">
        <v>646</v>
      </c>
      <c r="B20" s="179" t="s">
        <v>647</v>
      </c>
    </row>
    <row r="21" customFormat="false" ht="15" hidden="false" customHeight="false" outlineLevel="0" collapsed="false">
      <c r="A21" s="179" t="s">
        <v>648</v>
      </c>
      <c r="B21" s="179" t="s">
        <v>649</v>
      </c>
    </row>
    <row r="22" customFormat="false" ht="22.35" hidden="false" customHeight="false" outlineLevel="0" collapsed="false">
      <c r="A22" s="179" t="s">
        <v>650</v>
      </c>
      <c r="B22" s="179" t="s">
        <v>651</v>
      </c>
    </row>
    <row r="23" customFormat="false" ht="15" hidden="false" customHeight="false" outlineLevel="0" collapsed="false">
      <c r="A23" s="179" t="s">
        <v>652</v>
      </c>
      <c r="B23" s="179" t="s">
        <v>653</v>
      </c>
    </row>
    <row r="24" customFormat="false" ht="15" hidden="false" customHeight="false" outlineLevel="0" collapsed="false">
      <c r="A24" s="179" t="s">
        <v>654</v>
      </c>
      <c r="B24" s="179" t="s">
        <v>655</v>
      </c>
    </row>
    <row r="25" customFormat="false" ht="15" hidden="false" customHeight="false" outlineLevel="0" collapsed="false">
      <c r="A25" s="179" t="s">
        <v>656</v>
      </c>
      <c r="B25" s="179" t="s">
        <v>657</v>
      </c>
    </row>
    <row r="26" customFormat="false" ht="15" hidden="false" customHeight="false" outlineLevel="0" collapsed="false">
      <c r="A26" s="179" t="s">
        <v>658</v>
      </c>
      <c r="B26" s="179" t="s">
        <v>659</v>
      </c>
    </row>
    <row r="27" customFormat="false" ht="15" hidden="false" customHeight="false" outlineLevel="0" collapsed="false">
      <c r="A27" s="179" t="s">
        <v>660</v>
      </c>
      <c r="B27" s="179" t="s">
        <v>661</v>
      </c>
    </row>
    <row r="28" customFormat="false" ht="15" hidden="false" customHeight="false" outlineLevel="0" collapsed="false">
      <c r="A28" s="179" t="s">
        <v>662</v>
      </c>
      <c r="B28" s="179" t="s">
        <v>663</v>
      </c>
    </row>
    <row r="29" customFormat="false" ht="15" hidden="false" customHeight="false" outlineLevel="0" collapsed="false">
      <c r="A29" s="179" t="s">
        <v>664</v>
      </c>
      <c r="B29" s="179" t="s">
        <v>665</v>
      </c>
    </row>
    <row r="30" customFormat="false" ht="15" hidden="false" customHeight="false" outlineLevel="0" collapsed="false">
      <c r="A30" s="179" t="s">
        <v>666</v>
      </c>
      <c r="B30" s="179" t="s">
        <v>667</v>
      </c>
    </row>
    <row r="31" customFormat="false" ht="22.35" hidden="false" customHeight="false" outlineLevel="0" collapsed="false">
      <c r="A31" s="179" t="s">
        <v>668</v>
      </c>
      <c r="B31" s="179" t="s">
        <v>669</v>
      </c>
    </row>
    <row r="32" customFormat="false" ht="22.35" hidden="false" customHeight="false" outlineLevel="0" collapsed="false">
      <c r="A32" s="179" t="s">
        <v>670</v>
      </c>
      <c r="B32" s="179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6"/>
    <col collapsed="false" customWidth="true" hidden="false" outlineLevel="0" max="2" min="2" style="4" width="30"/>
    <col collapsed="false" customWidth="true" hidden="false" outlineLevel="0" max="3" min="3" style="4" width="16"/>
    <col collapsed="false" customWidth="true" hidden="false" outlineLevel="0" max="4" min="4" style="4" width="18"/>
    <col collapsed="false" customWidth="true" hidden="false" outlineLevel="0" max="5" min="5" style="4" width="70"/>
    <col collapsed="false" customWidth="true" hidden="false" outlineLevel="0" max="6" min="6" style="4" width="16"/>
    <col collapsed="false" customWidth="true" hidden="false" outlineLevel="0" max="7" min="7" style="4" width="45"/>
    <col collapsed="false" customWidth="true" hidden="false" outlineLevel="0" max="8" min="8" style="4" width="10"/>
  </cols>
  <sheetData>
    <row r="1" customFormat="false" ht="15" hidden="false" customHeight="false" outlineLevel="0" collapsed="false">
      <c r="A1" s="176" t="s">
        <v>672</v>
      </c>
    </row>
    <row r="3" customFormat="false" ht="15" hidden="false" customHeight="false" outlineLevel="0" collapsed="false">
      <c r="A3" s="178" t="s">
        <v>673</v>
      </c>
      <c r="B3" s="178" t="s">
        <v>674</v>
      </c>
      <c r="C3" s="178" t="s">
        <v>675</v>
      </c>
      <c r="D3" s="178" t="s">
        <v>676</v>
      </c>
      <c r="E3" s="178" t="s">
        <v>677</v>
      </c>
      <c r="F3" s="178" t="s">
        <v>678</v>
      </c>
      <c r="G3" s="178" t="s">
        <v>679</v>
      </c>
      <c r="H3" s="178" t="s">
        <v>680</v>
      </c>
    </row>
    <row r="4" customFormat="false" ht="22.35" hidden="false" customHeight="false" outlineLevel="0" collapsed="false">
      <c r="A4" s="179" t="s">
        <v>681</v>
      </c>
      <c r="B4" s="179" t="s">
        <v>682</v>
      </c>
      <c r="C4" s="179" t="s">
        <v>683</v>
      </c>
      <c r="D4" s="179" t="s">
        <v>684</v>
      </c>
      <c r="E4" s="179" t="s">
        <v>685</v>
      </c>
      <c r="F4" s="179" t="s">
        <v>686</v>
      </c>
      <c r="G4" s="179" t="s">
        <v>687</v>
      </c>
      <c r="H4" s="179" t="s">
        <v>688</v>
      </c>
    </row>
    <row r="5" customFormat="false" ht="15" hidden="false" customHeight="false" outlineLevel="0" collapsed="false">
      <c r="A5" s="179" t="s">
        <v>689</v>
      </c>
      <c r="B5" s="179" t="s">
        <v>690</v>
      </c>
      <c r="C5" s="179" t="s">
        <v>691</v>
      </c>
      <c r="D5" s="179" t="s">
        <v>692</v>
      </c>
      <c r="E5" s="179" t="s">
        <v>693</v>
      </c>
      <c r="F5" s="179" t="s">
        <v>694</v>
      </c>
      <c r="G5" s="179" t="s">
        <v>695</v>
      </c>
      <c r="H5" s="179" t="s">
        <v>696</v>
      </c>
    </row>
    <row r="6" customFormat="false" ht="22.35" hidden="false" customHeight="false" outlineLevel="0" collapsed="false">
      <c r="A6" s="179" t="s">
        <v>697</v>
      </c>
      <c r="B6" s="179" t="s">
        <v>698</v>
      </c>
      <c r="C6" s="179" t="s">
        <v>699</v>
      </c>
      <c r="D6" s="179" t="s">
        <v>700</v>
      </c>
      <c r="E6" s="179" t="s">
        <v>701</v>
      </c>
      <c r="F6" s="179" t="s">
        <v>694</v>
      </c>
      <c r="G6" s="179" t="s">
        <v>702</v>
      </c>
      <c r="H6" s="179" t="s">
        <v>696</v>
      </c>
    </row>
    <row r="7" customFormat="false" ht="22.35" hidden="false" customHeight="false" outlineLevel="0" collapsed="false">
      <c r="A7" s="179" t="s">
        <v>703</v>
      </c>
      <c r="B7" s="179" t="s">
        <v>704</v>
      </c>
      <c r="C7" s="179" t="s">
        <v>705</v>
      </c>
      <c r="D7" s="179" t="s">
        <v>706</v>
      </c>
      <c r="E7" s="179" t="s">
        <v>707</v>
      </c>
      <c r="F7" s="179" t="s">
        <v>708</v>
      </c>
      <c r="G7" s="179" t="s">
        <v>709</v>
      </c>
      <c r="H7" s="179" t="s">
        <v>710</v>
      </c>
    </row>
    <row r="8" customFormat="false" ht="22.35" hidden="false" customHeight="false" outlineLevel="0" collapsed="false">
      <c r="A8" s="179" t="s">
        <v>711</v>
      </c>
      <c r="B8" s="179" t="s">
        <v>712</v>
      </c>
      <c r="C8" s="179" t="s">
        <v>713</v>
      </c>
      <c r="D8" s="179" t="s">
        <v>714</v>
      </c>
      <c r="E8" s="179" t="s">
        <v>715</v>
      </c>
      <c r="F8" s="179" t="s">
        <v>694</v>
      </c>
      <c r="G8" s="179" t="s">
        <v>716</v>
      </c>
      <c r="H8" s="179" t="s">
        <v>696</v>
      </c>
    </row>
    <row r="9" customFormat="false" ht="15" hidden="false" customHeight="false" outlineLevel="0" collapsed="false">
      <c r="A9" s="179" t="s">
        <v>717</v>
      </c>
      <c r="B9" s="179" t="s">
        <v>718</v>
      </c>
      <c r="C9" s="179" t="s">
        <v>719</v>
      </c>
      <c r="D9" s="179" t="s">
        <v>720</v>
      </c>
      <c r="E9" s="179" t="s">
        <v>721</v>
      </c>
      <c r="F9" s="179" t="s">
        <v>694</v>
      </c>
      <c r="G9" s="179" t="s">
        <v>722</v>
      </c>
      <c r="H9" s="179" t="s">
        <v>688</v>
      </c>
    </row>
    <row r="10" customFormat="false" ht="22.35" hidden="false" customHeight="false" outlineLevel="0" collapsed="false">
      <c r="A10" s="179" t="s">
        <v>723</v>
      </c>
      <c r="B10" s="179" t="s">
        <v>724</v>
      </c>
      <c r="C10" s="179" t="s">
        <v>725</v>
      </c>
      <c r="D10" s="179" t="s">
        <v>726</v>
      </c>
      <c r="E10" s="179" t="s">
        <v>727</v>
      </c>
      <c r="F10" s="179" t="s">
        <v>694</v>
      </c>
      <c r="G10" s="179" t="s">
        <v>722</v>
      </c>
      <c r="H10" s="179" t="s">
        <v>688</v>
      </c>
    </row>
    <row r="11" customFormat="false" ht="15" hidden="false" customHeight="false" outlineLevel="0" collapsed="false">
      <c r="A11" s="179" t="s">
        <v>728</v>
      </c>
      <c r="B11" s="179" t="s">
        <v>729</v>
      </c>
      <c r="C11" s="179" t="s">
        <v>730</v>
      </c>
      <c r="D11" s="179" t="s">
        <v>731</v>
      </c>
      <c r="E11" s="179" t="s">
        <v>732</v>
      </c>
      <c r="F11" s="179" t="s">
        <v>733</v>
      </c>
      <c r="G11" s="179" t="s">
        <v>734</v>
      </c>
      <c r="H11" s="179" t="s">
        <v>710</v>
      </c>
    </row>
    <row r="12" customFormat="false" ht="22.35" hidden="false" customHeight="false" outlineLevel="0" collapsed="false">
      <c r="A12" s="179" t="s">
        <v>735</v>
      </c>
      <c r="B12" s="179" t="s">
        <v>736</v>
      </c>
      <c r="C12" s="179" t="s">
        <v>46</v>
      </c>
      <c r="D12" s="179" t="s">
        <v>737</v>
      </c>
      <c r="E12" s="179" t="s">
        <v>738</v>
      </c>
      <c r="F12" s="179" t="s">
        <v>733</v>
      </c>
      <c r="G12" s="179" t="s">
        <v>739</v>
      </c>
      <c r="H12" s="179" t="s">
        <v>688</v>
      </c>
    </row>
    <row r="13" customFormat="false" ht="22.35" hidden="false" customHeight="false" outlineLevel="0" collapsed="false">
      <c r="A13" s="179" t="s">
        <v>740</v>
      </c>
      <c r="B13" s="179" t="s">
        <v>741</v>
      </c>
      <c r="C13" s="179" t="s">
        <v>742</v>
      </c>
      <c r="D13" s="179" t="s">
        <v>743</v>
      </c>
      <c r="E13" s="179" t="s">
        <v>744</v>
      </c>
      <c r="F13" s="179" t="s">
        <v>745</v>
      </c>
      <c r="G13" s="179" t="s">
        <v>746</v>
      </c>
      <c r="H13" s="179" t="s">
        <v>710</v>
      </c>
    </row>
    <row r="14" customFormat="false" ht="15" hidden="false" customHeight="false" outlineLevel="0" collapsed="false">
      <c r="A14" s="179" t="s">
        <v>747</v>
      </c>
      <c r="B14" s="179" t="s">
        <v>748</v>
      </c>
      <c r="C14" s="179" t="s">
        <v>46</v>
      </c>
      <c r="D14" s="179" t="s">
        <v>46</v>
      </c>
      <c r="E14" s="179" t="s">
        <v>749</v>
      </c>
      <c r="F14" s="179" t="s">
        <v>750</v>
      </c>
      <c r="G14" s="179" t="s">
        <v>751</v>
      </c>
      <c r="H14" s="179" t="s">
        <v>710</v>
      </c>
    </row>
    <row r="15" customFormat="false" ht="22.35" hidden="false" customHeight="false" outlineLevel="0" collapsed="false">
      <c r="A15" s="179" t="s">
        <v>752</v>
      </c>
      <c r="B15" s="179" t="s">
        <v>753</v>
      </c>
      <c r="C15" s="179" t="s">
        <v>46</v>
      </c>
      <c r="D15" s="179" t="s">
        <v>754</v>
      </c>
      <c r="E15" s="179" t="s">
        <v>755</v>
      </c>
      <c r="F15" s="179" t="s">
        <v>756</v>
      </c>
      <c r="G15" s="179" t="s">
        <v>757</v>
      </c>
      <c r="H15" s="179" t="s">
        <v>688</v>
      </c>
    </row>
    <row r="16" customFormat="false" ht="22.35" hidden="false" customHeight="false" outlineLevel="0" collapsed="false">
      <c r="A16" s="179" t="s">
        <v>758</v>
      </c>
      <c r="B16" s="179" t="s">
        <v>759</v>
      </c>
      <c r="C16" s="179" t="s">
        <v>760</v>
      </c>
      <c r="D16" s="179" t="s">
        <v>761</v>
      </c>
      <c r="E16" s="179" t="s">
        <v>762</v>
      </c>
      <c r="F16" s="179" t="s">
        <v>763</v>
      </c>
      <c r="G16" s="179" t="s">
        <v>764</v>
      </c>
      <c r="H16" s="179" t="s">
        <v>688</v>
      </c>
    </row>
    <row r="17" customFormat="false" ht="22.35" hidden="false" customHeight="false" outlineLevel="0" collapsed="false">
      <c r="A17" s="179" t="s">
        <v>765</v>
      </c>
      <c r="B17" s="179" t="s">
        <v>766</v>
      </c>
      <c r="C17" s="179" t="s">
        <v>46</v>
      </c>
      <c r="D17" s="179" t="s">
        <v>767</v>
      </c>
      <c r="E17" s="179" t="s">
        <v>768</v>
      </c>
      <c r="F17" s="179" t="s">
        <v>733</v>
      </c>
      <c r="G17" s="179" t="s">
        <v>769</v>
      </c>
      <c r="H17" s="179" t="s">
        <v>688</v>
      </c>
    </row>
    <row r="18" customFormat="false" ht="22.35" hidden="false" customHeight="false" outlineLevel="0" collapsed="false">
      <c r="A18" s="179" t="s">
        <v>770</v>
      </c>
      <c r="B18" s="179" t="s">
        <v>771</v>
      </c>
      <c r="C18" s="179" t="s">
        <v>46</v>
      </c>
      <c r="D18" s="179" t="s">
        <v>772</v>
      </c>
      <c r="E18" s="179" t="s">
        <v>773</v>
      </c>
      <c r="F18" s="179" t="s">
        <v>774</v>
      </c>
      <c r="G18" s="179" t="s">
        <v>775</v>
      </c>
      <c r="H18" s="179" t="s">
        <v>710</v>
      </c>
    </row>
    <row r="19" customFormat="false" ht="22.35" hidden="false" customHeight="false" outlineLevel="0" collapsed="false">
      <c r="A19" s="179" t="s">
        <v>776</v>
      </c>
      <c r="B19" s="179" t="s">
        <v>777</v>
      </c>
      <c r="C19" s="179" t="s">
        <v>46</v>
      </c>
      <c r="D19" s="179" t="s">
        <v>778</v>
      </c>
      <c r="E19" s="179" t="s">
        <v>779</v>
      </c>
      <c r="F19" s="179" t="s">
        <v>774</v>
      </c>
      <c r="G19" s="179" t="s">
        <v>780</v>
      </c>
      <c r="H19" s="179" t="s">
        <v>710</v>
      </c>
    </row>
    <row r="20" customFormat="false" ht="15" hidden="false" customHeight="false" outlineLevel="0" collapsed="false">
      <c r="A20" s="179" t="s">
        <v>781</v>
      </c>
      <c r="B20" s="179" t="s">
        <v>782</v>
      </c>
      <c r="C20" s="179" t="s">
        <v>46</v>
      </c>
      <c r="D20" s="179" t="s">
        <v>783</v>
      </c>
      <c r="E20" s="179" t="s">
        <v>784</v>
      </c>
      <c r="F20" s="179" t="s">
        <v>785</v>
      </c>
      <c r="G20" s="179" t="s">
        <v>786</v>
      </c>
      <c r="H20" s="179" t="s">
        <v>710</v>
      </c>
    </row>
    <row r="21" customFormat="false" ht="32.8" hidden="false" customHeight="false" outlineLevel="0" collapsed="false">
      <c r="A21" s="179" t="s">
        <v>787</v>
      </c>
      <c r="B21" s="179" t="s">
        <v>788</v>
      </c>
      <c r="C21" s="179" t="s">
        <v>46</v>
      </c>
      <c r="D21" s="179" t="s">
        <v>789</v>
      </c>
      <c r="E21" s="179" t="s">
        <v>790</v>
      </c>
      <c r="F21" s="179" t="s">
        <v>791</v>
      </c>
      <c r="G21" s="179" t="s">
        <v>792</v>
      </c>
      <c r="H21" s="179" t="s">
        <v>696</v>
      </c>
    </row>
    <row r="22" customFormat="false" ht="15" hidden="false" customHeight="false" outlineLevel="0" collapsed="false">
      <c r="A22" s="179" t="s">
        <v>793</v>
      </c>
      <c r="B22" s="179" t="s">
        <v>794</v>
      </c>
      <c r="C22" s="179" t="s">
        <v>795</v>
      </c>
      <c r="D22" s="179" t="s">
        <v>796</v>
      </c>
      <c r="E22" s="179" t="s">
        <v>797</v>
      </c>
      <c r="F22" s="179" t="s">
        <v>708</v>
      </c>
      <c r="G22" s="179" t="s">
        <v>798</v>
      </c>
      <c r="H22" s="179" t="s">
        <v>710</v>
      </c>
    </row>
    <row r="23" customFormat="false" ht="22.35" hidden="false" customHeight="false" outlineLevel="0" collapsed="false">
      <c r="A23" s="179" t="s">
        <v>799</v>
      </c>
      <c r="B23" s="179" t="s">
        <v>800</v>
      </c>
      <c r="C23" s="179" t="s">
        <v>801</v>
      </c>
      <c r="D23" s="179" t="s">
        <v>802</v>
      </c>
      <c r="E23" s="179" t="s">
        <v>803</v>
      </c>
      <c r="F23" s="179" t="s">
        <v>708</v>
      </c>
      <c r="G23" s="179" t="s">
        <v>804</v>
      </c>
      <c r="H23" s="179" t="s">
        <v>710</v>
      </c>
    </row>
    <row r="24" customFormat="false" ht="15" hidden="false" customHeight="false" outlineLevel="0" collapsed="false">
      <c r="A24" s="179" t="s">
        <v>805</v>
      </c>
      <c r="B24" s="179" t="s">
        <v>806</v>
      </c>
      <c r="C24" s="179" t="s">
        <v>46</v>
      </c>
      <c r="D24" s="179" t="s">
        <v>807</v>
      </c>
      <c r="E24" s="179" t="s">
        <v>808</v>
      </c>
      <c r="F24" s="179" t="s">
        <v>809</v>
      </c>
      <c r="G24" s="179" t="s">
        <v>810</v>
      </c>
      <c r="H24" s="179" t="s"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2015-11-19T11:13:42Z</dcterms:created>
  <dc:creator>joaogarcia</dc:creator>
  <dc:description/>
  <dc:language>en-US</dc:language>
  <cp:lastModifiedBy>Paulo Sousa</cp:lastModifiedBy>
  <cp:lastPrinted>2024-12-12T16:43:51Z</cp:lastPrinted>
  <dcterms:modified xsi:type="dcterms:W3CDTF">2026-10-30T16:54:25Z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