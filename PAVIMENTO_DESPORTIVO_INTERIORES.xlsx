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fs\NVE\Obras\Obras\ZONA NORTE\026.26-Pavilhão da Escola EB2,3 João de Meira\04. Preparação\PREPARAÇAO IS\2-PAVIMENTO DESPORTIVO INTERIORES\"/>
    </mc:Choice>
  </mc:AlternateContent>
  <xr:revisionPtr revIDLastSave="0" documentId="13_ncr:1_{21EEE3FC-F142-4D52-935E-D046F5634747}" xr6:coauthVersionLast="47" xr6:coauthVersionMax="47" xr10:uidLastSave="{00000000-0000-0000-0000-000000000000}"/>
  <bookViews>
    <workbookView xWindow="-108" yWindow="-108" windowWidth="23256" windowHeight="13896" xr2:uid="{2474CF40-1A81-4A01-84B9-8D5B591737F4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" i="1" l="1"/>
</calcChain>
</file>

<file path=xl/sharedStrings.xml><?xml version="1.0" encoding="utf-8"?>
<sst xmlns="http://schemas.openxmlformats.org/spreadsheetml/2006/main" count="354" uniqueCount="194">
  <si>
    <t>Folha de Medição Em Obra</t>
  </si>
  <si>
    <t>Obra: Pavilhão da Escola EB2,3 João de Meira</t>
  </si>
  <si>
    <t>Local:</t>
  </si>
  <si>
    <t>Pág:</t>
  </si>
  <si>
    <t>Data:</t>
  </si>
  <si>
    <t>Designação (resumo)</t>
  </si>
  <si>
    <t>Zona</t>
  </si>
  <si>
    <t>Afetação</t>
  </si>
  <si>
    <t>Un</t>
  </si>
  <si>
    <t>3.9.1.1.1</t>
  </si>
  <si>
    <t>PAV I 01 — Pavimento desportivo em madeira — Polidesportivo</t>
  </si>
  <si>
    <t>Polidesportivo (A)</t>
  </si>
  <si>
    <t>TOTAL</t>
  </si>
  <si>
    <t>3.9.1.1.2</t>
  </si>
  <si>
    <t>PAV I 01 — Pavimento desportivo em madeira — Ginásio</t>
  </si>
  <si>
    <t>Ginásio (A')</t>
  </si>
  <si>
    <t>3.9.1.1.3</t>
  </si>
  <si>
    <t>PAV I 01 — Pavimento desportivo em madeira — Sala de Ginástica</t>
  </si>
  <si>
    <t>Sala de Ginástica (A.1.3)</t>
  </si>
  <si>
    <t>2.3.14.2</t>
  </si>
  <si>
    <t>Pavimento térreo P.T.2 (caixa de brita 0,15 m) — laje sob o pavimento desportivo</t>
  </si>
  <si>
    <t>Comum / várias zonas</t>
  </si>
  <si>
    <t>PROVÁVEL</t>
  </si>
  <si>
    <t xml:space="preserve">Artigo </t>
  </si>
  <si>
    <t>3.15.9.1</t>
  </si>
  <si>
    <t>Pinturas e marcações de jogo — Gimnodesportivo</t>
  </si>
  <si>
    <t>3.15.9.2</t>
  </si>
  <si>
    <t>Pinturas e marcações de jogo — Ginásio</t>
  </si>
  <si>
    <t>3.8.6</t>
  </si>
  <si>
    <t xml:space="preserve"> PAVIMENTO DESPORTIVO INTERIORES</t>
  </si>
  <si>
    <t>3.9.1.1</t>
  </si>
  <si>
    <t>PAV I 01
Fornecimento e aplicação de Pavimento desportivo Multicamada em Madeira Maciça tipo "FLEXLOCK TARKETT - faia nature (3-strip)" ou equiv.
Incluí: Todos os trabalhos, camadas e materiais necessários para a execução de acordo com as indicações do fabricante, com os desenhos de pormenor, mapa de acabamentos e caderno de encargos.</t>
  </si>
  <si>
    <t>Medição para:  PAVIMENTO DESPORTIVO INTERIORES</t>
  </si>
  <si>
    <t>m²</t>
  </si>
  <si>
    <t xml:space="preserve">Qtd. MQT </t>
  </si>
  <si>
    <t>Qtd. prevista no Projecto</t>
  </si>
  <si>
    <t>3.15.9</t>
  </si>
  <si>
    <t>PINTURAS E MARCAÇÕES
Fornecimento e aplicação de pinturas em zonas de prática desportiva.</t>
  </si>
  <si>
    <t>RP. I 1 02. RODAPÉ DE MADEIRA 60mm Fornecimento e aplicação de rodapé de madeira maciça lacada com alta resistência (esmalte acetinado). 25mm de espessura, colado e fixado mecânicamente ao suporte.
Incluí:
- Todos os trabalhos e materiais necessários para a execução de acordo com as indicações do fabricante, com os desenhos de pormenor, mapa de acabamentos e caderno de encargos.</t>
  </si>
  <si>
    <t>ml</t>
  </si>
  <si>
    <t>3.17.2</t>
  </si>
  <si>
    <t>REDES DE PROTEÇÃO ZONAS DESPORTIVAS Fornecimento e aplicação de rede de proteção / vedação / topo de espaços desportivos malha 35x35mm; Fio Entrançado de Polipropileno de 3 mm: Garantindo uma alta resistência à abrasão e ao impacto, aumenta a vida útil da rede, suportando condições climáticas adversas e uso intensivo; KITs de montagem para a fixação de redes compostos por poleias, serra-cabos, esticadores, mosquetões, parafusos, buchas, abracadeiras e todos os acessórios que se verifiquem necessários à aplicação no local.
- Preparação de Obra e Planificação dos tramos de cortina a aplicar e definição de cenários de abertura.
- Todos os trabalhos e materiais necessários para a execução de acordo com as indicações do fabricante, com os desenhos de pormenor, mapa de acabamentos e caderno de encargos.</t>
  </si>
  <si>
    <t>3.17.2.1</t>
  </si>
  <si>
    <t>Redes de proteção zonas desportivas — Setor A</t>
  </si>
  <si>
    <t>3.17.7</t>
  </si>
  <si>
    <t>CORTINAS ÁREA DE JOGO
Fornecimento e aplicação de cortina cor e material a aprovar em obra, adequada à separação das áreas de desporto por tramos com altura aprox de 4m; Sistema tipo ou equiv.: "Cortina Divisória tipo AFFSPORTS" composição de tela PVC até 4m e rede até à asna de suporte; fixação à asna de suporte.
Incluí:
- Preparação de Obra e Planificação dos tramos de cortina a aplicar e definição de cenários de abertura.
- Sistema de Correr e Suspensão (a aprovar pelo D.O.)
- Todos os trabalhos e materiais necessários para a execução de acordo com as indicações do fabricante, com os desenhos de pormenor, mapa de acabamentos e caderno de encargos.</t>
  </si>
  <si>
    <t>3.17.7.1</t>
  </si>
  <si>
    <t>Cortinas área de jogo — Setor A</t>
  </si>
  <si>
    <t>3.17.3</t>
  </si>
  <si>
    <t>BANCADAS RETRÁTEIS
Fornecimento e aplicação de Bancada Retrátil com uma altura de 2,95m, 7 patamares e um desenvolvimento linear de 18,50m. Os patamares e as testas de degraus devem ser revestidos a soalho de madeira de carvalho.
Incluí: Todos os trabalhos e materiais necessários para a execução de acordo com as indicações do fabricante, com os desenhos de pormenor, mapa de acabamentos e caderno de encargos.</t>
  </si>
  <si>
    <t>UN</t>
  </si>
  <si>
    <t>3.17.4</t>
  </si>
  <si>
    <t>BANCOS PARA BANCADAS
Fornecimento e aplicação de Bancos para aplicar em degraus de Bancadas de betão préfabricado, tipo "Sports Partner SYMI" ou equivalente em cor a definir em obra.
Incluí: Todos os trabalhos e materiais necessários para a execução de acordo com as indicações do fabricante, com os desenhos de pormenor, mapa de acabamentos e caderno de encargos.</t>
  </si>
  <si>
    <t>3.17.4.1</t>
  </si>
  <si>
    <t>Bancos para bancadas — Bancada 01</t>
  </si>
  <si>
    <t>3.17.5</t>
  </si>
  <si>
    <t>BANCO CORRIDO PARA BANCADAS Fornecimento e aplicação de banco corrido em madeira maciça de carvalho conforme projeto de arquitectura, composto por 10 tábuas maciças de madeira de carvalho, cada uma com uma secção de 45x4cm e de comprimento 165cm, prefazendo um total de 16.50m. Todas as fixações à base deverão ser invisíveis, e o acabamento deverá ser em verniz de elevada resistência em Poliuretano mate aplicado num mínimo de 3 demãos.
Incluí: Todos os trabalhos e materiais necessários para a execução de acordo com as indicações do fabricante, com os desenhos de pormenor, mapa de acabamentos e caderno de encargos.</t>
  </si>
  <si>
    <t>3.17.5.1</t>
  </si>
  <si>
    <t>Banco corrido para bancadas — Bancada 02</t>
  </si>
  <si>
    <t>3.8.8</t>
  </si>
  <si>
    <t>REV. ESPELHO PA I.07
Fornecimento e colocação de espelho de vidro incolor "SAINT-GOBAIN GLASS", de 5 mm de espessura, com tinta de protecção, cor prata, pela sua face posterior, fixado com massa ao paramento. Incluindo tratamento perimetral dos bordos, e massa.
Sala de Ginástica
Incluí:
- Todos os trabalhos e materiais necessários para a execução de acordo com as indicações do fabricante, com os desenhos de pormenor, mapa de acabamentos e caderno de encargos.</t>
  </si>
  <si>
    <t>3.17.8</t>
  </si>
  <si>
    <t>ESTORES DE ROLO MOTORIZADOS aprox. 2.60 h
Fornecimento e aplicação de estore de rolo motorizado tipo ct 110 caixa cilíndrica cor a definir em obra, tipo brasolar ou equivalente, em tecido de poliéster retardador ao fogo cor a definir em obra (screen 5500 3% 600gr) Incluí:
- Preparação de Obra e Planificação dos tramos a aplicar e definição de cenários de abertura.
- Sistema; eletrificação (a aprovar pelo D.O.)
- Todos os trabalhos e materiais necessários para a execução de acordo com as indicações do fabricante, com os desenhos de pormenor, mapa de acabamentos e caderno de encargos.</t>
  </si>
  <si>
    <t>3.17.8.1</t>
  </si>
  <si>
    <t>Estores de rolo motorizados — Ginásio</t>
  </si>
  <si>
    <t>3.17.8.2</t>
  </si>
  <si>
    <t>Estores de rolo motorizados — Sala Gimnodesportivo</t>
  </si>
  <si>
    <t>3.9.1.6</t>
  </si>
  <si>
    <t>SOLEIRAS INT.
Fornecimento e aplicação de Soleira em Betão Polimérico tipo Tubani ou equiv., a aplicar em vãos interiores e/ou como elemento de transição entre espaços, com uma epessura média de 30 a 50mm e cor a definir em obra.
Incluí: Todos os trabalhos e materiais necessários para a execução de acordo com as indicações do fabricante, com os desenhos de pormenor, mapa de acabamentos e caderno de encargos.
Deve ser verificado o desenho correspondente à secção de cada tramo de soleira em obra e/ou nos desenhos de pormenor do Projeto de Arquitetura.</t>
  </si>
  <si>
    <t>3.9.1.6.1</t>
  </si>
  <si>
    <t>Soleiras interiores — 400 mm de largura</t>
  </si>
  <si>
    <t>PARCIAL</t>
  </si>
  <si>
    <t>3.9.1.6.2</t>
  </si>
  <si>
    <t>Soleiras interiores — 200 mm de largura</t>
  </si>
  <si>
    <t>3.9.1.6.3</t>
  </si>
  <si>
    <t>Soleiras interiores — 150 mm de largura</t>
  </si>
  <si>
    <t>3.9.1.8</t>
  </si>
  <si>
    <t>CALHA DE AÇO INOX - REMATES TRANSIÇÃO Fornecimento e aplicação de calha de aço inox para aplicar em remates de transição de pavimentos.
Incluí: Todos os trabalhos e materiais necessários para a execução de acordo com as indicações do fabricante, com os desenhos de pormenor, mapa de acabamentos e caderno de encargos.</t>
  </si>
  <si>
    <t xml:space="preserve"> PAVIMENTOS EM GERAL</t>
  </si>
  <si>
    <t>2.3.14</t>
  </si>
  <si>
    <t>PAVIMENTO TÉRREO
Execução de PAVIMENTO TÉRREO com 15 cm de espessura, composto por caixa de brita 30/50 assente sob geotextil aplicado sobre terreno natural devidamente compactado, incluindo compactação, transporte, colocação e todos os trabalhos, materiais, equipamento e execução de acordo com o projeto; filme de polietileno simples; camada de regularização em betão normal
 cinzento  com espessura de 0,05m, incluindo fornecimento, colocação, compactação e cura de betão C12/15, X0, Cl 1.0, S3, Dmáx 28 mm incluindo todos os trabalhos, materiais, equipamento e execução de acordo com o projeto; Primário de impermeabilização de base aquosa aplicado com rendimento aproximado de 250 g/m2 em duas demãos cruzadas; Membrana de impermeabilização totalmente aderida ao suporte, através de chama de maçarico, betume polímero APP com 4 kg/m² e armadura de poliéster protegida a polietileno em ambas as faces; geotextil e laje em betão armado normal  cinzento  com 0,12m de espessura incluindo fornecimento, colocação, compactação e cura de betão C30/37, XC2, Cl 0.40, S3, Dmáx 20 mm com incorporação de hidrófugo; transporte, montagem, desmontagem, óleo descofrante e limpeza de cofragem em bordos quando existentes; fornecimento, colocação, carga e descarga, desperdícios e empalmes e elementos de montagem de rede electrossoldada AQ50 em aço A500EL, e todos os trabalhos, nomeadamente juntas de construção e retração, selagem de juntas, elementos de transferência de carga, materiais e execução de acordo com o projeto.</t>
  </si>
  <si>
    <t>2.3.14.1</t>
  </si>
  <si>
    <t>Pavimento térreo P.T.1 (caixa de brita 0,22 m)</t>
  </si>
  <si>
    <t>2.3.14.3</t>
  </si>
  <si>
    <t>Pavimento térreo P.T.3 (caixa de brita 0,17 m)</t>
  </si>
  <si>
    <t>2.4.4</t>
  </si>
  <si>
    <t>GRADIL
Fornecimento e montagem de gradil para pavimento com 0.30 [m] de espessura , com dimensões 0.030x0.030 [m x m] com 27 kg/m2, em aço de qualidade não ligado laminado a quente , de classe de resistência ST 37.2 , incluindo ligações por aparafusamento , de acordo com especificações e pormenores de projecto.</t>
  </si>
  <si>
    <t>2.6.3</t>
  </si>
  <si>
    <t>ENDURECEDOR DE SUPERFÍCIE
Fornecimento e aplicação de endurecedor de superfície de quartzo 4 kg/m², espalhamento manual, carga, descarga e todos os trabalhos, materiais e execução de acordo com o projeto.</t>
  </si>
  <si>
    <t>3.1.3</t>
  </si>
  <si>
    <t>DEMOLIÇÃO DE CAMPO DE JOGOS E PAVIMENTOS EXTERIORES
Demolição de pavimento existente, betuminoso ou cimentício, com martelo pneumático, e carga manual para camião ou contentor, repetivo transporte e descarga em vazadouro conforme o especificado no PGR.
Incluí:
.Demolição e desativação de infraestruturas existentes;
.Trabalhos necessários para garantir o funcionamento contínuo das infraestruturas existentes, caso se verifique a necessidade da sua manutenção em operação e após a obra concluída;
. Demolição de elementos perimetrais de remate de pavimentos;
. Remoção de bases e camadas de assentamento. Caso o material se encontre em boas condições - prever o seu armazenamento em obra, para a sua reutilização. A Remoção das camadas de assentamento está condicionada ao novo material de acabamento, podendo não ser necessária a remoção integral.
.Todos os trabalhos e materiais necessários para a execução de acordo com as indicações do fabricante, com os desenhos de pormenor, mapa de acabamentos e caderno de encargos.</t>
  </si>
  <si>
    <t>3.1.3.1</t>
  </si>
  <si>
    <t>Demolição de pavimentos — Campo de jogos existente</t>
  </si>
  <si>
    <t>Exterior</t>
  </si>
  <si>
    <t>3.1.3.2</t>
  </si>
  <si>
    <t>Demolição de pavimentos — Pavimentos existentes betuminosos ou cimentícios</t>
  </si>
  <si>
    <t>3.1.6</t>
  </si>
  <si>
    <t>TRABALHOS NO PASSEIO
Consolidação e reposição do passeio existente, na sequência dos trabalhos de consolidação da fundação da vedação existente.
Incluí: Todos os trabalhos e materiais necessários para a execução de acordo com as indicações do fabricante, com os desenhos de pormenor, mapa de acabamentos e caderno de encargos.</t>
  </si>
  <si>
    <t>Exterior — passeio</t>
  </si>
  <si>
    <t>3.2.1</t>
  </si>
  <si>
    <t>ESCAVAÇÃO COTAS DE PAV. EXTERIORES E/OU SOLO VEGETAL
Escavação em terreno de qualquer natureza para obtenção da cota de caixa de pavimento, incluindo carga e transporte de material.</t>
  </si>
  <si>
    <t>m³</t>
  </si>
  <si>
    <t>3.3.4</t>
  </si>
  <si>
    <t>COB. TIPO 04
Fornecimento e execução de cobertura invertida a executar nos espaços de circulação exterior no Piso 02 composta pelos seguintes trabalhos (descritos desde a Laje estrutural até ao acabamento):
. Betão leve de enchimento formar pendentes com espessura variável.
. Sistema de impermeabilização de cobertura "IMPERALUM" composto por Imperkote F, Polyplas 30 e Polyster 40T (tudo tipo ou equiv.) .
. Isolamento térmico XPS 80mm.
. Lámina de separação tipo IMPERSEP 200
. Pavimento contínuo em betão hidrófugo a formar pendentes no sentido da drenangem das águas pluviais, armado com malha sol AQ-50 tipo secil UNIPISO (12cm) - cor a definir em obra.
Incluí: Todos os trabalhos e materiais necessários para a execução de acordo com as indicações do fabricante, com os desenhos de pormenor, mapa de acabamentos e caderno de encargos.</t>
  </si>
  <si>
    <t>Exterior — circulação Piso 02</t>
  </si>
  <si>
    <t>3.4.6</t>
  </si>
  <si>
    <t>IMPERMEBILIZAÇÃO DE ZONAS DE BANHO
Fornecimento e aplicação de argamassa tipo Sikalastic®-1K ES monocomponente, reforçada com fibras e com capacidade de ponte de fissuras, à base de cimento modificado com polímeros especiais resistentes a álcalis.
Incluí: Todos os trabalhos e materiais necessários para a execução de acordo com as indicações do fabricante, com os desenhos de pormenor, mapa de acabamentos e caderno de encargos.</t>
  </si>
  <si>
    <t>3.4.6.1</t>
  </si>
  <si>
    <t>Impermeabilização de zonas de banho — Pavimento dos balneários</t>
  </si>
  <si>
    <t>Balneários (A.1.9 ; A.1.10)</t>
  </si>
  <si>
    <t>3.8.2</t>
  </si>
  <si>
    <t>RP I 01. RODAPÉS DE AZULEJO 20x15 cm Fornecimento e aplicação de revestimento em azulejo de Pasta Branca de bicozedura tipo CINCA, série "Arquitectos", dimensões 20x20cm cortado com 15cm, cor Branco, ref.: 2300, incluindo fixação com cimento cola e tomação de juntas com material apropriado. Incluí peças especiais, nomeadamente, cantoneiras convexa e côncava de 20x3.5CX e 20x3,5CV e ângulos de cantoneiras externo e interno de 3.5x3.5AECX e 3,5x3,5AICV
De acordo com as indicações do fabricante, com os desenhos de pormenor e mapa de acabamentos.</t>
  </si>
  <si>
    <t>3.8.2.1</t>
  </si>
  <si>
    <t>RP I 01 — Rodapé de azulejo 20x15 cm — Piso 01</t>
  </si>
  <si>
    <t>Piso 01</t>
  </si>
  <si>
    <t>3.9.1.2</t>
  </si>
  <si>
    <t>PAV I 02
Fornecimento e aplicação de Pavimento em Betão Armado tipo SECIL UNIPISO ( 10cm) ou equiv.
Incluí:
- Camada de betão leve de enchimento.
- Todos os trabalhos e materiais necessários para a execução de acordo com as indicações do fabricante, com os desenhos de pormenor, mapa de acabamentos e caderno de encargos.</t>
  </si>
  <si>
    <t>3.9.1.2.1</t>
  </si>
  <si>
    <t>PAV I 02 — Pavimento em betão tipo Unipiso — Piso 01</t>
  </si>
  <si>
    <t>3.9.1.2.2</t>
  </si>
  <si>
    <t>PAV I 02 — Pavimento em betão tipo Unipiso — Piso 02</t>
  </si>
  <si>
    <t>Piso 02</t>
  </si>
  <si>
    <t>3.9.1.3</t>
  </si>
  <si>
    <t>PAV I 03
Fornecimento e aplicação de Pavimento em mosaico hidráulico tipo ACL, modelo Marmocim, dimensões 410x410x18mm, cor a definir em obra, ref.: a definir em obra camada.
Incluí: Camadas de regularização e cimento cola flexível conforme ficha técnica do produto, e aplicação; todos os acessórios para o  sistema de fixação, cortes, remates e executado de acordo com as peças desenhadas e nos locais assinalados de projecto. De acordo com as indicações do fabricante, com os desenhos de pormenor, mapa de acabamentos e caderno de encargos.</t>
  </si>
  <si>
    <t>3.9.1.3.1</t>
  </si>
  <si>
    <t>PAV I 03 — Mosaico hidráulico — Balneários</t>
  </si>
  <si>
    <t>3.9.1.3.2</t>
  </si>
  <si>
    <t>PAV I 03 — Mosaico hidráulico — I.S. Alunos</t>
  </si>
  <si>
    <t>I.S. Alunos (A.1.7 ; A.1.8)</t>
  </si>
  <si>
    <t>3.9.1.3.3</t>
  </si>
  <si>
    <t>PAV I 03 — Mosaico hidráulico — Gabinete Médico</t>
  </si>
  <si>
    <t>Gab. Médico (A.1.5)</t>
  </si>
  <si>
    <t>3.9.1.3.4</t>
  </si>
  <si>
    <t>PAV I 03 — Mosaico hidráulico — I.S. Professores</t>
  </si>
  <si>
    <t>I.S. Professores (A.1.6 ; A.1.6.1 ; A.1.6.2)</t>
  </si>
  <si>
    <t>3.9.1.3.5</t>
  </si>
  <si>
    <t>PAV I 03 — Mosaico hidráulico — Arrumos</t>
  </si>
  <si>
    <t>Arrumos (A.1.12 ; A.1.13)</t>
  </si>
  <si>
    <t>3.9.1.3.6</t>
  </si>
  <si>
    <t>PAV I 03 — Mosaico hidráulico — I.S. Visitantes</t>
  </si>
  <si>
    <t>I.S. Visitantes (A.2.3 ; A.2.4)</t>
  </si>
  <si>
    <t>3.9.1.4</t>
  </si>
  <si>
    <t>PAV I 04
Fornecimento e aplicação de Pavimento em lajes préfabricadas de betão tipo ACL ou equiv., cor a definir em obra. Incluí: Todos os trabalhos e materiais necessários para a execução de acordo com as indicações do fabricante, com os desenhos de pormenor, mapa de acabamentos e caderno de encargos.</t>
  </si>
  <si>
    <t>3.9.1.4.1</t>
  </si>
  <si>
    <t>PAV I 04 — Lajes pré-fabricadas de betão — Degrau de remate em bancadas interiores</t>
  </si>
  <si>
    <t>Bancadas interiores — Piso 02</t>
  </si>
  <si>
    <t>3.9.1.5</t>
  </si>
  <si>
    <t>DEGRAUS DE ESCADA DE BANCADA INT. Fornecimento e aplicação de Degraus préfabricados de betão tipo ACL ou equiv. (110x30x19 cm), cor a definir em obra.
Incluí: Todos os trabalhos e materiais necessários para a execução de acordo com as indicações do fabricante, com os desenhos de pormenor, mapa de acabamentos e caderno de encargos.</t>
  </si>
  <si>
    <t>Bancadas interiores</t>
  </si>
  <si>
    <t>3.9.1.7</t>
  </si>
  <si>
    <t>MICROCIMENTO EM ESCADAS
Fornecimento e aplicação de revestimento em microcimento tipo sistema SIKA ou equivalente, de cor a definir em obra.
Incluí: Todos os trabalhos e materiais necessários para a execução de acordo com as indicações do fabricante, com os desenhos de pormenor, mapa de acabamentos e caderno de encargos.</t>
  </si>
  <si>
    <t>Escadas</t>
  </si>
  <si>
    <t>3.9.2.1</t>
  </si>
  <si>
    <t>PAV E 04
Fornecimento e aplicação de Pavimento em lajes préfabricadas de betão tipo ACL ou equiv., cor a definir em obra. Incluí:
.Todas as camadas de assentamento conforme P.A.
.Todos os trabalhos e materiais necessários para a execução de acordo com as indicações do fabricante, com os desenhos de pormenor, mapa de acabamentos e caderno de encargos.</t>
  </si>
  <si>
    <t>3.9.2.1.1</t>
  </si>
  <si>
    <t>PAV E 04 — Lajes pré-fabricadas de betão — Degrau de remate em bancadas exteriores</t>
  </si>
  <si>
    <t>Bancadas exteriores — Piso 02</t>
  </si>
  <si>
    <t>3.9.2.2</t>
  </si>
  <si>
    <t>DEGRAUS DE ESCADA DE BANCADA EXT. Fornecimento e aplicação de Degraus préfabricados de betão tipo ACL ou equiv. (110x30x19 cm), cor a definir em obra.
Incluí: Todos os trabalhos e materiais necessários para a execução de acordo com as indicações do fabricante, com os desenhos de pormenor, mapa de acabamentos e caderno de encargos.</t>
  </si>
  <si>
    <t>Bancadas exteriores</t>
  </si>
  <si>
    <t>3.9.2.3</t>
  </si>
  <si>
    <t>SOLEIRAS EXT.
Fornecimento e aplicação de Soleira em Betão Polimérico tipo Tubani ou equiv., a aplicar em vãos interiores como elemento de transição entre espaços, com uma epessura média de 30 a 50mm e cor a definir em obra.
Incluí: Todos os trabalhos e materiais necessários para a execução de acordo com as indicações do fabricante, com os desenhos de pormenor, mapa de acabamentos e caderno de encargos.
Deve ser verificado o desenho correspondente à secção de cada tramo de soleira nos desenhos de pormenor do Projeto de Arquitetura.</t>
  </si>
  <si>
    <t>3.9.2.3.1</t>
  </si>
  <si>
    <t>Soleiras exteriores — 400 mm de largura</t>
  </si>
  <si>
    <t>3.9.2.3.2</t>
  </si>
  <si>
    <t>Soleiras exteriores — 200 mm de largura</t>
  </si>
  <si>
    <t>3.9.2.4</t>
  </si>
  <si>
    <t>LAJETAS DE BETÃO PRÉFABRICADAS 400 X 600
Fornecimento e aplicação de Pavimento em lajes préfabricadas de betão tipo ACL ou equiv., cor a definir em obra. Incluí:
.Todas as camadas de assentamento conforme P.A.
.Todos os trabalhos e materiais necessários para a execução de acordo com as indicações do fabricante, com os desenhos de pormenor, mapa de acabamentos e caderno de encargos.</t>
  </si>
  <si>
    <t>3.9.2.5</t>
  </si>
  <si>
    <t>PAV E 01
Fornecimento e aplicação de Pavimento tipo Secil Unipiso de 12cm, assente em caixa de brita de 20cm e com separação com manta tipo IMPERSEP 200, cor a definir em obra.
Incluí: Todos os trabalhos e materiais necessários para a execução de acordo com as indicações do fabricante, com os desenhos de pormenor, mapa de acabamentos e caderno de encargos.</t>
  </si>
  <si>
    <t>3.9.2.6</t>
  </si>
  <si>
    <t>GUIA E 01.
Fornecimento e aplicação de guia de separação de pavimentos exteriores em chapa de aço corten de 10mm de espessura com uma altura de 20cm, cravada a uma fundação de betão ligeiramente armada (incluída) conforme peças desenhadas.
Incluí: Todos os trabalhos e materiais necessários para a execução de acordo com as indicações do fabricante, com os desenhos de pormenor, mapa de acabamentos e caderno de encargos.</t>
  </si>
  <si>
    <t>3.9.2.7</t>
  </si>
  <si>
    <t>CALDEIRA DE ÁRVORE EM AÇO CORTEN
Fornecimento e aplicação de caldeira em chapa de aço corten de 10mm de espessura com uma altura de 20cm, cravada a uma fundação de betão ligeiramente armada (incluída) conforme peças desenhadas.
Incluí: Todos os trabalhos e materiais necessários para a execução de acordo com as indicações do fabricante, com os desenhos de pormenor, mapa de acabamentos e caderno de encargos.</t>
  </si>
  <si>
    <t>3.9.2.8</t>
  </si>
  <si>
    <t>PAV E 02
Fornecimento e aplicação de Pavimento Desportivo base betuiminosa (Base e camada de desgaste) com agregado em calcário branco, revestido superficialmente com resina tipo Sikafloor® Colorsport. Incluí caixa de brita de 20cm.
Incluí: Todos os trabalhos e materiais necessários para a execução de acordo com as indicações do fabricante, com os desenhos de pormenor, mapa de acabamentos e caderno de encargos.</t>
  </si>
  <si>
    <t>Campo de jogos exterior</t>
  </si>
  <si>
    <t>3.9.2.9</t>
  </si>
  <si>
    <t>PAV E 03
Fornecimento e aplicação de Pavimento Betuminoso base betuiminosa (Base e camada de desgaste) com agregado em calcário branco. Incluí caixa de brita de 20cm.
Incluí: Todos os trabalhos e materiais necessários para a execução de acordo com as indicações do fabricante, com os desenhos de pormenor, mapa de acabamentos e caderno de encargos.</t>
  </si>
  <si>
    <t>3.9.2.10</t>
  </si>
  <si>
    <t>GUIA RASA SEPARAÇÃO 400 (1.00 X 0.40 x 0.20 M)
Fornecimento e aplicação de Guia Préfabricada de betão tipo ACL ou equiv., cor a definir em obra.
Incluí:
.Todas as camadas de assentamento conforme P.A.
.Todos os trabalhos e materiais necessários para a execução de acordo com as indicações do fabricante, com os desenhos de pormenor, mapa de acabamentos e caderno de encargos.</t>
  </si>
  <si>
    <t>3.9.2.11</t>
  </si>
  <si>
    <t>PAV E 05
Fornecimento e aplicação de Pavimento em elementos préfabricados de dimensões variadas de betão armado ou reforçado com fibras GRC tipo ACL ou equiv., cor a definir em obra.
Não se considera possível a sua pré-fabricação em obra.
Incluí:
.Todas as camadas de assentamento conforme P.A.
.Todos os trabalhos e materiais necessários para a execução de acordo com as indicações do fabricante, com os desenhos de pormenor, mapa de acabamentos e caderno de encargos</t>
  </si>
  <si>
    <t>3.9.2.12</t>
  </si>
  <si>
    <t>GUIA RASA SEPARAÇÃO 100 (1.00 X 0.10 x 0.20 M)
Fornecimento e aplicação de Guia Préfabricada de betão tipo ACL ou equiv., cor a definir em obra.
Incluí:
.Todas as camadas de assentamento conforme P.A.
.Todos os trabalhos e materiais necessários para a execução de acordo com as indicações do fabricante, com os desenhos de pormenor, mapa de acabamentos e caderno de encargos.</t>
  </si>
  <si>
    <t>3.9.2.13</t>
  </si>
  <si>
    <t>LAJETAS DE BETÃO 60 x 40 (REPOSIÇÃO EXSITENTES)
.Inclui o fornecimento e aplicação de lajetas semelhantes às existentes para substituição de elementos existentes danificados (ou danificados no processo de remoção para a execução do trabalho).
.Todos os trabalhos e materiais necessários para a execução de acordo com as indicações do fabricante, com os desenhos de pormenor, mapa de acabamentos e caderno de encargos.</t>
  </si>
  <si>
    <t>3.11.2.26</t>
  </si>
  <si>
    <t>SOLEIRAS EM CHAPA QUINADA
Fornecimento e aplicação de soleiras e remates em chapa quinada de aço metalizado para lacar à cor RAL igual aos caixilhos, ferragens e todos os acessórios necessários ao seu funcionamento. Conforme mapa de vãos e desenhos de pormenor.</t>
  </si>
  <si>
    <t>3.11.2.26.1</t>
  </si>
  <si>
    <t>Soleiras em chapa quinada — VE.C.01</t>
  </si>
  <si>
    <t>Vãos exteriores</t>
  </si>
  <si>
    <t>3.11.2.26.2</t>
  </si>
  <si>
    <t>Soleiras em chapa quinada — VE.1.11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</si>
</sst>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\-#,##0.00;\-"/>
  </numFmts>
  <fonts count="13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4D4D4D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i/>
      <sz val="9"/>
      <color theme="1"/>
      <name val="Arial"/>
      <family val="2"/>
    </font>
    <font>
      <b/>
      <i/>
      <sz val="9"/>
      <name val="Arial"/>
      <family val="2"/>
    </font>
    <font>
      <sz val="9"/>
      <color theme="1"/>
      <name val="Arial"/>
      <family val="2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rgb="FF1F4E79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1F4E79"/>
      </patternFill>
    </fill>
    <fill>
      <patternFill patternType="solid">
        <fgColor theme="0" tint="-4.9989318521683403E-2"/>
        <bgColor rgb="FF1F4E79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9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1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right" vertical="center"/>
      <protection hidden="1"/>
    </xf>
    <xf numFmtId="0" fontId="3" fillId="0" borderId="0" xfId="0" applyFont="1"/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1" fillId="2" borderId="4" xfId="0" applyFont="1" applyFill="1" applyBorder="1" applyAlignment="1">
      <alignment vertical="center"/>
    </xf>
    <xf numFmtId="0" fontId="0" fillId="4" borderId="0" xfId="0" applyFill="1"/>
    <xf numFmtId="14" fontId="1" fillId="2" borderId="6" xfId="0" applyNumberFormat="1" applyFont="1" applyFill="1" applyBorder="1" applyAlignment="1">
      <alignment vertical="center"/>
    </xf>
    <xf numFmtId="0" fontId="0" fillId="0" borderId="9" xfId="0" applyBorder="1"/>
    <xf numFmtId="0" fontId="5" fillId="5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7" borderId="10" xfId="0" applyFill="1" applyBorder="1"/>
    <xf numFmtId="0" fontId="5" fillId="6" borderId="11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0" fillId="0" borderId="13" xfId="0" applyBorder="1"/>
    <xf numFmtId="0" fontId="0" fillId="4" borderId="10" xfId="0" applyFill="1" applyBorder="1"/>
    <xf numFmtId="0" fontId="8" fillId="4" borderId="10" xfId="0" applyFont="1" applyFill="1" applyBorder="1" applyAlignment="1">
      <alignment horizontal="center" vertical="center"/>
    </xf>
    <xf numFmtId="0" fontId="0" fillId="4" borderId="8" xfId="0" applyFill="1" applyBorder="1"/>
    <xf numFmtId="0" fontId="9" fillId="4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horizontal="center" vertical="center" wrapText="1"/>
    </xf>
    <xf numFmtId="164" fontId="10" fillId="0" borderId="8" xfId="0" applyNumberFormat="1" applyFont="1" applyBorder="1" applyAlignment="1">
      <alignment vertical="top"/>
    </xf>
    <xf numFmtId="164" fontId="10" fillId="0" borderId="8" xfId="0" applyNumberFormat="1" applyFont="1" applyBorder="1" applyAlignment="1">
      <alignment horizontal="center" vertical="top"/>
    </xf>
    <xf numFmtId="164" fontId="10" fillId="0" borderId="8" xfId="0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hidden="1"/>
    </xf>
    <xf numFmtId="0" fontId="10" fillId="2" borderId="0" xfId="0" applyFont="1" applyFill="1" applyAlignment="1">
      <alignment horizontal="center"/>
    </xf>
    <xf numFmtId="0" fontId="5" fillId="2" borderId="3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7" borderId="8" xfId="0" applyFont="1" applyFill="1" applyBorder="1"/>
    <xf numFmtId="0" fontId="12" fillId="4" borderId="8" xfId="0" applyFont="1" applyFill="1" applyBorder="1"/>
    <xf numFmtId="0" fontId="12" fillId="0" borderId="8" xfId="0" applyFont="1" applyBorder="1"/>
    <xf numFmtId="0" fontId="12" fillId="7" borderId="10" xfId="0" applyFont="1" applyFill="1" applyBorder="1"/>
    <xf numFmtId="0" fontId="12" fillId="4" borderId="10" xfId="0" applyFont="1" applyFill="1" applyBorder="1"/>
    <xf numFmtId="0" fontId="12" fillId="0" borderId="13" xfId="0" applyFont="1" applyBorder="1"/>
    <xf numFmtId="0" fontId="12" fillId="0" borderId="0" xfId="0" applyFont="1"/>
    <xf numFmtId="0" fontId="10" fillId="2" borderId="0" xfId="0" applyFont="1" applyFill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/>
    </xf>
    <xf numFmtId="0" fontId="12" fillId="4" borderId="8" xfId="0" applyFont="1" applyFill="1" applyBorder="1" applyAlignment="1">
      <alignment horizontal="center"/>
    </xf>
    <xf numFmtId="0" fontId="12" fillId="0" borderId="8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6" fillId="0" borderId="1" xfId="0" applyFont="1" applyBorder="1" applyAlignment="1" applyProtection="1">
      <alignment vertical="center"/>
      <protection hidden="1"/>
    </xf>
    <xf numFmtId="0" fontId="10" fillId="2" borderId="0" xfId="0" applyFont="1" applyFill="1"/>
    <xf numFmtId="0" fontId="7" fillId="2" borderId="0" xfId="0" applyFont="1" applyFill="1"/>
    <xf numFmtId="0" fontId="6" fillId="2" borderId="3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12" fillId="4" borderId="12" xfId="0" applyFont="1" applyFill="1" applyBorder="1"/>
    <xf numFmtId="0" fontId="12" fillId="0" borderId="11" xfId="0" applyFont="1" applyBorder="1" applyAlignment="1">
      <alignment horizontal="center" vertical="center"/>
    </xf>
    <xf numFmtId="0" fontId="12" fillId="0" borderId="14" xfId="0" applyFont="1" applyBorder="1"/>
    <xf numFmtId="0" fontId="12" fillId="0" borderId="11" xfId="0" applyFont="1" applyBorder="1"/>
    <xf numFmtId="164" fontId="5" fillId="0" borderId="8" xfId="0" applyNumberFormat="1" applyFont="1" applyBorder="1" applyAlignment="1">
      <alignment horizontal="center" vertical="top"/>
    </xf>
    <xf numFmtId="0" fontId="5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8" fillId="7" borderId="0" xfId="0" applyFont="1" applyFill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/>
    </xf>
    <xf numFmtId="164" fontId="5" fillId="7" borderId="8" xfId="0" applyNumberFormat="1" applyFont="1" applyFill="1" applyBorder="1" applyAlignment="1">
      <alignment horizontal="center" vertical="center"/>
    </xf>
    <xf numFmtId="164" fontId="5" fillId="4" borderId="8" xfId="0" applyNumberFormat="1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3" fontId="10" fillId="4" borderId="0" xfId="0" applyNumberFormat="1" applyFont="1" applyFill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3" fontId="10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12"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243840</xdr:colOff>
      <xdr:row>0</xdr:row>
      <xdr:rowOff>30480</xdr:rowOff>
    </xdr:from>
    <xdr:ext cx="666288" cy="855299"/>
    <xdr:pic>
      <xdr:nvPicPr>
        <xdr:cNvPr id="2" name="Imagem 1">
          <a:extLst>
            <a:ext uri="{FF2B5EF4-FFF2-40B4-BE49-F238E27FC236}">
              <a16:creationId xmlns:a16="http://schemas.microsoft.com/office/drawing/2014/main" id="{00B89CF1-CAA9-4A85-AFC4-46709A0F1B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" y="30480"/>
          <a:ext cx="666288" cy="8400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AFBEF-1D54-4853-9843-18D6A01975AF}">
  <dimension ref="A1:P191"/>
  <sheetViews>
    <sheetView tabSelected="1" topLeftCell="A11" workbookViewId="0">
      <selection activeCell="L31" sqref="L31"/>
    </sheetView>
  </sheetViews>
  <sheetFormatPr defaultRowHeight="14.4" x14ac:dyDescent="0.3"/>
  <cols>
    <col min="2" max="2" width="67.33203125" customWidth="1"/>
    <col min="3" max="3" width="19.5546875" style="50" customWidth="1"/>
    <col min="4" max="4" width="10.44140625" style="50" customWidth="1"/>
    <col min="5" max="5" width="8.21875" style="59" customWidth="1"/>
    <col min="6" max="6" width="14.5546875" style="50" customWidth="1"/>
    <col min="7" max="7" width="16.88671875" customWidth="1"/>
    <col min="8" max="8" width="8.77734375" customWidth="1"/>
    <col min="9" max="10" width="8.88671875" hidden="1" customWidth="1"/>
    <col min="12" max="12" width="18.6640625" customWidth="1"/>
  </cols>
  <sheetData>
    <row r="1" spans="1:16" ht="15" thickBot="1" x14ac:dyDescent="0.35">
      <c r="A1" s="33"/>
      <c r="B1" s="1"/>
      <c r="C1" s="60"/>
      <c r="D1" s="60"/>
      <c r="E1" s="39"/>
      <c r="F1" s="39"/>
      <c r="G1" s="2" t="s">
        <v>0</v>
      </c>
      <c r="H1" s="3"/>
    </row>
    <row r="2" spans="1:16" ht="15" thickTop="1" x14ac:dyDescent="0.3">
      <c r="A2" s="4"/>
      <c r="B2" s="5"/>
      <c r="C2" s="61"/>
      <c r="D2" s="61"/>
      <c r="E2" s="51"/>
      <c r="F2" s="40"/>
      <c r="G2" s="6"/>
      <c r="H2" s="3"/>
    </row>
    <row r="3" spans="1:16" x14ac:dyDescent="0.3">
      <c r="A3" s="4"/>
      <c r="B3" s="5"/>
      <c r="C3" s="61"/>
      <c r="D3" s="61"/>
      <c r="E3" s="51"/>
      <c r="F3" s="40"/>
      <c r="G3" s="6"/>
      <c r="H3" s="3"/>
    </row>
    <row r="4" spans="1:16" x14ac:dyDescent="0.3">
      <c r="A4" s="4"/>
      <c r="B4" s="5"/>
      <c r="C4" s="62"/>
      <c r="D4" s="62"/>
      <c r="E4" s="51"/>
      <c r="F4" s="40"/>
      <c r="G4" s="6"/>
      <c r="H4" s="3"/>
    </row>
    <row r="5" spans="1:16" x14ac:dyDescent="0.3">
      <c r="A5" s="4"/>
      <c r="B5" s="5"/>
      <c r="C5" s="62"/>
      <c r="D5" s="62"/>
      <c r="E5" s="51"/>
      <c r="F5" s="40"/>
      <c r="G5" s="6"/>
      <c r="H5" s="3"/>
    </row>
    <row r="6" spans="1:16" x14ac:dyDescent="0.3">
      <c r="A6" s="72" t="s">
        <v>1</v>
      </c>
      <c r="B6" s="73"/>
      <c r="C6" s="63"/>
      <c r="D6" s="65" t="s">
        <v>2</v>
      </c>
      <c r="E6" s="41"/>
      <c r="F6" s="41"/>
      <c r="G6" s="7" t="s">
        <v>3</v>
      </c>
      <c r="H6" s="3"/>
    </row>
    <row r="7" spans="1:16" x14ac:dyDescent="0.3">
      <c r="A7" s="74" t="s">
        <v>32</v>
      </c>
      <c r="B7" s="75"/>
      <c r="C7" s="64"/>
      <c r="D7" s="64"/>
      <c r="E7" s="52"/>
      <c r="F7" s="42" t="s">
        <v>4</v>
      </c>
      <c r="G7" s="9">
        <v>46304</v>
      </c>
      <c r="H7" s="3"/>
    </row>
    <row r="8" spans="1:16" x14ac:dyDescent="0.3">
      <c r="A8" s="10"/>
      <c r="B8" s="10"/>
      <c r="C8" s="43"/>
      <c r="D8" s="43"/>
      <c r="E8" s="53"/>
      <c r="F8" s="43"/>
      <c r="G8" s="10"/>
      <c r="H8" s="3"/>
    </row>
    <row r="9" spans="1:16" s="8" customFormat="1" ht="31.2" customHeight="1" x14ac:dyDescent="0.3">
      <c r="A9" s="34" t="s">
        <v>23</v>
      </c>
      <c r="B9" s="11" t="s">
        <v>5</v>
      </c>
      <c r="C9" s="11" t="s">
        <v>6</v>
      </c>
      <c r="D9" s="11" t="s">
        <v>7</v>
      </c>
      <c r="E9" s="11" t="s">
        <v>8</v>
      </c>
      <c r="F9" s="11" t="s">
        <v>34</v>
      </c>
      <c r="G9" s="11" t="s">
        <v>35</v>
      </c>
      <c r="H9" s="3"/>
      <c r="I9"/>
      <c r="J9"/>
      <c r="K9"/>
      <c r="L9"/>
      <c r="M9"/>
      <c r="N9"/>
      <c r="O9"/>
      <c r="P9"/>
    </row>
    <row r="10" spans="1:16" s="8" customFormat="1" ht="31.2" customHeight="1" x14ac:dyDescent="0.3">
      <c r="A10" s="35"/>
      <c r="B10" s="22" t="s">
        <v>29</v>
      </c>
      <c r="C10" s="13"/>
      <c r="D10" s="20"/>
      <c r="E10" s="13" t="s">
        <v>33</v>
      </c>
      <c r="F10" s="13"/>
      <c r="G10" s="13"/>
      <c r="H10" s="3"/>
      <c r="I10"/>
      <c r="J10"/>
      <c r="K10"/>
      <c r="L10"/>
      <c r="M10"/>
      <c r="N10"/>
      <c r="O10"/>
      <c r="P10"/>
    </row>
    <row r="11" spans="1:16" s="30" customFormat="1" ht="92.4" customHeight="1" x14ac:dyDescent="0.3">
      <c r="A11" s="32" t="s">
        <v>30</v>
      </c>
      <c r="B11" s="31" t="s">
        <v>31</v>
      </c>
      <c r="C11" s="12"/>
      <c r="D11" s="29"/>
      <c r="E11" s="12"/>
      <c r="F11" s="12"/>
      <c r="G11" s="12"/>
    </row>
    <row r="12" spans="1:16" s="30" customFormat="1" ht="11.4" customHeight="1" x14ac:dyDescent="0.3">
      <c r="A12" s="32"/>
      <c r="B12" s="71"/>
      <c r="C12" s="12"/>
      <c r="D12" s="29"/>
      <c r="E12" s="12"/>
      <c r="F12" s="12"/>
      <c r="G12" s="12"/>
    </row>
    <row r="13" spans="1:16" x14ac:dyDescent="0.3">
      <c r="A13" s="15" t="s">
        <v>9</v>
      </c>
      <c r="B13" s="14" t="s">
        <v>10</v>
      </c>
      <c r="C13" s="14" t="s">
        <v>11</v>
      </c>
      <c r="D13" s="21" t="s">
        <v>12</v>
      </c>
      <c r="E13" s="70" t="s">
        <v>33</v>
      </c>
      <c r="F13" s="38">
        <v>1100</v>
      </c>
      <c r="G13" s="38">
        <v>1100</v>
      </c>
      <c r="H13" s="3"/>
    </row>
    <row r="14" spans="1:16" x14ac:dyDescent="0.3">
      <c r="A14" s="15"/>
      <c r="B14" s="14"/>
      <c r="C14" s="14"/>
      <c r="D14" s="21"/>
      <c r="E14" s="70"/>
      <c r="F14" s="38"/>
      <c r="G14" s="38"/>
      <c r="H14" s="3"/>
    </row>
    <row r="15" spans="1:16" x14ac:dyDescent="0.3">
      <c r="A15" s="15" t="s">
        <v>13</v>
      </c>
      <c r="B15" s="14" t="s">
        <v>14</v>
      </c>
      <c r="C15" s="14" t="s">
        <v>15</v>
      </c>
      <c r="D15" s="21" t="s">
        <v>12</v>
      </c>
      <c r="E15" s="70" t="s">
        <v>33</v>
      </c>
      <c r="F15" s="38">
        <v>396</v>
      </c>
      <c r="G15" s="16">
        <v>375</v>
      </c>
      <c r="H15" s="3"/>
    </row>
    <row r="16" spans="1:16" x14ac:dyDescent="0.3">
      <c r="A16" s="15"/>
      <c r="B16" s="14"/>
      <c r="C16" s="14"/>
      <c r="D16" s="21"/>
      <c r="E16" s="70"/>
      <c r="F16" s="38"/>
      <c r="G16" s="16"/>
      <c r="H16" s="3"/>
    </row>
    <row r="17" spans="1:16" ht="25.2" customHeight="1" x14ac:dyDescent="0.3">
      <c r="A17" s="15" t="s">
        <v>16</v>
      </c>
      <c r="B17" s="14" t="s">
        <v>17</v>
      </c>
      <c r="C17" s="14" t="s">
        <v>18</v>
      </c>
      <c r="D17" s="21" t="s">
        <v>12</v>
      </c>
      <c r="E17" s="70" t="s">
        <v>33</v>
      </c>
      <c r="F17" s="38">
        <v>102</v>
      </c>
      <c r="G17" s="16">
        <v>103.85</v>
      </c>
      <c r="H17" s="3"/>
    </row>
    <row r="18" spans="1:16" ht="12.6" customHeight="1" x14ac:dyDescent="0.3">
      <c r="A18" s="15"/>
      <c r="B18" s="14"/>
      <c r="C18" s="14"/>
      <c r="D18" s="21"/>
      <c r="E18" s="70"/>
      <c r="F18" s="38"/>
      <c r="G18" s="16"/>
      <c r="H18" s="3"/>
    </row>
    <row r="19" spans="1:16" x14ac:dyDescent="0.3">
      <c r="A19" s="15" t="s">
        <v>19</v>
      </c>
      <c r="B19" s="14" t="s">
        <v>20</v>
      </c>
      <c r="C19" s="14" t="s">
        <v>21</v>
      </c>
      <c r="D19" s="21" t="s">
        <v>22</v>
      </c>
      <c r="E19" s="70" t="s">
        <v>33</v>
      </c>
      <c r="F19" s="38">
        <v>1602.9</v>
      </c>
      <c r="G19" s="16">
        <f>SUM(G13,G15,G17)</f>
        <v>1578.85</v>
      </c>
      <c r="H19" s="3"/>
    </row>
    <row r="20" spans="1:16" x14ac:dyDescent="0.3">
      <c r="A20" s="15"/>
      <c r="B20" s="14"/>
      <c r="C20" s="14"/>
      <c r="D20" s="21"/>
      <c r="E20" s="37"/>
      <c r="F20" s="38"/>
      <c r="G20" s="16"/>
      <c r="H20" s="3"/>
    </row>
    <row r="21" spans="1:16" ht="31.2" customHeight="1" x14ac:dyDescent="0.3">
      <c r="A21" s="77" t="s">
        <v>36</v>
      </c>
      <c r="B21" s="76" t="s">
        <v>37</v>
      </c>
      <c r="C21" s="47"/>
      <c r="D21" s="47"/>
      <c r="E21" s="78" t="s">
        <v>33</v>
      </c>
      <c r="F21" s="44"/>
      <c r="G21" s="19"/>
      <c r="H21" s="3"/>
    </row>
    <row r="22" spans="1:16" s="8" customFormat="1" ht="13.2" customHeight="1" x14ac:dyDescent="0.3">
      <c r="A22" s="25"/>
      <c r="B22" s="28"/>
      <c r="C22" s="48"/>
      <c r="D22" s="66"/>
      <c r="E22" s="54"/>
      <c r="F22" s="45"/>
      <c r="G22" s="25"/>
      <c r="H22" s="3"/>
      <c r="I22"/>
      <c r="J22"/>
      <c r="K22"/>
      <c r="L22"/>
      <c r="M22"/>
      <c r="N22"/>
      <c r="O22"/>
      <c r="P22"/>
    </row>
    <row r="23" spans="1:16" ht="21" customHeight="1" x14ac:dyDescent="0.3">
      <c r="A23" s="15" t="s">
        <v>24</v>
      </c>
      <c r="B23" s="14" t="s">
        <v>25</v>
      </c>
      <c r="C23" s="14" t="s">
        <v>11</v>
      </c>
      <c r="D23" s="21" t="s">
        <v>12</v>
      </c>
      <c r="E23" s="79" t="s">
        <v>33</v>
      </c>
      <c r="F23" s="80">
        <v>1100</v>
      </c>
      <c r="G23" s="87">
        <v>1100</v>
      </c>
      <c r="H23" s="3"/>
    </row>
    <row r="24" spans="1:16" ht="13.8" customHeight="1" x14ac:dyDescent="0.3">
      <c r="A24" s="15"/>
      <c r="B24" s="14"/>
      <c r="C24" s="14"/>
      <c r="D24" s="21"/>
      <c r="E24" s="23"/>
      <c r="F24" s="36"/>
      <c r="G24" s="18"/>
      <c r="H24" s="3"/>
    </row>
    <row r="25" spans="1:16" ht="16.2" customHeight="1" x14ac:dyDescent="0.3">
      <c r="A25" s="15" t="s">
        <v>26</v>
      </c>
      <c r="B25" s="14" t="s">
        <v>27</v>
      </c>
      <c r="C25" s="14" t="s">
        <v>15</v>
      </c>
      <c r="D25" s="21" t="s">
        <v>12</v>
      </c>
      <c r="E25" s="79" t="s">
        <v>33</v>
      </c>
      <c r="F25" s="38">
        <v>380</v>
      </c>
      <c r="G25" s="23">
        <v>375</v>
      </c>
      <c r="H25" s="3"/>
    </row>
    <row r="26" spans="1:16" ht="13.8" hidden="1" customHeight="1" x14ac:dyDescent="0.3">
      <c r="A26" s="17"/>
      <c r="B26" s="17"/>
      <c r="C26" s="55"/>
      <c r="D26" s="67"/>
      <c r="E26" s="55"/>
      <c r="F26" s="46"/>
      <c r="G26" s="18"/>
      <c r="H26" s="3"/>
    </row>
    <row r="27" spans="1:16" ht="13.8" customHeight="1" x14ac:dyDescent="0.3">
      <c r="A27" s="17"/>
      <c r="B27" s="17"/>
      <c r="C27" s="55"/>
      <c r="D27" s="67"/>
      <c r="E27" s="55"/>
      <c r="F27" s="55"/>
      <c r="G27" s="18"/>
      <c r="H27" s="3"/>
    </row>
    <row r="28" spans="1:16" ht="111.6" customHeight="1" x14ac:dyDescent="0.3">
      <c r="A28" s="86" t="s">
        <v>28</v>
      </c>
      <c r="B28" s="81" t="s">
        <v>38</v>
      </c>
      <c r="C28" s="82" t="s">
        <v>21</v>
      </c>
      <c r="D28" s="83" t="s">
        <v>22</v>
      </c>
      <c r="E28" s="84" t="s">
        <v>39</v>
      </c>
      <c r="F28" s="85">
        <v>234</v>
      </c>
      <c r="G28" s="27"/>
    </row>
    <row r="29" spans="1:16" s="8" customFormat="1" ht="13.8" customHeight="1" x14ac:dyDescent="0.3">
      <c r="A29" s="25"/>
      <c r="B29" s="26"/>
      <c r="C29" s="48"/>
      <c r="D29" s="48"/>
      <c r="E29" s="56"/>
      <c r="F29" s="48"/>
      <c r="G29" s="27"/>
    </row>
    <row r="30" spans="1:16" ht="150.0" customHeight="1" x14ac:dyDescent="0.3">
      <c r="A30" s="77" t="s">
        <v>40</v>
      </c>
      <c r="B30" s="76" t="s">
        <v>41</v>
      </c>
      <c r="C30" s="47"/>
      <c r="D30" s="47"/>
      <c r="E30" s="78" t="s">
        <v>33</v>
      </c>
      <c r="F30" s="44"/>
      <c r="G30" s="19"/>
      <c r="H30" s="3"/>
    </row>
    <row r="31" spans="1:16" s="8" customFormat="1" ht="13.2" customHeight="1" x14ac:dyDescent="0.3">
      <c r="A31" s="25"/>
      <c r="B31" s="28"/>
      <c r="C31" s="48"/>
      <c r="D31" s="66"/>
      <c r="E31" s="54"/>
      <c r="F31" s="45"/>
      <c r="G31" s="25"/>
      <c r="H31" s="3"/>
    </row>
    <row r="32" spans="1:16" x14ac:dyDescent="0.3">
      <c r="A32" s="15" t="s">
        <v>42</v>
      </c>
      <c r="B32" s="14" t="s">
        <v>43</v>
      </c>
      <c r="C32" s="14" t="s">
        <v>11</v>
      </c>
      <c r="D32" s="21" t="s">
        <v>12</v>
      </c>
      <c r="E32" s="79" t="s">
        <v>33</v>
      </c>
      <c r="F32" s="38">
        <v>775</v>
      </c>
      <c r="G32" s="16"/>
      <c r="H32" s="3"/>
    </row>
    <row r="33" spans="1:16" ht="13.8" customHeight="1" x14ac:dyDescent="0.3">
      <c r="A33" s="17"/>
      <c r="B33" s="17"/>
      <c r="C33" s="55"/>
      <c r="D33" s="67"/>
      <c r="E33" s="55"/>
      <c r="F33" s="55"/>
      <c r="G33" s="18"/>
      <c r="H33" s="3"/>
    </row>
    <row r="34" spans="1:16" ht="150.0" customHeight="1" x14ac:dyDescent="0.3">
      <c r="A34" s="77" t="s">
        <v>44</v>
      </c>
      <c r="B34" s="76" t="s">
        <v>45</v>
      </c>
      <c r="C34" s="47"/>
      <c r="D34" s="47"/>
      <c r="E34" s="78" t="s">
        <v>39</v>
      </c>
      <c r="F34" s="44"/>
      <c r="G34" s="19"/>
      <c r="H34" s="3"/>
    </row>
    <row r="35" spans="1:16" s="8" customFormat="1" ht="13.2" customHeight="1" x14ac:dyDescent="0.3">
      <c r="A35" s="25"/>
      <c r="B35" s="28"/>
      <c r="C35" s="48"/>
      <c r="D35" s="66"/>
      <c r="E35" s="54"/>
      <c r="F35" s="45"/>
      <c r="G35" s="25"/>
      <c r="H35" s="3"/>
    </row>
    <row r="36" spans="1:16" x14ac:dyDescent="0.3">
      <c r="A36" s="15" t="s">
        <v>46</v>
      </c>
      <c r="B36" s="14" t="s">
        <v>47</v>
      </c>
      <c r="C36" s="14" t="s">
        <v>11</v>
      </c>
      <c r="D36" s="21" t="s">
        <v>12</v>
      </c>
      <c r="E36" s="79" t="s">
        <v>39</v>
      </c>
      <c r="F36" s="38">
        <v>90</v>
      </c>
      <c r="G36" s="16"/>
      <c r="H36" s="3"/>
    </row>
    <row r="37" spans="1:16" ht="13.8" customHeight="1" x14ac:dyDescent="0.3">
      <c r="A37" s="17"/>
      <c r="B37" s="17"/>
      <c r="C37" s="55"/>
      <c r="D37" s="67"/>
      <c r="E37" s="55"/>
      <c r="F37" s="55"/>
      <c r="G37" s="18"/>
      <c r="H37" s="3"/>
    </row>
    <row r="38" spans="1:16" ht="90.0" customHeight="1" x14ac:dyDescent="0.3">
      <c r="A38" s="86" t="s">
        <v>48</v>
      </c>
      <c r="B38" s="81" t="s">
        <v>49</v>
      </c>
      <c r="C38" s="82" t="s">
        <v>11</v>
      </c>
      <c r="D38" s="83" t="s">
        <v>12</v>
      </c>
      <c r="E38" s="84" t="s">
        <v>50</v>
      </c>
      <c r="F38" s="85">
        <v>1</v>
      </c>
      <c r="G38" s="27"/>
    </row>
    <row r="39" spans="1:16" s="8" customFormat="1" ht="13.8" customHeight="1" x14ac:dyDescent="0.3">
      <c r="A39" s="25"/>
      <c r="B39" s="26"/>
      <c r="C39" s="48"/>
      <c r="D39" s="48"/>
      <c r="E39" s="56"/>
      <c r="F39" s="48"/>
      <c r="G39" s="27"/>
    </row>
    <row r="40" spans="1:16" ht="90.0" customHeight="1" x14ac:dyDescent="0.3">
      <c r="A40" s="77" t="s">
        <v>51</v>
      </c>
      <c r="B40" s="76" t="s">
        <v>52</v>
      </c>
      <c r="C40" s="47"/>
      <c r="D40" s="47"/>
      <c r="E40" s="78" t="s">
        <v>50</v>
      </c>
      <c r="F40" s="44"/>
      <c r="G40" s="19"/>
      <c r="H40" s="3"/>
    </row>
    <row r="41" spans="1:16" s="8" customFormat="1" ht="13.2" customHeight="1" x14ac:dyDescent="0.3">
      <c r="A41" s="25"/>
      <c r="B41" s="28"/>
      <c r="C41" s="48"/>
      <c r="D41" s="66"/>
      <c r="E41" s="54"/>
      <c r="F41" s="45"/>
      <c r="G41" s="25"/>
      <c r="H41" s="3"/>
    </row>
    <row r="42" spans="1:16" x14ac:dyDescent="0.3">
      <c r="A42" s="15" t="s">
        <v>53</v>
      </c>
      <c r="B42" s="14" t="s">
        <v>54</v>
      </c>
      <c r="C42" s="14" t="s">
        <v>21</v>
      </c>
      <c r="D42" s="21" t="s">
        <v>22</v>
      </c>
      <c r="E42" s="79" t="s">
        <v>50</v>
      </c>
      <c r="F42" s="38">
        <v>114</v>
      </c>
      <c r="G42" s="16"/>
      <c r="H42" s="3"/>
    </row>
    <row r="43" spans="1:16" ht="13.8" customHeight="1" x14ac:dyDescent="0.3">
      <c r="A43" s="17"/>
      <c r="B43" s="17"/>
      <c r="C43" s="55"/>
      <c r="D43" s="67"/>
      <c r="E43" s="55"/>
      <c r="F43" s="55"/>
      <c r="G43" s="18"/>
      <c r="H43" s="3"/>
    </row>
    <row r="44" spans="1:16" ht="114.0" customHeight="1" x14ac:dyDescent="0.3">
      <c r="A44" s="77" t="s">
        <v>55</v>
      </c>
      <c r="B44" s="76" t="s">
        <v>56</v>
      </c>
      <c r="C44" s="47"/>
      <c r="D44" s="47"/>
      <c r="E44" s="78" t="s">
        <v>50</v>
      </c>
      <c r="F44" s="44"/>
      <c r="G44" s="19"/>
      <c r="H44" s="3"/>
    </row>
    <row r="45" spans="1:16" s="8" customFormat="1" ht="13.2" customHeight="1" x14ac:dyDescent="0.3">
      <c r="A45" s="25"/>
      <c r="B45" s="28"/>
      <c r="C45" s="48"/>
      <c r="D45" s="66"/>
      <c r="E45" s="54"/>
      <c r="F45" s="45"/>
      <c r="G45" s="25"/>
      <c r="H45" s="3"/>
    </row>
    <row r="46" spans="1:16" x14ac:dyDescent="0.3">
      <c r="A46" s="15" t="s">
        <v>57</v>
      </c>
      <c r="B46" s="14" t="s">
        <v>58</v>
      </c>
      <c r="C46" s="14" t="s">
        <v>21</v>
      </c>
      <c r="D46" s="21" t="s">
        <v>22</v>
      </c>
      <c r="E46" s="79" t="s">
        <v>50</v>
      </c>
      <c r="F46" s="38">
        <v>1</v>
      </c>
      <c r="G46" s="16"/>
      <c r="H46" s="3"/>
    </row>
    <row r="47" spans="1:16" ht="13.8" customHeight="1" x14ac:dyDescent="0.3">
      <c r="A47" s="17"/>
      <c r="B47" s="17"/>
      <c r="C47" s="55"/>
      <c r="D47" s="67"/>
      <c r="E47" s="55"/>
      <c r="F47" s="55"/>
      <c r="G47" s="18"/>
      <c r="H47" s="3"/>
    </row>
    <row r="48" spans="1:16" ht="138.0" customHeight="1" x14ac:dyDescent="0.3">
      <c r="A48" s="86" t="s">
        <v>59</v>
      </c>
      <c r="B48" s="81" t="s">
        <v>60</v>
      </c>
      <c r="C48" s="82" t="s">
        <v>18</v>
      </c>
      <c r="D48" s="83" t="s">
        <v>12</v>
      </c>
      <c r="E48" s="84" t="s">
        <v>33</v>
      </c>
      <c r="F48" s="85">
        <v>25</v>
      </c>
      <c r="G48" s="27"/>
    </row>
    <row r="49" spans="1:16" s="8" customFormat="1" ht="13.8" customHeight="1" x14ac:dyDescent="0.3">
      <c r="A49" s="25"/>
      <c r="B49" s="26"/>
      <c r="C49" s="48"/>
      <c r="D49" s="48"/>
      <c r="E49" s="56"/>
      <c r="F49" s="48"/>
      <c r="G49" s="27"/>
    </row>
    <row r="50" spans="1:16" ht="126.0" customHeight="1" x14ac:dyDescent="0.3">
      <c r="A50" s="77" t="s">
        <v>61</v>
      </c>
      <c r="B50" s="76" t="s">
        <v>62</v>
      </c>
      <c r="C50" s="47"/>
      <c r="D50" s="47"/>
      <c r="E50" s="78" t="s">
        <v>39</v>
      </c>
      <c r="F50" s="44"/>
      <c r="G50" s="19"/>
      <c r="H50" s="3"/>
    </row>
    <row r="51" spans="1:16" s="8" customFormat="1" ht="13.2" customHeight="1" x14ac:dyDescent="0.3">
      <c r="A51" s="25"/>
      <c r="B51" s="28"/>
      <c r="C51" s="48"/>
      <c r="D51" s="66"/>
      <c r="E51" s="54"/>
      <c r="F51" s="45"/>
      <c r="G51" s="25"/>
      <c r="H51" s="3"/>
    </row>
    <row r="52" spans="1:16" x14ac:dyDescent="0.3">
      <c r="A52" s="15" t="s">
        <v>63</v>
      </c>
      <c r="B52" s="14" t="s">
        <v>64</v>
      </c>
      <c r="C52" s="14" t="s">
        <v>15</v>
      </c>
      <c r="D52" s="21" t="s">
        <v>12</v>
      </c>
      <c r="E52" s="79" t="s">
        <v>39</v>
      </c>
      <c r="F52" s="38">
        <v>12</v>
      </c>
      <c r="G52" s="16"/>
      <c r="H52" s="3"/>
    </row>
    <row r="53" spans="1:16" ht="13.8" customHeight="1" x14ac:dyDescent="0.3">
      <c r="A53" s="15"/>
      <c r="B53" s="14"/>
      <c r="C53" s="14"/>
      <c r="D53" s="21"/>
      <c r="E53" s="23"/>
      <c r="F53" s="36"/>
      <c r="G53" s="18"/>
      <c r="H53" s="3"/>
    </row>
    <row r="54" spans="1:16" x14ac:dyDescent="0.3">
      <c r="A54" s="15" t="s">
        <v>65</v>
      </c>
      <c r="B54" s="14" t="s">
        <v>66</v>
      </c>
      <c r="C54" s="14" t="s">
        <v>11</v>
      </c>
      <c r="D54" s="21" t="s">
        <v>12</v>
      </c>
      <c r="E54" s="79" t="s">
        <v>39</v>
      </c>
      <c r="F54" s="38">
        <v>39</v>
      </c>
      <c r="G54" s="16"/>
      <c r="H54" s="3"/>
    </row>
    <row r="55" spans="1:16" ht="13.8" customHeight="1" x14ac:dyDescent="0.3">
      <c r="A55" s="17"/>
      <c r="B55" s="17"/>
      <c r="C55" s="55"/>
      <c r="D55" s="67"/>
      <c r="E55" s="55"/>
      <c r="F55" s="55"/>
      <c r="G55" s="18"/>
      <c r="H55" s="3"/>
    </row>
    <row r="56" spans="1:16" ht="114.0" customHeight="1" x14ac:dyDescent="0.3">
      <c r="A56" s="77" t="s">
        <v>67</v>
      </c>
      <c r="B56" s="76" t="s">
        <v>68</v>
      </c>
      <c r="C56" s="47"/>
      <c r="D56" s="47"/>
      <c r="E56" s="78" t="s">
        <v>39</v>
      </c>
      <c r="F56" s="44"/>
      <c r="G56" s="19"/>
      <c r="H56" s="3"/>
    </row>
    <row r="57" spans="1:16" s="8" customFormat="1" ht="13.2" customHeight="1" x14ac:dyDescent="0.3">
      <c r="A57" s="25"/>
      <c r="B57" s="28"/>
      <c r="C57" s="48"/>
      <c r="D57" s="66"/>
      <c r="E57" s="54"/>
      <c r="F57" s="45"/>
      <c r="G57" s="25"/>
      <c r="H57" s="3"/>
    </row>
    <row r="58" spans="1:16" x14ac:dyDescent="0.3">
      <c r="A58" s="15" t="s">
        <v>69</v>
      </c>
      <c r="B58" s="14" t="s">
        <v>70</v>
      </c>
      <c r="C58" s="14" t="s">
        <v>21</v>
      </c>
      <c r="D58" s="21" t="s">
        <v>71</v>
      </c>
      <c r="E58" s="79" t="s">
        <v>39</v>
      </c>
      <c r="F58" s="38">
        <v>14</v>
      </c>
      <c r="G58" s="16"/>
      <c r="H58" s="3"/>
    </row>
    <row r="59" spans="1:16" ht="13.8" customHeight="1" x14ac:dyDescent="0.3">
      <c r="A59" s="15"/>
      <c r="B59" s="14"/>
      <c r="C59" s="14"/>
      <c r="D59" s="21"/>
      <c r="E59" s="23"/>
      <c r="F59" s="36"/>
      <c r="G59" s="18"/>
      <c r="H59" s="3"/>
    </row>
    <row r="60" spans="1:16" x14ac:dyDescent="0.3">
      <c r="A60" s="15" t="s">
        <v>72</v>
      </c>
      <c r="B60" s="14" t="s">
        <v>73</v>
      </c>
      <c r="C60" s="14" t="s">
        <v>21</v>
      </c>
      <c r="D60" s="21" t="s">
        <v>71</v>
      </c>
      <c r="E60" s="79" t="s">
        <v>39</v>
      </c>
      <c r="F60" s="38">
        <v>34</v>
      </c>
      <c r="G60" s="16"/>
      <c r="H60" s="3"/>
    </row>
    <row r="61" spans="1:16" ht="13.8" customHeight="1" x14ac:dyDescent="0.3">
      <c r="A61" s="15"/>
      <c r="B61" s="14"/>
      <c r="C61" s="14"/>
      <c r="D61" s="21"/>
      <c r="E61" s="23"/>
      <c r="F61" s="36"/>
      <c r="G61" s="18"/>
      <c r="H61" s="3"/>
    </row>
    <row r="62" spans="1:16" x14ac:dyDescent="0.3">
      <c r="A62" s="15" t="s">
        <v>74</v>
      </c>
      <c r="B62" s="14" t="s">
        <v>75</v>
      </c>
      <c r="C62" s="14" t="s">
        <v>21</v>
      </c>
      <c r="D62" s="21" t="s">
        <v>71</v>
      </c>
      <c r="E62" s="79" t="s">
        <v>39</v>
      </c>
      <c r="F62" s="38">
        <v>14</v>
      </c>
      <c r="G62" s="16"/>
      <c r="H62" s="3"/>
    </row>
    <row r="63" spans="1:16" ht="13.8" customHeight="1" x14ac:dyDescent="0.3">
      <c r="A63" s="17"/>
      <c r="B63" s="17"/>
      <c r="C63" s="55"/>
      <c r="D63" s="67"/>
      <c r="E63" s="55"/>
      <c r="F63" s="55"/>
      <c r="G63" s="18"/>
      <c r="H63" s="3"/>
    </row>
    <row r="64" spans="1:16" ht="66.0" customHeight="1" x14ac:dyDescent="0.3">
      <c r="A64" s="86" t="s">
        <v>76</v>
      </c>
      <c r="B64" s="81" t="s">
        <v>77</v>
      </c>
      <c r="C64" s="82" t="s">
        <v>21</v>
      </c>
      <c r="D64" s="83" t="s">
        <v>22</v>
      </c>
      <c r="E64" s="84" t="s">
        <v>39</v>
      </c>
      <c r="F64" s="85">
        <v>15</v>
      </c>
      <c r="G64" s="27"/>
    </row>
    <row r="65" spans="1:16" s="8" customFormat="1" ht="13.8" customHeight="1" x14ac:dyDescent="0.3">
      <c r="A65" s="25"/>
      <c r="B65" s="26"/>
      <c r="C65" s="48"/>
      <c r="D65" s="48"/>
      <c r="E65" s="56"/>
      <c r="F65" s="48"/>
      <c r="G65" s="27"/>
    </row>
    <row r="66" spans="1:16" s="8" customFormat="1" ht="31.2" customHeight="1" x14ac:dyDescent="0.3">
      <c r="A66" s="35"/>
      <c r="B66" s="22" t="s">
        <v>78</v>
      </c>
      <c r="C66" s="13"/>
      <c r="D66" s="20"/>
      <c r="E66" s="13"/>
      <c r="F66" s="13"/>
      <c r="G66" s="13"/>
      <c r="H66" s="3"/>
    </row>
    <row r="67" spans="1:16" ht="258.0" customHeight="1" x14ac:dyDescent="0.3">
      <c r="A67" s="77" t="s">
        <v>79</v>
      </c>
      <c r="B67" s="76" t="s">
        <v>80</v>
      </c>
      <c r="C67" s="47"/>
      <c r="D67" s="47"/>
      <c r="E67" s="78" t="s">
        <v>33</v>
      </c>
      <c r="F67" s="44"/>
      <c r="G67" s="19"/>
      <c r="H67" s="3"/>
    </row>
    <row r="68" spans="1:16" s="8" customFormat="1" ht="13.2" customHeight="1" x14ac:dyDescent="0.3">
      <c r="A68" s="25"/>
      <c r="B68" s="28"/>
      <c r="C68" s="48"/>
      <c r="D68" s="66"/>
      <c r="E68" s="54"/>
      <c r="F68" s="45"/>
      <c r="G68" s="25"/>
      <c r="H68" s="3"/>
    </row>
    <row r="69" spans="1:16" x14ac:dyDescent="0.3">
      <c r="A69" s="15" t="s">
        <v>81</v>
      </c>
      <c r="B69" s="14" t="s">
        <v>82</v>
      </c>
      <c r="C69" s="14" t="s">
        <v>21</v>
      </c>
      <c r="D69" s="21" t="s">
        <v>12</v>
      </c>
      <c r="E69" s="79" t="s">
        <v>33</v>
      </c>
      <c r="F69" s="38">
        <v>419.56</v>
      </c>
      <c r="G69" s="16"/>
      <c r="H69" s="3"/>
    </row>
    <row r="70" spans="1:16" ht="13.8" customHeight="1" x14ac:dyDescent="0.3">
      <c r="A70" s="15"/>
      <c r="B70" s="14"/>
      <c r="C70" s="14"/>
      <c r="D70" s="21"/>
      <c r="E70" s="23"/>
      <c r="F70" s="36"/>
      <c r="G70" s="18"/>
      <c r="H70" s="3"/>
    </row>
    <row r="71" spans="1:16" x14ac:dyDescent="0.3">
      <c r="A71" s="15" t="s">
        <v>83</v>
      </c>
      <c r="B71" s="14" t="s">
        <v>84</v>
      </c>
      <c r="C71" s="14" t="s">
        <v>21</v>
      </c>
      <c r="D71" s="21" t="s">
        <v>12</v>
      </c>
      <c r="E71" s="79" t="s">
        <v>33</v>
      </c>
      <c r="F71" s="38">
        <v>262.82</v>
      </c>
      <c r="G71" s="16"/>
      <c r="H71" s="3"/>
    </row>
    <row r="72" spans="1:16" ht="13.8" customHeight="1" x14ac:dyDescent="0.3">
      <c r="A72" s="17"/>
      <c r="B72" s="17"/>
      <c r="C72" s="55"/>
      <c r="D72" s="67"/>
      <c r="E72" s="55"/>
      <c r="F72" s="55"/>
      <c r="G72" s="18"/>
      <c r="H72" s="3"/>
    </row>
    <row r="73" spans="1:16" ht="66.0" customHeight="1" x14ac:dyDescent="0.3">
      <c r="A73" s="86" t="s">
        <v>85</v>
      </c>
      <c r="B73" s="81" t="s">
        <v>86</v>
      </c>
      <c r="C73" s="82" t="s">
        <v>21</v>
      </c>
      <c r="D73" s="83" t="s">
        <v>12</v>
      </c>
      <c r="E73" s="84" t="s">
        <v>33</v>
      </c>
      <c r="F73" s="38">
        <v>17.18</v>
      </c>
      <c r="G73" s="27"/>
    </row>
    <row r="74" spans="1:16" s="8" customFormat="1" ht="13.8" customHeight="1" x14ac:dyDescent="0.3">
      <c r="A74" s="25"/>
      <c r="B74" s="26"/>
      <c r="C74" s="48"/>
      <c r="D74" s="48"/>
      <c r="E74" s="56"/>
      <c r="F74" s="48"/>
      <c r="G74" s="27"/>
    </row>
    <row r="75" spans="1:16" ht="54.0" customHeight="1" x14ac:dyDescent="0.3">
      <c r="A75" s="86" t="s">
        <v>87</v>
      </c>
      <c r="B75" s="81" t="s">
        <v>88</v>
      </c>
      <c r="C75" s="82" t="s">
        <v>21</v>
      </c>
      <c r="D75" s="83" t="s">
        <v>12</v>
      </c>
      <c r="E75" s="84" t="s">
        <v>33</v>
      </c>
      <c r="F75" s="38">
        <v>419.56</v>
      </c>
      <c r="G75" s="27"/>
    </row>
    <row r="76" spans="1:16" s="8" customFormat="1" ht="13.8" customHeight="1" x14ac:dyDescent="0.3">
      <c r="A76" s="25"/>
      <c r="B76" s="26"/>
      <c r="C76" s="48"/>
      <c r="D76" s="48"/>
      <c r="E76" s="56"/>
      <c r="F76" s="48"/>
      <c r="G76" s="27"/>
    </row>
    <row r="77" spans="1:16" ht="246.0" customHeight="1" x14ac:dyDescent="0.3">
      <c r="A77" s="77" t="s">
        <v>89</v>
      </c>
      <c r="B77" s="76" t="s">
        <v>90</v>
      </c>
      <c r="C77" s="47"/>
      <c r="D77" s="47"/>
      <c r="E77" s="78" t="s">
        <v>33</v>
      </c>
      <c r="F77" s="44"/>
      <c r="G77" s="19"/>
      <c r="H77" s="3"/>
    </row>
    <row r="78" spans="1:16" s="8" customFormat="1" ht="13.2" customHeight="1" x14ac:dyDescent="0.3">
      <c r="A78" s="25"/>
      <c r="B78" s="28"/>
      <c r="C78" s="48"/>
      <c r="D78" s="66"/>
      <c r="E78" s="54"/>
      <c r="F78" s="45"/>
      <c r="G78" s="25"/>
      <c r="H78" s="3"/>
    </row>
    <row r="79" spans="1:16" x14ac:dyDescent="0.3">
      <c r="A79" s="15" t="s">
        <v>91</v>
      </c>
      <c r="B79" s="14" t="s">
        <v>92</v>
      </c>
      <c r="C79" s="14" t="s">
        <v>93</v>
      </c>
      <c r="D79" s="21" t="s">
        <v>12</v>
      </c>
      <c r="E79" s="79" t="s">
        <v>33</v>
      </c>
      <c r="F79" s="38">
        <v>2560</v>
      </c>
      <c r="G79" s="16"/>
      <c r="H79" s="3"/>
    </row>
    <row r="80" spans="1:16" ht="13.8" customHeight="1" x14ac:dyDescent="0.3">
      <c r="A80" s="15"/>
      <c r="B80" s="14"/>
      <c r="C80" s="14"/>
      <c r="D80" s="21"/>
      <c r="E80" s="23"/>
      <c r="F80" s="36"/>
      <c r="G80" s="18"/>
      <c r="H80" s="3"/>
    </row>
    <row r="81" spans="1:16" x14ac:dyDescent="0.3">
      <c r="A81" s="15" t="s">
        <v>94</v>
      </c>
      <c r="B81" s="14" t="s">
        <v>95</v>
      </c>
      <c r="C81" s="14" t="s">
        <v>93</v>
      </c>
      <c r="D81" s="21" t="s">
        <v>12</v>
      </c>
      <c r="E81" s="79" t="s">
        <v>33</v>
      </c>
      <c r="F81" s="38">
        <v>3250</v>
      </c>
      <c r="G81" s="16"/>
      <c r="H81" s="3"/>
    </row>
    <row r="82" spans="1:16" ht="13.8" customHeight="1" x14ac:dyDescent="0.3">
      <c r="A82" s="17"/>
      <c r="B82" s="17"/>
      <c r="C82" s="55"/>
      <c r="D82" s="67"/>
      <c r="E82" s="55"/>
      <c r="F82" s="55"/>
      <c r="G82" s="18"/>
      <c r="H82" s="3"/>
    </row>
    <row r="83" spans="1:16" ht="102.0" customHeight="1" x14ac:dyDescent="0.3">
      <c r="A83" s="86" t="s">
        <v>96</v>
      </c>
      <c r="B83" s="81" t="s">
        <v>97</v>
      </c>
      <c r="C83" s="82" t="s">
        <v>98</v>
      </c>
      <c r="D83" s="83" t="s">
        <v>12</v>
      </c>
      <c r="E83" s="84" t="s">
        <v>33</v>
      </c>
      <c r="F83" s="85">
        <v>208</v>
      </c>
      <c r="G83" s="27"/>
    </row>
    <row r="84" spans="1:16" s="8" customFormat="1" ht="13.8" customHeight="1" x14ac:dyDescent="0.3">
      <c r="A84" s="25"/>
      <c r="B84" s="26"/>
      <c r="C84" s="48"/>
      <c r="D84" s="48"/>
      <c r="E84" s="56"/>
      <c r="F84" s="48"/>
      <c r="G84" s="27"/>
    </row>
    <row r="85" spans="1:16" ht="42.0" customHeight="1" x14ac:dyDescent="0.3">
      <c r="A85" s="86" t="s">
        <v>99</v>
      </c>
      <c r="B85" s="81" t="s">
        <v>100</v>
      </c>
      <c r="C85" s="82" t="s">
        <v>93</v>
      </c>
      <c r="D85" s="83" t="s">
        <v>71</v>
      </c>
      <c r="E85" s="84" t="s">
        <v>101</v>
      </c>
      <c r="F85" s="85">
        <v>2500</v>
      </c>
      <c r="G85" s="27"/>
    </row>
    <row r="86" spans="1:16" s="8" customFormat="1" ht="13.8" customHeight="1" x14ac:dyDescent="0.3">
      <c r="A86" s="25"/>
      <c r="B86" s="26"/>
      <c r="C86" s="48"/>
      <c r="D86" s="48"/>
      <c r="E86" s="56"/>
      <c r="F86" s="48"/>
      <c r="G86" s="27"/>
    </row>
    <row r="87" spans="1:16" ht="222.0" customHeight="1" x14ac:dyDescent="0.3">
      <c r="A87" s="86" t="s">
        <v>102</v>
      </c>
      <c r="B87" s="81" t="s">
        <v>103</v>
      </c>
      <c r="C87" s="82" t="s">
        <v>104</v>
      </c>
      <c r="D87" s="83" t="s">
        <v>71</v>
      </c>
      <c r="E87" s="84" t="s">
        <v>33</v>
      </c>
      <c r="F87" s="85">
        <v>265</v>
      </c>
      <c r="G87" s="27"/>
    </row>
    <row r="88" spans="1:16" s="8" customFormat="1" ht="13.8" customHeight="1" x14ac:dyDescent="0.3">
      <c r="A88" s="25"/>
      <c r="B88" s="26"/>
      <c r="C88" s="48"/>
      <c r="D88" s="48"/>
      <c r="E88" s="56"/>
      <c r="F88" s="48"/>
      <c r="G88" s="27"/>
    </row>
    <row r="89" spans="1:16" ht="102.0" customHeight="1" x14ac:dyDescent="0.3">
      <c r="A89" s="77" t="s">
        <v>105</v>
      </c>
      <c r="B89" s="76" t="s">
        <v>106</v>
      </c>
      <c r="C89" s="47"/>
      <c r="D89" s="47"/>
      <c r="E89" s="78" t="s">
        <v>33</v>
      </c>
      <c r="F89" s="44"/>
      <c r="G89" s="19"/>
      <c r="H89" s="3"/>
    </row>
    <row r="90" spans="1:16" s="8" customFormat="1" ht="13.2" customHeight="1" x14ac:dyDescent="0.3">
      <c r="A90" s="25"/>
      <c r="B90" s="28"/>
      <c r="C90" s="48"/>
      <c r="D90" s="66"/>
      <c r="E90" s="54"/>
      <c r="F90" s="45"/>
      <c r="G90" s="25"/>
      <c r="H90" s="3"/>
    </row>
    <row r="91" spans="1:16" ht="25.2" customHeight="1" x14ac:dyDescent="0.3">
      <c r="A91" s="15" t="s">
        <v>107</v>
      </c>
      <c r="B91" s="14" t="s">
        <v>108</v>
      </c>
      <c r="C91" s="14" t="s">
        <v>109</v>
      </c>
      <c r="D91" s="21" t="s">
        <v>12</v>
      </c>
      <c r="E91" s="79" t="s">
        <v>33</v>
      </c>
      <c r="F91" s="38">
        <v>60</v>
      </c>
      <c r="G91" s="16"/>
      <c r="H91" s="3"/>
    </row>
    <row r="92" spans="1:16" ht="13.8" customHeight="1" x14ac:dyDescent="0.3">
      <c r="A92" s="17"/>
      <c r="B92" s="17"/>
      <c r="C92" s="55"/>
      <c r="D92" s="67"/>
      <c r="E92" s="55"/>
      <c r="F92" s="55"/>
      <c r="G92" s="18"/>
      <c r="H92" s="3"/>
    </row>
    <row r="93" spans="1:16" ht="102.0" customHeight="1" x14ac:dyDescent="0.3">
      <c r="A93" s="77" t="s">
        <v>110</v>
      </c>
      <c r="B93" s="76" t="s">
        <v>111</v>
      </c>
      <c r="C93" s="47"/>
      <c r="D93" s="47"/>
      <c r="E93" s="78" t="s">
        <v>39</v>
      </c>
      <c r="F93" s="44"/>
      <c r="G93" s="19"/>
      <c r="H93" s="3"/>
    </row>
    <row r="94" spans="1:16" s="8" customFormat="1" ht="13.2" customHeight="1" x14ac:dyDescent="0.3">
      <c r="A94" s="25"/>
      <c r="B94" s="28"/>
      <c r="C94" s="48"/>
      <c r="D94" s="66"/>
      <c r="E94" s="54"/>
      <c r="F94" s="45"/>
      <c r="G94" s="25"/>
      <c r="H94" s="3"/>
    </row>
    <row r="95" spans="1:16" x14ac:dyDescent="0.3">
      <c r="A95" s="15" t="s">
        <v>112</v>
      </c>
      <c r="B95" s="14" t="s">
        <v>113</v>
      </c>
      <c r="C95" s="14" t="s">
        <v>114</v>
      </c>
      <c r="D95" s="21" t="s">
        <v>12</v>
      </c>
      <c r="E95" s="79" t="s">
        <v>39</v>
      </c>
      <c r="F95" s="38">
        <v>110</v>
      </c>
      <c r="G95" s="16"/>
      <c r="H95" s="3"/>
    </row>
    <row r="96" spans="1:16" ht="13.8" customHeight="1" x14ac:dyDescent="0.3">
      <c r="A96" s="17"/>
      <c r="B96" s="17"/>
      <c r="C96" s="55"/>
      <c r="D96" s="67"/>
      <c r="E96" s="55"/>
      <c r="F96" s="55"/>
      <c r="G96" s="18"/>
      <c r="H96" s="3"/>
    </row>
    <row r="97" spans="1:16" ht="114.0" customHeight="1" x14ac:dyDescent="0.3">
      <c r="A97" s="77" t="s">
        <v>115</v>
      </c>
      <c r="B97" s="76" t="s">
        <v>116</v>
      </c>
      <c r="C97" s="47"/>
      <c r="D97" s="47"/>
      <c r="E97" s="78" t="s">
        <v>33</v>
      </c>
      <c r="F97" s="44"/>
      <c r="G97" s="19"/>
      <c r="H97" s="3"/>
    </row>
    <row r="98" spans="1:16" s="8" customFormat="1" ht="13.2" customHeight="1" x14ac:dyDescent="0.3">
      <c r="A98" s="25"/>
      <c r="B98" s="28"/>
      <c r="C98" s="48"/>
      <c r="D98" s="66"/>
      <c r="E98" s="54"/>
      <c r="F98" s="45"/>
      <c r="G98" s="25"/>
      <c r="H98" s="3"/>
    </row>
    <row r="99" spans="1:16" x14ac:dyDescent="0.3">
      <c r="A99" s="15" t="s">
        <v>117</v>
      </c>
      <c r="B99" s="14" t="s">
        <v>118</v>
      </c>
      <c r="C99" s="14" t="s">
        <v>114</v>
      </c>
      <c r="D99" s="21" t="s">
        <v>12</v>
      </c>
      <c r="E99" s="79" t="s">
        <v>33</v>
      </c>
      <c r="F99" s="38">
        <v>280</v>
      </c>
      <c r="G99" s="16"/>
      <c r="H99" s="3"/>
    </row>
    <row r="100" spans="1:16" ht="13.8" customHeight="1" x14ac:dyDescent="0.3">
      <c r="A100" s="15"/>
      <c r="B100" s="14"/>
      <c r="C100" s="14"/>
      <c r="D100" s="21"/>
      <c r="E100" s="23"/>
      <c r="F100" s="36"/>
      <c r="G100" s="18"/>
      <c r="H100" s="3"/>
    </row>
    <row r="101" spans="1:16" x14ac:dyDescent="0.3">
      <c r="A101" s="15" t="s">
        <v>119</v>
      </c>
      <c r="B101" s="14" t="s">
        <v>120</v>
      </c>
      <c r="C101" s="14" t="s">
        <v>121</v>
      </c>
      <c r="D101" s="21" t="s">
        <v>12</v>
      </c>
      <c r="E101" s="79" t="s">
        <v>33</v>
      </c>
      <c r="F101" s="38">
        <v>339</v>
      </c>
      <c r="G101" s="16"/>
      <c r="H101" s="3"/>
    </row>
    <row r="102" spans="1:16" ht="13.8" customHeight="1" x14ac:dyDescent="0.3">
      <c r="A102" s="17"/>
      <c r="B102" s="17"/>
      <c r="C102" s="55"/>
      <c r="D102" s="67"/>
      <c r="E102" s="55"/>
      <c r="F102" s="55"/>
      <c r="G102" s="18"/>
      <c r="H102" s="3"/>
    </row>
    <row r="103" spans="1:16" ht="114.0" customHeight="1" x14ac:dyDescent="0.3">
      <c r="A103" s="77" t="s">
        <v>122</v>
      </c>
      <c r="B103" s="76" t="s">
        <v>123</v>
      </c>
      <c r="C103" s="47"/>
      <c r="D103" s="47"/>
      <c r="E103" s="78" t="s">
        <v>33</v>
      </c>
      <c r="F103" s="44"/>
      <c r="G103" s="19"/>
      <c r="H103" s="3"/>
    </row>
    <row r="104" spans="1:16" s="8" customFormat="1" ht="13.2" customHeight="1" x14ac:dyDescent="0.3">
      <c r="A104" s="25"/>
      <c r="B104" s="28"/>
      <c r="C104" s="48"/>
      <c r="D104" s="66"/>
      <c r="E104" s="54"/>
      <c r="F104" s="45"/>
      <c r="G104" s="25"/>
      <c r="H104" s="3"/>
    </row>
    <row r="105" spans="1:16" ht="25.2" customHeight="1" x14ac:dyDescent="0.3">
      <c r="A105" s="15" t="s">
        <v>124</v>
      </c>
      <c r="B105" s="14" t="s">
        <v>125</v>
      </c>
      <c r="C105" s="14" t="s">
        <v>109</v>
      </c>
      <c r="D105" s="21" t="s">
        <v>12</v>
      </c>
      <c r="E105" s="79" t="s">
        <v>33</v>
      </c>
      <c r="F105" s="38">
        <v>177</v>
      </c>
      <c r="G105" s="16"/>
      <c r="H105" s="3"/>
    </row>
    <row r="106" spans="1:16" ht="13.8" customHeight="1" x14ac:dyDescent="0.3">
      <c r="A106" s="15"/>
      <c r="B106" s="14"/>
      <c r="C106" s="14"/>
      <c r="D106" s="21"/>
      <c r="E106" s="23"/>
      <c r="F106" s="36"/>
      <c r="G106" s="18"/>
      <c r="H106" s="3"/>
    </row>
    <row r="107" spans="1:16" ht="25.2" customHeight="1" x14ac:dyDescent="0.3">
      <c r="A107" s="15" t="s">
        <v>126</v>
      </c>
      <c r="B107" s="14" t="s">
        <v>127</v>
      </c>
      <c r="C107" s="14" t="s">
        <v>128</v>
      </c>
      <c r="D107" s="21" t="s">
        <v>12</v>
      </c>
      <c r="E107" s="79" t="s">
        <v>33</v>
      </c>
      <c r="F107" s="38">
        <v>24</v>
      </c>
      <c r="G107" s="16"/>
      <c r="H107" s="3"/>
    </row>
    <row r="108" spans="1:16" ht="13.8" customHeight="1" x14ac:dyDescent="0.3">
      <c r="A108" s="15"/>
      <c r="B108" s="14"/>
      <c r="C108" s="14"/>
      <c r="D108" s="21"/>
      <c r="E108" s="23"/>
      <c r="F108" s="36"/>
      <c r="G108" s="18"/>
      <c r="H108" s="3"/>
    </row>
    <row r="109" spans="1:16" x14ac:dyDescent="0.3">
      <c r="A109" s="15" t="s">
        <v>129</v>
      </c>
      <c r="B109" s="14" t="s">
        <v>130</v>
      </c>
      <c r="C109" s="14" t="s">
        <v>131</v>
      </c>
      <c r="D109" s="21" t="s">
        <v>12</v>
      </c>
      <c r="E109" s="79" t="s">
        <v>33</v>
      </c>
      <c r="F109" s="38">
        <v>13</v>
      </c>
      <c r="G109" s="16"/>
      <c r="H109" s="3"/>
    </row>
    <row r="110" spans="1:16" ht="13.8" customHeight="1" x14ac:dyDescent="0.3">
      <c r="A110" s="15"/>
      <c r="B110" s="14"/>
      <c r="C110" s="14"/>
      <c r="D110" s="21"/>
      <c r="E110" s="23"/>
      <c r="F110" s="36"/>
      <c r="G110" s="18"/>
      <c r="H110" s="3"/>
    </row>
    <row r="111" spans="1:16" ht="25.2" customHeight="1" x14ac:dyDescent="0.3">
      <c r="A111" s="15" t="s">
        <v>132</v>
      </c>
      <c r="B111" s="14" t="s">
        <v>133</v>
      </c>
      <c r="C111" s="14" t="s">
        <v>134</v>
      </c>
      <c r="D111" s="21" t="s">
        <v>12</v>
      </c>
      <c r="E111" s="79" t="s">
        <v>33</v>
      </c>
      <c r="F111" s="38">
        <v>26</v>
      </c>
      <c r="G111" s="16"/>
      <c r="H111" s="3"/>
    </row>
    <row r="112" spans="1:16" ht="13.8" customHeight="1" x14ac:dyDescent="0.3">
      <c r="A112" s="15"/>
      <c r="B112" s="14"/>
      <c r="C112" s="14"/>
      <c r="D112" s="21"/>
      <c r="E112" s="23"/>
      <c r="F112" s="36"/>
      <c r="G112" s="18"/>
      <c r="H112" s="3"/>
    </row>
    <row r="113" spans="1:16" ht="25.2" customHeight="1" x14ac:dyDescent="0.3">
      <c r="A113" s="15" t="s">
        <v>135</v>
      </c>
      <c r="B113" s="14" t="s">
        <v>136</v>
      </c>
      <c r="C113" s="14" t="s">
        <v>137</v>
      </c>
      <c r="D113" s="21" t="s">
        <v>12</v>
      </c>
      <c r="E113" s="79" t="s">
        <v>33</v>
      </c>
      <c r="F113" s="38">
        <v>10.5</v>
      </c>
      <c r="G113" s="16"/>
      <c r="H113" s="3"/>
    </row>
    <row r="114" spans="1:16" ht="13.8" customHeight="1" x14ac:dyDescent="0.3">
      <c r="A114" s="15"/>
      <c r="B114" s="14"/>
      <c r="C114" s="14"/>
      <c r="D114" s="21"/>
      <c r="E114" s="23"/>
      <c r="F114" s="36"/>
      <c r="G114" s="18"/>
      <c r="H114" s="3"/>
    </row>
    <row r="115" spans="1:16" ht="25.2" customHeight="1" x14ac:dyDescent="0.3">
      <c r="A115" s="15" t="s">
        <v>138</v>
      </c>
      <c r="B115" s="14" t="s">
        <v>139</v>
      </c>
      <c r="C115" s="14" t="s">
        <v>140</v>
      </c>
      <c r="D115" s="21" t="s">
        <v>12</v>
      </c>
      <c r="E115" s="79" t="s">
        <v>33</v>
      </c>
      <c r="F115" s="38">
        <v>25</v>
      </c>
      <c r="G115" s="16"/>
      <c r="H115" s="3"/>
    </row>
    <row r="116" spans="1:16" ht="13.8" customHeight="1" x14ac:dyDescent="0.3">
      <c r="A116" s="17"/>
      <c r="B116" s="17"/>
      <c r="C116" s="55"/>
      <c r="D116" s="67"/>
      <c r="E116" s="55"/>
      <c r="F116" s="55"/>
      <c r="G116" s="18"/>
      <c r="H116" s="3"/>
    </row>
    <row r="117" spans="1:16" ht="66.0" customHeight="1" x14ac:dyDescent="0.3">
      <c r="A117" s="77" t="s">
        <v>141</v>
      </c>
      <c r="B117" s="76" t="s">
        <v>142</v>
      </c>
      <c r="C117" s="47"/>
      <c r="D117" s="47"/>
      <c r="E117" s="78" t="s">
        <v>33</v>
      </c>
      <c r="F117" s="44"/>
      <c r="G117" s="19"/>
      <c r="H117" s="3"/>
    </row>
    <row r="118" spans="1:16" s="8" customFormat="1" ht="13.2" customHeight="1" x14ac:dyDescent="0.3">
      <c r="A118" s="25"/>
      <c r="B118" s="28"/>
      <c r="C118" s="48"/>
      <c r="D118" s="66"/>
      <c r="E118" s="54"/>
      <c r="F118" s="45"/>
      <c r="G118" s="25"/>
      <c r="H118" s="3"/>
    </row>
    <row r="119" spans="1:16" ht="25.2" customHeight="1" x14ac:dyDescent="0.3">
      <c r="A119" s="15" t="s">
        <v>143</v>
      </c>
      <c r="B119" s="14" t="s">
        <v>144</v>
      </c>
      <c r="C119" s="14" t="s">
        <v>145</v>
      </c>
      <c r="D119" s="21" t="s">
        <v>12</v>
      </c>
      <c r="E119" s="79" t="s">
        <v>33</v>
      </c>
      <c r="F119" s="38">
        <v>20</v>
      </c>
      <c r="G119" s="16"/>
      <c r="H119" s="3"/>
    </row>
    <row r="120" spans="1:16" ht="13.8" customHeight="1" x14ac:dyDescent="0.3">
      <c r="A120" s="17"/>
      <c r="B120" s="17"/>
      <c r="C120" s="55"/>
      <c r="D120" s="67"/>
      <c r="E120" s="55"/>
      <c r="F120" s="55"/>
      <c r="G120" s="18"/>
      <c r="H120" s="3"/>
    </row>
    <row r="121" spans="1:16" ht="66.0" customHeight="1" x14ac:dyDescent="0.3">
      <c r="A121" s="86" t="s">
        <v>146</v>
      </c>
      <c r="B121" s="81" t="s">
        <v>147</v>
      </c>
      <c r="C121" s="82" t="s">
        <v>148</v>
      </c>
      <c r="D121" s="83" t="s">
        <v>12</v>
      </c>
      <c r="E121" s="84" t="s">
        <v>50</v>
      </c>
      <c r="F121" s="85">
        <v>14</v>
      </c>
      <c r="G121" s="27"/>
    </row>
    <row r="122" spans="1:16" s="8" customFormat="1" ht="13.8" customHeight="1" x14ac:dyDescent="0.3">
      <c r="A122" s="25"/>
      <c r="B122" s="26"/>
      <c r="C122" s="48"/>
      <c r="D122" s="48"/>
      <c r="E122" s="56"/>
      <c r="F122" s="48"/>
      <c r="G122" s="27"/>
    </row>
    <row r="123" spans="1:16" ht="78.0" customHeight="1" x14ac:dyDescent="0.3">
      <c r="A123" s="86" t="s">
        <v>149</v>
      </c>
      <c r="B123" s="81" t="s">
        <v>150</v>
      </c>
      <c r="C123" s="82" t="s">
        <v>151</v>
      </c>
      <c r="D123" s="83" t="s">
        <v>12</v>
      </c>
      <c r="E123" s="84" t="s">
        <v>33</v>
      </c>
      <c r="F123" s="38">
        <v>23.5</v>
      </c>
      <c r="G123" s="27"/>
    </row>
    <row r="124" spans="1:16" s="8" customFormat="1" ht="13.8" customHeight="1" x14ac:dyDescent="0.3">
      <c r="A124" s="25"/>
      <c r="B124" s="26"/>
      <c r="C124" s="48"/>
      <c r="D124" s="48"/>
      <c r="E124" s="56"/>
      <c r="F124" s="48"/>
      <c r="G124" s="27"/>
    </row>
    <row r="125" spans="1:16" ht="102.0" customHeight="1" x14ac:dyDescent="0.3">
      <c r="A125" s="77" t="s">
        <v>152</v>
      </c>
      <c r="B125" s="76" t="s">
        <v>153</v>
      </c>
      <c r="C125" s="47"/>
      <c r="D125" s="47"/>
      <c r="E125" s="78" t="s">
        <v>33</v>
      </c>
      <c r="F125" s="44"/>
      <c r="G125" s="19"/>
      <c r="H125" s="3"/>
    </row>
    <row r="126" spans="1:16" s="8" customFormat="1" ht="13.2" customHeight="1" x14ac:dyDescent="0.3">
      <c r="A126" s="25"/>
      <c r="B126" s="28"/>
      <c r="C126" s="48"/>
      <c r="D126" s="66"/>
      <c r="E126" s="54"/>
      <c r="F126" s="45"/>
      <c r="G126" s="25"/>
      <c r="H126" s="3"/>
    </row>
    <row r="127" spans="1:16" ht="25.2" customHeight="1" x14ac:dyDescent="0.3">
      <c r="A127" s="15" t="s">
        <v>154</v>
      </c>
      <c r="B127" s="14" t="s">
        <v>155</v>
      </c>
      <c r="C127" s="14" t="s">
        <v>156</v>
      </c>
      <c r="D127" s="21" t="s">
        <v>12</v>
      </c>
      <c r="E127" s="79" t="s">
        <v>33</v>
      </c>
      <c r="F127" s="38">
        <v>18</v>
      </c>
      <c r="G127" s="16"/>
      <c r="H127" s="3"/>
    </row>
    <row r="128" spans="1:16" ht="13.8" customHeight="1" x14ac:dyDescent="0.3">
      <c r="A128" s="17"/>
      <c r="B128" s="17"/>
      <c r="C128" s="55"/>
      <c r="D128" s="67"/>
      <c r="E128" s="55"/>
      <c r="F128" s="55"/>
      <c r="G128" s="18"/>
      <c r="H128" s="3"/>
    </row>
    <row r="129" spans="1:16" ht="66.0" customHeight="1" x14ac:dyDescent="0.3">
      <c r="A129" s="86" t="s">
        <v>157</v>
      </c>
      <c r="B129" s="81" t="s">
        <v>158</v>
      </c>
      <c r="C129" s="82" t="s">
        <v>159</v>
      </c>
      <c r="D129" s="83" t="s">
        <v>12</v>
      </c>
      <c r="E129" s="84" t="s">
        <v>50</v>
      </c>
      <c r="F129" s="85">
        <v>6</v>
      </c>
      <c r="G129" s="27"/>
    </row>
    <row r="130" spans="1:16" s="8" customFormat="1" ht="13.8" customHeight="1" x14ac:dyDescent="0.3">
      <c r="A130" s="25"/>
      <c r="B130" s="26"/>
      <c r="C130" s="48"/>
      <c r="D130" s="48"/>
      <c r="E130" s="56"/>
      <c r="F130" s="48"/>
      <c r="G130" s="27"/>
    </row>
    <row r="131" spans="1:16" ht="114.0" customHeight="1" x14ac:dyDescent="0.3">
      <c r="A131" s="77" t="s">
        <v>160</v>
      </c>
      <c r="B131" s="76" t="s">
        <v>161</v>
      </c>
      <c r="C131" s="47"/>
      <c r="D131" s="47"/>
      <c r="E131" s="78" t="s">
        <v>39</v>
      </c>
      <c r="F131" s="44"/>
      <c r="G131" s="19"/>
      <c r="H131" s="3"/>
    </row>
    <row r="132" spans="1:16" s="8" customFormat="1" ht="13.2" customHeight="1" x14ac:dyDescent="0.3">
      <c r="A132" s="25"/>
      <c r="B132" s="28"/>
      <c r="C132" s="48"/>
      <c r="D132" s="66"/>
      <c r="E132" s="54"/>
      <c r="F132" s="45"/>
      <c r="G132" s="25"/>
      <c r="H132" s="3"/>
    </row>
    <row r="133" spans="1:16" x14ac:dyDescent="0.3">
      <c r="A133" s="15" t="s">
        <v>162</v>
      </c>
      <c r="B133" s="14" t="s">
        <v>163</v>
      </c>
      <c r="C133" s="14" t="s">
        <v>93</v>
      </c>
      <c r="D133" s="21" t="s">
        <v>12</v>
      </c>
      <c r="E133" s="79" t="s">
        <v>39</v>
      </c>
      <c r="F133" s="38">
        <v>112</v>
      </c>
      <c r="G133" s="16"/>
      <c r="H133" s="3"/>
    </row>
    <row r="134" spans="1:16" ht="13.8" customHeight="1" x14ac:dyDescent="0.3">
      <c r="A134" s="15"/>
      <c r="B134" s="14"/>
      <c r="C134" s="14"/>
      <c r="D134" s="21"/>
      <c r="E134" s="23"/>
      <c r="F134" s="36"/>
      <c r="G134" s="18"/>
      <c r="H134" s="3"/>
    </row>
    <row r="135" spans="1:16" x14ac:dyDescent="0.3">
      <c r="A135" s="15" t="s">
        <v>164</v>
      </c>
      <c r="B135" s="14" t="s">
        <v>165</v>
      </c>
      <c r="C135" s="14" t="s">
        <v>93</v>
      </c>
      <c r="D135" s="21" t="s">
        <v>12</v>
      </c>
      <c r="E135" s="79" t="s">
        <v>39</v>
      </c>
      <c r="F135" s="38">
        <v>6</v>
      </c>
      <c r="G135" s="16"/>
      <c r="H135" s="3"/>
    </row>
    <row r="136" spans="1:16" ht="13.8" customHeight="1" x14ac:dyDescent="0.3">
      <c r="A136" s="17"/>
      <c r="B136" s="17"/>
      <c r="C136" s="55"/>
      <c r="D136" s="67"/>
      <c r="E136" s="55"/>
      <c r="F136" s="55"/>
      <c r="G136" s="18"/>
      <c r="H136" s="3"/>
    </row>
    <row r="137" spans="1:16" ht="102.0" customHeight="1" x14ac:dyDescent="0.3">
      <c r="A137" s="86" t="s">
        <v>166</v>
      </c>
      <c r="B137" s="81" t="s">
        <v>167</v>
      </c>
      <c r="C137" s="82" t="s">
        <v>93</v>
      </c>
      <c r="D137" s="83" t="s">
        <v>12</v>
      </c>
      <c r="E137" s="84" t="s">
        <v>33</v>
      </c>
      <c r="F137" s="85">
        <v>12</v>
      </c>
      <c r="G137" s="27"/>
    </row>
    <row r="138" spans="1:16" s="8" customFormat="1" ht="13.8" customHeight="1" x14ac:dyDescent="0.3">
      <c r="A138" s="25"/>
      <c r="B138" s="26"/>
      <c r="C138" s="48"/>
      <c r="D138" s="48"/>
      <c r="E138" s="56"/>
      <c r="F138" s="48"/>
      <c r="G138" s="27"/>
    </row>
    <row r="139" spans="1:16" ht="90.0" customHeight="1" x14ac:dyDescent="0.3">
      <c r="A139" s="86" t="s">
        <v>168</v>
      </c>
      <c r="B139" s="81" t="s">
        <v>169</v>
      </c>
      <c r="C139" s="82" t="s">
        <v>93</v>
      </c>
      <c r="D139" s="83" t="s">
        <v>12</v>
      </c>
      <c r="E139" s="84" t="s">
        <v>33</v>
      </c>
      <c r="F139" s="85">
        <v>1086</v>
      </c>
      <c r="G139" s="27"/>
    </row>
    <row r="140" spans="1:16" s="8" customFormat="1" ht="13.8" customHeight="1" x14ac:dyDescent="0.3">
      <c r="A140" s="25"/>
      <c r="B140" s="26"/>
      <c r="C140" s="48"/>
      <c r="D140" s="48"/>
      <c r="E140" s="56"/>
      <c r="F140" s="48"/>
      <c r="G140" s="27"/>
    </row>
    <row r="141" spans="1:16" ht="102.0" customHeight="1" x14ac:dyDescent="0.3">
      <c r="A141" s="86" t="s">
        <v>170</v>
      </c>
      <c r="B141" s="81" t="s">
        <v>171</v>
      </c>
      <c r="C141" s="82" t="s">
        <v>93</v>
      </c>
      <c r="D141" s="83" t="s">
        <v>12</v>
      </c>
      <c r="E141" s="84" t="s">
        <v>39</v>
      </c>
      <c r="F141" s="85">
        <v>210</v>
      </c>
      <c r="G141" s="27"/>
    </row>
    <row r="142" spans="1:16" s="8" customFormat="1" ht="13.8" customHeight="1" x14ac:dyDescent="0.3">
      <c r="A142" s="25"/>
      <c r="B142" s="26"/>
      <c r="C142" s="48"/>
      <c r="D142" s="48"/>
      <c r="E142" s="56"/>
      <c r="F142" s="48"/>
      <c r="G142" s="27"/>
    </row>
    <row r="143" spans="1:16" ht="102.0" customHeight="1" x14ac:dyDescent="0.3">
      <c r="A143" s="86" t="s">
        <v>172</v>
      </c>
      <c r="B143" s="81" t="s">
        <v>173</v>
      </c>
      <c r="C143" s="82" t="s">
        <v>93</v>
      </c>
      <c r="D143" s="83" t="s">
        <v>12</v>
      </c>
      <c r="E143" s="84" t="s">
        <v>39</v>
      </c>
      <c r="F143" s="85">
        <v>28</v>
      </c>
      <c r="G143" s="27"/>
    </row>
    <row r="144" spans="1:16" s="8" customFormat="1" ht="13.8" customHeight="1" x14ac:dyDescent="0.3">
      <c r="A144" s="25"/>
      <c r="B144" s="26"/>
      <c r="C144" s="48"/>
      <c r="D144" s="48"/>
      <c r="E144" s="56"/>
      <c r="F144" s="48"/>
      <c r="G144" s="27"/>
    </row>
    <row r="145" spans="1:16" ht="90.0" customHeight="1" x14ac:dyDescent="0.3">
      <c r="A145" s="86" t="s">
        <v>174</v>
      </c>
      <c r="B145" s="81" t="s">
        <v>175</v>
      </c>
      <c r="C145" s="82" t="s">
        <v>176</v>
      </c>
      <c r="D145" s="83" t="s">
        <v>12</v>
      </c>
      <c r="E145" s="84" t="s">
        <v>33</v>
      </c>
      <c r="F145" s="85">
        <v>2538</v>
      </c>
      <c r="G145" s="27"/>
    </row>
    <row r="146" spans="1:16" s="8" customFormat="1" ht="13.8" customHeight="1" x14ac:dyDescent="0.3">
      <c r="A146" s="25"/>
      <c r="B146" s="26"/>
      <c r="C146" s="48"/>
      <c r="D146" s="48"/>
      <c r="E146" s="56"/>
      <c r="F146" s="48"/>
      <c r="G146" s="27"/>
    </row>
    <row r="147" spans="1:16" ht="78.0" customHeight="1" x14ac:dyDescent="0.3">
      <c r="A147" s="86" t="s">
        <v>177</v>
      </c>
      <c r="B147" s="81" t="s">
        <v>178</v>
      </c>
      <c r="C147" s="82" t="s">
        <v>93</v>
      </c>
      <c r="D147" s="83" t="s">
        <v>12</v>
      </c>
      <c r="E147" s="84" t="s">
        <v>33</v>
      </c>
      <c r="F147" s="85">
        <v>1680</v>
      </c>
      <c r="G147" s="27"/>
    </row>
    <row r="148" spans="1:16" s="8" customFormat="1" ht="13.8" customHeight="1" x14ac:dyDescent="0.3">
      <c r="A148" s="25"/>
      <c r="B148" s="26"/>
      <c r="C148" s="48"/>
      <c r="D148" s="48"/>
      <c r="E148" s="56"/>
      <c r="F148" s="48"/>
      <c r="G148" s="27"/>
    </row>
    <row r="149" spans="1:16" ht="114.0" customHeight="1" x14ac:dyDescent="0.3">
      <c r="A149" s="86" t="s">
        <v>179</v>
      </c>
      <c r="B149" s="81" t="s">
        <v>180</v>
      </c>
      <c r="C149" s="82" t="s">
        <v>93</v>
      </c>
      <c r="D149" s="83" t="s">
        <v>12</v>
      </c>
      <c r="E149" s="84" t="s">
        <v>39</v>
      </c>
      <c r="F149" s="85">
        <v>155</v>
      </c>
      <c r="G149" s="27"/>
    </row>
    <row r="150" spans="1:16" s="8" customFormat="1" ht="13.8" customHeight="1" x14ac:dyDescent="0.3">
      <c r="A150" s="25"/>
      <c r="B150" s="26"/>
      <c r="C150" s="48"/>
      <c r="D150" s="48"/>
      <c r="E150" s="56"/>
      <c r="F150" s="48"/>
      <c r="G150" s="27"/>
    </row>
    <row r="151" spans="1:16" ht="138.0" customHeight="1" x14ac:dyDescent="0.3">
      <c r="A151" s="86" t="s">
        <v>181</v>
      </c>
      <c r="B151" s="81" t="s">
        <v>182</v>
      </c>
      <c r="C151" s="82" t="s">
        <v>93</v>
      </c>
      <c r="D151" s="83" t="s">
        <v>12</v>
      </c>
      <c r="E151" s="84" t="s">
        <v>33</v>
      </c>
      <c r="F151" s="85">
        <v>210</v>
      </c>
      <c r="G151" s="27"/>
    </row>
    <row r="152" spans="1:16" s="8" customFormat="1" ht="13.8" customHeight="1" x14ac:dyDescent="0.3">
      <c r="A152" s="25"/>
      <c r="B152" s="26"/>
      <c r="C152" s="48"/>
      <c r="D152" s="48"/>
      <c r="E152" s="56"/>
      <c r="F152" s="48"/>
      <c r="G152" s="27"/>
    </row>
    <row r="153" spans="1:16" ht="114.0" customHeight="1" x14ac:dyDescent="0.3">
      <c r="A153" s="86" t="s">
        <v>183</v>
      </c>
      <c r="B153" s="81" t="s">
        <v>184</v>
      </c>
      <c r="C153" s="82" t="s">
        <v>93</v>
      </c>
      <c r="D153" s="83" t="s">
        <v>12</v>
      </c>
      <c r="E153" s="84" t="s">
        <v>39</v>
      </c>
      <c r="F153" s="85">
        <v>117</v>
      </c>
      <c r="G153" s="27"/>
    </row>
    <row r="154" spans="1:16" s="8" customFormat="1" ht="13.8" customHeight="1" x14ac:dyDescent="0.3">
      <c r="A154" s="25"/>
      <c r="B154" s="26"/>
      <c r="C154" s="48"/>
      <c r="D154" s="48"/>
      <c r="E154" s="56"/>
      <c r="F154" s="48"/>
      <c r="G154" s="27"/>
    </row>
    <row r="155" spans="1:16" ht="102.0" customHeight="1" x14ac:dyDescent="0.3">
      <c r="A155" s="86" t="s">
        <v>185</v>
      </c>
      <c r="B155" s="81" t="s">
        <v>186</v>
      </c>
      <c r="C155" s="82" t="s">
        <v>93</v>
      </c>
      <c r="D155" s="83" t="s">
        <v>12</v>
      </c>
      <c r="E155" s="84" t="s">
        <v>33</v>
      </c>
      <c r="F155" s="85">
        <v>150</v>
      </c>
      <c r="G155" s="27"/>
    </row>
    <row r="156" spans="1:16" s="8" customFormat="1" ht="13.8" customHeight="1" x14ac:dyDescent="0.3">
      <c r="A156" s="25"/>
      <c r="B156" s="26"/>
      <c r="C156" s="48"/>
      <c r="D156" s="48"/>
      <c r="E156" s="56"/>
      <c r="F156" s="48"/>
      <c r="G156" s="27"/>
    </row>
    <row r="157" spans="1:16" ht="54.0" customHeight="1" x14ac:dyDescent="0.3">
      <c r="A157" s="77" t="s">
        <v>187</v>
      </c>
      <c r="B157" s="76" t="s">
        <v>188</v>
      </c>
      <c r="C157" s="47"/>
      <c r="D157" s="47"/>
      <c r="E157" s="78" t="s">
        <v>50</v>
      </c>
      <c r="F157" s="44"/>
      <c r="G157" s="19"/>
      <c r="H157" s="3"/>
    </row>
    <row r="158" spans="1:16" s="8" customFormat="1" ht="13.2" customHeight="1" x14ac:dyDescent="0.3">
      <c r="A158" s="25"/>
      <c r="B158" s="28"/>
      <c r="C158" s="48"/>
      <c r="D158" s="66"/>
      <c r="E158" s="54"/>
      <c r="F158" s="45"/>
      <c r="G158" s="25"/>
      <c r="H158" s="3"/>
    </row>
    <row r="159" spans="1:16" x14ac:dyDescent="0.3">
      <c r="A159" s="15" t="s">
        <v>189</v>
      </c>
      <c r="B159" s="14" t="s">
        <v>190</v>
      </c>
      <c r="C159" s="14" t="s">
        <v>191</v>
      </c>
      <c r="D159" s="21" t="s">
        <v>12</v>
      </c>
      <c r="E159" s="79" t="s">
        <v>50</v>
      </c>
      <c r="F159" s="38">
        <v>8</v>
      </c>
      <c r="G159" s="16"/>
      <c r="H159" s="3"/>
    </row>
    <row r="160" spans="1:16" ht="13.8" customHeight="1" x14ac:dyDescent="0.3">
      <c r="A160" s="15"/>
      <c r="B160" s="14"/>
      <c r="C160" s="14"/>
      <c r="D160" s="21"/>
      <c r="E160" s="23"/>
      <c r="F160" s="36"/>
      <c r="G160" s="18"/>
      <c r="H160" s="3"/>
    </row>
    <row r="161" spans="1:16" x14ac:dyDescent="0.3">
      <c r="A161" s="15" t="s">
        <v>192</v>
      </c>
      <c r="B161" s="14" t="s">
        <v>193</v>
      </c>
      <c r="C161" s="14" t="s">
        <v>191</v>
      </c>
      <c r="D161" s="21" t="s">
        <v>12</v>
      </c>
      <c r="E161" s="79" t="s">
        <v>50</v>
      </c>
      <c r="F161" s="38">
        <v>8</v>
      </c>
      <c r="G161" s="16"/>
      <c r="H161" s="3"/>
    </row>
    <row r="162" spans="1:16" s="8" customFormat="1" ht="13.8" customHeight="1" x14ac:dyDescent="0.3">
      <c r="A162" s="25"/>
      <c r="B162" s="26"/>
      <c r="C162" s="48"/>
      <c r="D162" s="48"/>
      <c r="E162" s="56"/>
      <c r="F162" s="48"/>
      <c r="G162" s="27"/>
    </row>
    <row r="163" spans="1:16" x14ac:dyDescent="0.3">
      <c r="A163" s="24"/>
      <c r="B163" s="24"/>
      <c r="C163" s="49"/>
      <c r="D163" s="68"/>
      <c r="E163" s="57"/>
      <c r="F163" s="49"/>
      <c r="G163" s="18"/>
    </row>
    <row r="164" spans="1:16" x14ac:dyDescent="0.3">
      <c r="A164" s="18"/>
      <c r="B164" s="18"/>
      <c r="C164" s="46"/>
      <c r="D164" s="69"/>
      <c r="E164" s="58"/>
      <c r="F164" s="46"/>
      <c r="G164" s="18"/>
    </row>
    <row r="165" spans="1:16" x14ac:dyDescent="0.3">
      <c r="A165" s="18"/>
      <c r="B165" s="18"/>
      <c r="C165" s="46"/>
      <c r="D165" s="69"/>
      <c r="E165" s="58"/>
      <c r="F165" s="46"/>
      <c r="G165" s="18"/>
    </row>
    <row r="166" spans="1:16" x14ac:dyDescent="0.3">
      <c r="A166" s="18"/>
      <c r="B166" s="18"/>
      <c r="C166" s="46"/>
      <c r="D166" s="69"/>
      <c r="E166" s="58"/>
      <c r="F166" s="46"/>
      <c r="G166" s="18"/>
    </row>
    <row r="167" spans="1:16" x14ac:dyDescent="0.3">
      <c r="A167" s="18"/>
      <c r="B167" s="18"/>
      <c r="C167" s="46"/>
      <c r="D167" s="69"/>
      <c r="E167" s="58"/>
      <c r="F167" s="46"/>
      <c r="G167" s="18"/>
    </row>
    <row r="168" spans="1:16" x14ac:dyDescent="0.3">
      <c r="A168" s="18"/>
      <c r="B168" s="18"/>
      <c r="C168" s="46"/>
      <c r="D168" s="69"/>
      <c r="E168" s="58"/>
      <c r="F168" s="46"/>
      <c r="G168" s="18"/>
    </row>
    <row r="169" spans="1:16" x14ac:dyDescent="0.3">
      <c r="A169" s="18"/>
      <c r="B169" s="18"/>
      <c r="C169" s="46"/>
      <c r="D169" s="69"/>
      <c r="E169" s="58"/>
      <c r="F169" s="46"/>
      <c r="G169" s="18"/>
    </row>
    <row r="170" spans="1:16" x14ac:dyDescent="0.3">
      <c r="A170" s="18"/>
      <c r="B170" s="18"/>
      <c r="C170" s="46"/>
      <c r="D170" s="69"/>
      <c r="E170" s="58"/>
      <c r="F170" s="46"/>
      <c r="G170" s="18"/>
    </row>
    <row r="171" spans="1:16" x14ac:dyDescent="0.3">
      <c r="A171" s="18"/>
      <c r="B171" s="18"/>
      <c r="C171" s="46"/>
      <c r="D171" s="69"/>
      <c r="E171" s="58"/>
      <c r="F171" s="46"/>
      <c r="G171" s="18"/>
    </row>
    <row r="172" spans="1:16" x14ac:dyDescent="0.3">
      <c r="A172" s="18"/>
      <c r="B172" s="18"/>
      <c r="C172" s="46"/>
      <c r="D172" s="69"/>
      <c r="E172" s="58"/>
      <c r="F172" s="46"/>
      <c r="G172" s="18"/>
    </row>
    <row r="173" spans="1:16" x14ac:dyDescent="0.3">
      <c r="A173" s="18"/>
      <c r="B173" s="18"/>
      <c r="C173" s="46"/>
      <c r="D173" s="69"/>
      <c r="E173" s="58"/>
      <c r="F173" s="46"/>
      <c r="G173" s="18"/>
    </row>
    <row r="174" spans="1:16" x14ac:dyDescent="0.3">
      <c r="A174" s="18"/>
      <c r="B174" s="18"/>
      <c r="C174" s="46"/>
      <c r="D174" s="69"/>
      <c r="E174" s="58"/>
      <c r="F174" s="46"/>
      <c r="G174" s="18"/>
    </row>
    <row r="175" spans="1:16" x14ac:dyDescent="0.3">
      <c r="A175" s="18"/>
      <c r="B175" s="18"/>
      <c r="C175" s="46"/>
      <c r="D175" s="69"/>
      <c r="E175" s="58"/>
      <c r="F175" s="46"/>
      <c r="G175" s="18"/>
    </row>
    <row r="176" spans="1:16" x14ac:dyDescent="0.3">
      <c r="A176" s="18"/>
      <c r="B176" s="18"/>
      <c r="C176" s="46"/>
      <c r="D176" s="69"/>
      <c r="E176" s="58"/>
      <c r="F176" s="46"/>
      <c r="G176" s="18"/>
    </row>
    <row r="177" spans="1:16" x14ac:dyDescent="0.3">
      <c r="A177" s="18"/>
      <c r="B177" s="18"/>
      <c r="C177" s="46"/>
      <c r="D177" s="69"/>
      <c r="E177" s="58"/>
      <c r="F177" s="46"/>
      <c r="G177" s="18"/>
    </row>
    <row r="178" spans="1:16" x14ac:dyDescent="0.3">
      <c r="A178" s="18"/>
      <c r="B178" s="18"/>
      <c r="C178" s="46"/>
      <c r="D178" s="69"/>
      <c r="E178" s="58"/>
      <c r="F178" s="46"/>
      <c r="G178" s="18"/>
    </row>
    <row r="179" spans="1:16" x14ac:dyDescent="0.3">
      <c r="A179" s="18"/>
      <c r="B179" s="18"/>
      <c r="C179" s="46"/>
      <c r="D179" s="69"/>
      <c r="E179" s="58"/>
      <c r="F179" s="46"/>
      <c r="G179" s="18"/>
    </row>
    <row r="180" spans="1:16" x14ac:dyDescent="0.3">
      <c r="A180" s="18"/>
      <c r="B180" s="18"/>
      <c r="C180" s="46"/>
      <c r="D180" s="69"/>
      <c r="E180" s="58"/>
      <c r="F180" s="46"/>
      <c r="G180" s="18"/>
    </row>
    <row r="181" spans="1:16" x14ac:dyDescent="0.3">
      <c r="A181" s="18"/>
      <c r="B181" s="18"/>
      <c r="C181" s="46"/>
      <c r="D181" s="69"/>
      <c r="E181" s="58"/>
      <c r="F181" s="46"/>
      <c r="G181" s="18"/>
    </row>
    <row r="182" spans="1:16" x14ac:dyDescent="0.3">
      <c r="A182" s="18"/>
      <c r="B182" s="18"/>
      <c r="C182" s="46"/>
      <c r="D182" s="69"/>
      <c r="E182" s="58"/>
      <c r="F182" s="46"/>
      <c r="G182" s="18"/>
    </row>
    <row r="183" spans="1:16" x14ac:dyDescent="0.3">
      <c r="A183" s="18"/>
      <c r="B183" s="18"/>
      <c r="C183" s="46"/>
      <c r="D183" s="69"/>
      <c r="E183" s="58"/>
      <c r="F183" s="46"/>
      <c r="G183" s="18"/>
    </row>
    <row r="184" spans="1:16" x14ac:dyDescent="0.3">
      <c r="A184" s="18"/>
      <c r="B184" s="18"/>
      <c r="C184" s="46"/>
      <c r="D184" s="69"/>
      <c r="E184" s="58"/>
      <c r="F184" s="46"/>
      <c r="G184" s="18"/>
    </row>
    <row r="185" spans="1:16" x14ac:dyDescent="0.3">
      <c r="A185" s="18"/>
      <c r="B185" s="18"/>
      <c r="C185" s="46"/>
      <c r="D185" s="69"/>
      <c r="E185" s="58"/>
      <c r="F185" s="46"/>
      <c r="G185" s="18"/>
    </row>
    <row r="186" spans="1:16" x14ac:dyDescent="0.3">
      <c r="A186" s="18"/>
      <c r="B186" s="18"/>
      <c r="C186" s="46"/>
      <c r="D186" s="69"/>
      <c r="E186" s="58"/>
      <c r="F186" s="46"/>
      <c r="G186" s="18"/>
    </row>
    <row r="187" spans="1:16" x14ac:dyDescent="0.3">
      <c r="A187" s="18"/>
      <c r="B187" s="18"/>
      <c r="C187" s="46"/>
      <c r="D187" s="69"/>
      <c r="E187" s="58"/>
      <c r="F187" s="46"/>
      <c r="G187" s="18"/>
    </row>
    <row r="188" spans="1:16" x14ac:dyDescent="0.3">
      <c r="A188" s="18"/>
      <c r="B188" s="18"/>
      <c r="C188" s="46"/>
      <c r="D188" s="69"/>
      <c r="E188" s="58"/>
      <c r="F188" s="46"/>
      <c r="G188" s="18"/>
    </row>
    <row r="189" spans="1:16" x14ac:dyDescent="0.3">
      <c r="A189" s="18"/>
      <c r="B189" s="18"/>
      <c r="C189" s="46"/>
      <c r="D189" s="69"/>
      <c r="E189" s="58"/>
      <c r="F189" s="46"/>
      <c r="G189" s="18"/>
    </row>
    <row r="190" spans="1:16" x14ac:dyDescent="0.3">
      <c r="A190" s="18"/>
      <c r="B190" s="18"/>
      <c r="C190" s="46"/>
      <c r="D190" s="69"/>
      <c r="E190" s="58"/>
      <c r="F190" s="46"/>
      <c r="G190" s="18"/>
    </row>
    <row r="191" spans="1:16" x14ac:dyDescent="0.3">
      <c r="A191" s="18"/>
      <c r="B191" s="18"/>
      <c r="C191" s="46"/>
      <c r="D191" s="69"/>
      <c r="E191" s="58"/>
      <c r="F191" s="46"/>
      <c r="G191" s="18"/>
    </row>
  </sheetData>
  <mergeCells count="2">
    <mergeCell ref="A6:B6"/>
    <mergeCell ref="A7:B7"/>
  </mergeCells>
  <phoneticPr fontId="11" type="noConversion"/>
  <conditionalFormatting sqref="D13:D20">
    <cfRule type="expression" dxfId="11" priority="13">
      <formula>$E13="TOTAL"</formula>
    </cfRule>
    <cfRule type="expression" dxfId="10" priority="14">
      <formula>$E13="PROVÁVEL"</formula>
    </cfRule>
    <cfRule type="expression" dxfId="9" priority="15">
      <formula>$E13="PARCIAL"</formula>
    </cfRule>
    <cfRule type="expression" dxfId="8" priority="16">
      <formula>$E13="OMISSÃO"</formula>
    </cfRule>
  </conditionalFormatting>
  <conditionalFormatting sqref="D23:D25">
    <cfRule type="expression" dxfId="7" priority="9">
      <formula>$E23="TOTAL"</formula>
    </cfRule>
    <cfRule type="expression" dxfId="6" priority="10">
      <formula>$E23="PROVÁVEL"</formula>
    </cfRule>
    <cfRule type="expression" dxfId="5" priority="11">
      <formula>$E23="PARCIAL"</formula>
    </cfRule>
    <cfRule type="expression" dxfId="4" priority="12">
      <formula>$E23="OMISSÃO"</formula>
    </cfRule>
  </conditionalFormatting>
  <conditionalFormatting sqref="D28">
    <cfRule type="expression" dxfId="3" priority="1">
      <formula>$E28="TOTAL"</formula>
    </cfRule>
    <cfRule type="expression" dxfId="2" priority="2">
      <formula>$E28="PROVÁVEL"</formula>
    </cfRule>
    <cfRule type="expression" dxfId="1" priority="3">
      <formula>$E28="PARCIAL"</formula>
    </cfRule>
    <cfRule type="expression" dxfId="0" priority="4">
      <formula>$E28="OMISSÃO"</formula>
    </cfRule>
  </conditionalFormatting>
  <conditionalFormatting sqref="D32">
    <cfRule type="expression" dxfId="3" priority="17">
      <formula>$E32="TOTAL"</formula>
    </cfRule>
    <cfRule type="expression" dxfId="2" priority="18">
      <formula>$E32="PROVÁVEL"</formula>
    </cfRule>
    <cfRule type="expression" dxfId="1" priority="19">
      <formula>$E32="PARCIAL"</formula>
    </cfRule>
    <cfRule type="expression" dxfId="0" priority="20">
      <formula>$E32="OMISSÃO"</formula>
    </cfRule>
  </conditionalFormatting>
  <conditionalFormatting sqref="D36">
    <cfRule type="expression" dxfId="3" priority="21">
      <formula>$E36="TOTAL"</formula>
    </cfRule>
    <cfRule type="expression" dxfId="2" priority="22">
      <formula>$E36="PROVÁVEL"</formula>
    </cfRule>
    <cfRule type="expression" dxfId="1" priority="23">
      <formula>$E36="PARCIAL"</formula>
    </cfRule>
    <cfRule type="expression" dxfId="0" priority="24">
      <formula>$E36="OMISSÃO"</formula>
    </cfRule>
  </conditionalFormatting>
  <conditionalFormatting sqref="D38">
    <cfRule type="expression" dxfId="3" priority="25">
      <formula>$E38="TOTAL"</formula>
    </cfRule>
    <cfRule type="expression" dxfId="2" priority="26">
      <formula>$E38="PROVÁVEL"</formula>
    </cfRule>
    <cfRule type="expression" dxfId="1" priority="27">
      <formula>$E38="PARCIAL"</formula>
    </cfRule>
    <cfRule type="expression" dxfId="0" priority="28">
      <formula>$E38="OMISSÃO"</formula>
    </cfRule>
  </conditionalFormatting>
  <conditionalFormatting sqref="D42">
    <cfRule type="expression" dxfId="3" priority="29">
      <formula>$E42="TOTAL"</formula>
    </cfRule>
    <cfRule type="expression" dxfId="2" priority="30">
      <formula>$E42="PROVÁVEL"</formula>
    </cfRule>
    <cfRule type="expression" dxfId="1" priority="31">
      <formula>$E42="PARCIAL"</formula>
    </cfRule>
    <cfRule type="expression" dxfId="0" priority="32">
      <formula>$E42="OMISSÃO"</formula>
    </cfRule>
  </conditionalFormatting>
  <conditionalFormatting sqref="D46">
    <cfRule type="expression" dxfId="3" priority="33">
      <formula>$E46="TOTAL"</formula>
    </cfRule>
    <cfRule type="expression" dxfId="2" priority="34">
      <formula>$E46="PROVÁVEL"</formula>
    </cfRule>
    <cfRule type="expression" dxfId="1" priority="35">
      <formula>$E46="PARCIAL"</formula>
    </cfRule>
    <cfRule type="expression" dxfId="0" priority="36">
      <formula>$E46="OMISSÃO"</formula>
    </cfRule>
  </conditionalFormatting>
  <conditionalFormatting sqref="D48">
    <cfRule type="expression" dxfId="3" priority="37">
      <formula>$E48="TOTAL"</formula>
    </cfRule>
    <cfRule type="expression" dxfId="2" priority="38">
      <formula>$E48="PROVÁVEL"</formula>
    </cfRule>
    <cfRule type="expression" dxfId="1" priority="39">
      <formula>$E48="PARCIAL"</formula>
    </cfRule>
    <cfRule type="expression" dxfId="0" priority="40">
      <formula>$E48="OMISSÃO"</formula>
    </cfRule>
  </conditionalFormatting>
  <conditionalFormatting sqref="D52:D54">
    <cfRule type="expression" dxfId="3" priority="41">
      <formula>$E52="TOTAL"</formula>
    </cfRule>
    <cfRule type="expression" dxfId="2" priority="42">
      <formula>$E52="PROVÁVEL"</formula>
    </cfRule>
    <cfRule type="expression" dxfId="1" priority="43">
      <formula>$E52="PARCIAL"</formula>
    </cfRule>
    <cfRule type="expression" dxfId="0" priority="44">
      <formula>$E52="OMISSÃO"</formula>
    </cfRule>
  </conditionalFormatting>
  <conditionalFormatting sqref="D58:D62">
    <cfRule type="expression" dxfId="3" priority="45">
      <formula>$E58="TOTAL"</formula>
    </cfRule>
    <cfRule type="expression" dxfId="2" priority="46">
      <formula>$E58="PROVÁVEL"</formula>
    </cfRule>
    <cfRule type="expression" dxfId="1" priority="47">
      <formula>$E58="PARCIAL"</formula>
    </cfRule>
    <cfRule type="expression" dxfId="0" priority="48">
      <formula>$E58="OMISSÃO"</formula>
    </cfRule>
  </conditionalFormatting>
  <conditionalFormatting sqref="D64">
    <cfRule type="expression" dxfId="3" priority="49">
      <formula>$E64="TOTAL"</formula>
    </cfRule>
    <cfRule type="expression" dxfId="2" priority="50">
      <formula>$E64="PROVÁVEL"</formula>
    </cfRule>
    <cfRule type="expression" dxfId="1" priority="51">
      <formula>$E64="PARCIAL"</formula>
    </cfRule>
    <cfRule type="expression" dxfId="0" priority="52">
      <formula>$E64="OMISSÃO"</formula>
    </cfRule>
  </conditionalFormatting>
  <conditionalFormatting sqref="D69:D71">
    <cfRule type="expression" dxfId="3" priority="53">
      <formula>$E69="TOTAL"</formula>
    </cfRule>
    <cfRule type="expression" dxfId="2" priority="54">
      <formula>$E69="PROVÁVEL"</formula>
    </cfRule>
    <cfRule type="expression" dxfId="1" priority="55">
      <formula>$E69="PARCIAL"</formula>
    </cfRule>
    <cfRule type="expression" dxfId="0" priority="56">
      <formula>$E69="OMISSÃO"</formula>
    </cfRule>
  </conditionalFormatting>
  <conditionalFormatting sqref="D73">
    <cfRule type="expression" dxfId="3" priority="57">
      <formula>$E73="TOTAL"</formula>
    </cfRule>
    <cfRule type="expression" dxfId="2" priority="58">
      <formula>$E73="PROVÁVEL"</formula>
    </cfRule>
    <cfRule type="expression" dxfId="1" priority="59">
      <formula>$E73="PARCIAL"</formula>
    </cfRule>
    <cfRule type="expression" dxfId="0" priority="60">
      <formula>$E73="OMISSÃO"</formula>
    </cfRule>
  </conditionalFormatting>
  <conditionalFormatting sqref="D75">
    <cfRule type="expression" dxfId="3" priority="61">
      <formula>$E75="TOTAL"</formula>
    </cfRule>
    <cfRule type="expression" dxfId="2" priority="62">
      <formula>$E75="PROVÁVEL"</formula>
    </cfRule>
    <cfRule type="expression" dxfId="1" priority="63">
      <formula>$E75="PARCIAL"</formula>
    </cfRule>
    <cfRule type="expression" dxfId="0" priority="64">
      <formula>$E75="OMISSÃO"</formula>
    </cfRule>
  </conditionalFormatting>
  <conditionalFormatting sqref="D79:D81">
    <cfRule type="expression" dxfId="3" priority="65">
      <formula>$E79="TOTAL"</formula>
    </cfRule>
    <cfRule type="expression" dxfId="2" priority="66">
      <formula>$E79="PROVÁVEL"</formula>
    </cfRule>
    <cfRule type="expression" dxfId="1" priority="67">
      <formula>$E79="PARCIAL"</formula>
    </cfRule>
    <cfRule type="expression" dxfId="0" priority="68">
      <formula>$E79="OMISSÃO"</formula>
    </cfRule>
  </conditionalFormatting>
  <conditionalFormatting sqref="D83">
    <cfRule type="expression" dxfId="3" priority="69">
      <formula>$E83="TOTAL"</formula>
    </cfRule>
    <cfRule type="expression" dxfId="2" priority="70">
      <formula>$E83="PROVÁVEL"</formula>
    </cfRule>
    <cfRule type="expression" dxfId="1" priority="71">
      <formula>$E83="PARCIAL"</formula>
    </cfRule>
    <cfRule type="expression" dxfId="0" priority="72">
      <formula>$E83="OMISSÃO"</formula>
    </cfRule>
  </conditionalFormatting>
  <conditionalFormatting sqref="D85">
    <cfRule type="expression" dxfId="3" priority="73">
      <formula>$E85="TOTAL"</formula>
    </cfRule>
    <cfRule type="expression" dxfId="2" priority="74">
      <formula>$E85="PROVÁVEL"</formula>
    </cfRule>
    <cfRule type="expression" dxfId="1" priority="75">
      <formula>$E85="PARCIAL"</formula>
    </cfRule>
    <cfRule type="expression" dxfId="0" priority="76">
      <formula>$E85="OMISSÃO"</formula>
    </cfRule>
  </conditionalFormatting>
  <conditionalFormatting sqref="D87">
    <cfRule type="expression" dxfId="3" priority="77">
      <formula>$E87="TOTAL"</formula>
    </cfRule>
    <cfRule type="expression" dxfId="2" priority="78">
      <formula>$E87="PROVÁVEL"</formula>
    </cfRule>
    <cfRule type="expression" dxfId="1" priority="79">
      <formula>$E87="PARCIAL"</formula>
    </cfRule>
    <cfRule type="expression" dxfId="0" priority="80">
      <formula>$E87="OMISSÃO"</formula>
    </cfRule>
  </conditionalFormatting>
  <conditionalFormatting sqref="D91">
    <cfRule type="expression" dxfId="3" priority="81">
      <formula>$E91="TOTAL"</formula>
    </cfRule>
    <cfRule type="expression" dxfId="2" priority="82">
      <formula>$E91="PROVÁVEL"</formula>
    </cfRule>
    <cfRule type="expression" dxfId="1" priority="83">
      <formula>$E91="PARCIAL"</formula>
    </cfRule>
    <cfRule type="expression" dxfId="0" priority="84">
      <formula>$E91="OMISSÃO"</formula>
    </cfRule>
  </conditionalFormatting>
  <conditionalFormatting sqref="D95">
    <cfRule type="expression" dxfId="3" priority="85">
      <formula>$E95="TOTAL"</formula>
    </cfRule>
    <cfRule type="expression" dxfId="2" priority="86">
      <formula>$E95="PROVÁVEL"</formula>
    </cfRule>
    <cfRule type="expression" dxfId="1" priority="87">
      <formula>$E95="PARCIAL"</formula>
    </cfRule>
    <cfRule type="expression" dxfId="0" priority="88">
      <formula>$E95="OMISSÃO"</formula>
    </cfRule>
  </conditionalFormatting>
  <conditionalFormatting sqref="D99:D101">
    <cfRule type="expression" dxfId="3" priority="89">
      <formula>$E99="TOTAL"</formula>
    </cfRule>
    <cfRule type="expression" dxfId="2" priority="90">
      <formula>$E99="PROVÁVEL"</formula>
    </cfRule>
    <cfRule type="expression" dxfId="1" priority="91">
      <formula>$E99="PARCIAL"</formula>
    </cfRule>
    <cfRule type="expression" dxfId="0" priority="92">
      <formula>$E99="OMISSÃO"</formula>
    </cfRule>
  </conditionalFormatting>
  <conditionalFormatting sqref="D105:D115">
    <cfRule type="expression" dxfId="3" priority="93">
      <formula>$E105="TOTAL"</formula>
    </cfRule>
    <cfRule type="expression" dxfId="2" priority="94">
      <formula>$E105="PROVÁVEL"</formula>
    </cfRule>
    <cfRule type="expression" dxfId="1" priority="95">
      <formula>$E105="PARCIAL"</formula>
    </cfRule>
    <cfRule type="expression" dxfId="0" priority="96">
      <formula>$E105="OMISSÃO"</formula>
    </cfRule>
  </conditionalFormatting>
  <conditionalFormatting sqref="D119">
    <cfRule type="expression" dxfId="3" priority="97">
      <formula>$E119="TOTAL"</formula>
    </cfRule>
    <cfRule type="expression" dxfId="2" priority="98">
      <formula>$E119="PROVÁVEL"</formula>
    </cfRule>
    <cfRule type="expression" dxfId="1" priority="99">
      <formula>$E119="PARCIAL"</formula>
    </cfRule>
    <cfRule type="expression" dxfId="0" priority="100">
      <formula>$E119="OMISSÃO"</formula>
    </cfRule>
  </conditionalFormatting>
  <conditionalFormatting sqref="D121">
    <cfRule type="expression" dxfId="3" priority="101">
      <formula>$E121="TOTAL"</formula>
    </cfRule>
    <cfRule type="expression" dxfId="2" priority="102">
      <formula>$E121="PROVÁVEL"</formula>
    </cfRule>
    <cfRule type="expression" dxfId="1" priority="103">
      <formula>$E121="PARCIAL"</formula>
    </cfRule>
    <cfRule type="expression" dxfId="0" priority="104">
      <formula>$E121="OMISSÃO"</formula>
    </cfRule>
  </conditionalFormatting>
  <conditionalFormatting sqref="D123">
    <cfRule type="expression" dxfId="3" priority="105">
      <formula>$E123="TOTAL"</formula>
    </cfRule>
    <cfRule type="expression" dxfId="2" priority="106">
      <formula>$E123="PROVÁVEL"</formula>
    </cfRule>
    <cfRule type="expression" dxfId="1" priority="107">
      <formula>$E123="PARCIAL"</formula>
    </cfRule>
    <cfRule type="expression" dxfId="0" priority="108">
      <formula>$E123="OMISSÃO"</formula>
    </cfRule>
  </conditionalFormatting>
  <conditionalFormatting sqref="D127">
    <cfRule type="expression" dxfId="3" priority="109">
      <formula>$E127="TOTAL"</formula>
    </cfRule>
    <cfRule type="expression" dxfId="2" priority="110">
      <formula>$E127="PROVÁVEL"</formula>
    </cfRule>
    <cfRule type="expression" dxfId="1" priority="111">
      <formula>$E127="PARCIAL"</formula>
    </cfRule>
    <cfRule type="expression" dxfId="0" priority="112">
      <formula>$E127="OMISSÃO"</formula>
    </cfRule>
  </conditionalFormatting>
  <conditionalFormatting sqref="D129">
    <cfRule type="expression" dxfId="3" priority="113">
      <formula>$E129="TOTAL"</formula>
    </cfRule>
    <cfRule type="expression" dxfId="2" priority="114">
      <formula>$E129="PROVÁVEL"</formula>
    </cfRule>
    <cfRule type="expression" dxfId="1" priority="115">
      <formula>$E129="PARCIAL"</formula>
    </cfRule>
    <cfRule type="expression" dxfId="0" priority="116">
      <formula>$E129="OMISSÃO"</formula>
    </cfRule>
  </conditionalFormatting>
  <conditionalFormatting sqref="D133:D135">
    <cfRule type="expression" dxfId="3" priority="117">
      <formula>$E133="TOTAL"</formula>
    </cfRule>
    <cfRule type="expression" dxfId="2" priority="118">
      <formula>$E133="PROVÁVEL"</formula>
    </cfRule>
    <cfRule type="expression" dxfId="1" priority="119">
      <formula>$E133="PARCIAL"</formula>
    </cfRule>
    <cfRule type="expression" dxfId="0" priority="120">
      <formula>$E133="OMISSÃO"</formula>
    </cfRule>
  </conditionalFormatting>
  <conditionalFormatting sqref="D137">
    <cfRule type="expression" dxfId="3" priority="121">
      <formula>$E137="TOTAL"</formula>
    </cfRule>
    <cfRule type="expression" dxfId="2" priority="122">
      <formula>$E137="PROVÁVEL"</formula>
    </cfRule>
    <cfRule type="expression" dxfId="1" priority="123">
      <formula>$E137="PARCIAL"</formula>
    </cfRule>
    <cfRule type="expression" dxfId="0" priority="124">
      <formula>$E137="OMISSÃO"</formula>
    </cfRule>
  </conditionalFormatting>
  <conditionalFormatting sqref="D139">
    <cfRule type="expression" dxfId="3" priority="125">
      <formula>$E139="TOTAL"</formula>
    </cfRule>
    <cfRule type="expression" dxfId="2" priority="126">
      <formula>$E139="PROVÁVEL"</formula>
    </cfRule>
    <cfRule type="expression" dxfId="1" priority="127">
      <formula>$E139="PARCIAL"</formula>
    </cfRule>
    <cfRule type="expression" dxfId="0" priority="128">
      <formula>$E139="OMISSÃO"</formula>
    </cfRule>
  </conditionalFormatting>
  <conditionalFormatting sqref="D141">
    <cfRule type="expression" dxfId="3" priority="129">
      <formula>$E141="TOTAL"</formula>
    </cfRule>
    <cfRule type="expression" dxfId="2" priority="130">
      <formula>$E141="PROVÁVEL"</formula>
    </cfRule>
    <cfRule type="expression" dxfId="1" priority="131">
      <formula>$E141="PARCIAL"</formula>
    </cfRule>
    <cfRule type="expression" dxfId="0" priority="132">
      <formula>$E141="OMISSÃO"</formula>
    </cfRule>
  </conditionalFormatting>
  <conditionalFormatting sqref="D143">
    <cfRule type="expression" dxfId="3" priority="133">
      <formula>$E143="TOTAL"</formula>
    </cfRule>
    <cfRule type="expression" dxfId="2" priority="134">
      <formula>$E143="PROVÁVEL"</formula>
    </cfRule>
    <cfRule type="expression" dxfId="1" priority="135">
      <formula>$E143="PARCIAL"</formula>
    </cfRule>
    <cfRule type="expression" dxfId="0" priority="136">
      <formula>$E143="OMISSÃO"</formula>
    </cfRule>
  </conditionalFormatting>
  <conditionalFormatting sqref="D145">
    <cfRule type="expression" dxfId="3" priority="137">
      <formula>$E145="TOTAL"</formula>
    </cfRule>
    <cfRule type="expression" dxfId="2" priority="138">
      <formula>$E145="PROVÁVEL"</formula>
    </cfRule>
    <cfRule type="expression" dxfId="1" priority="139">
      <formula>$E145="PARCIAL"</formula>
    </cfRule>
    <cfRule type="expression" dxfId="0" priority="140">
      <formula>$E145="OMISSÃO"</formula>
    </cfRule>
  </conditionalFormatting>
  <conditionalFormatting sqref="D147">
    <cfRule type="expression" dxfId="3" priority="141">
      <formula>$E147="TOTAL"</formula>
    </cfRule>
    <cfRule type="expression" dxfId="2" priority="142">
      <formula>$E147="PROVÁVEL"</formula>
    </cfRule>
    <cfRule type="expression" dxfId="1" priority="143">
      <formula>$E147="PARCIAL"</formula>
    </cfRule>
    <cfRule type="expression" dxfId="0" priority="144">
      <formula>$E147="OMISSÃO"</formula>
    </cfRule>
  </conditionalFormatting>
  <conditionalFormatting sqref="D149">
    <cfRule type="expression" dxfId="3" priority="145">
      <formula>$E149="TOTAL"</formula>
    </cfRule>
    <cfRule type="expression" dxfId="2" priority="146">
      <formula>$E149="PROVÁVEL"</formula>
    </cfRule>
    <cfRule type="expression" dxfId="1" priority="147">
      <formula>$E149="PARCIAL"</formula>
    </cfRule>
    <cfRule type="expression" dxfId="0" priority="148">
      <formula>$E149="OMISSÃO"</formula>
    </cfRule>
  </conditionalFormatting>
  <conditionalFormatting sqref="D151">
    <cfRule type="expression" dxfId="3" priority="149">
      <formula>$E151="TOTAL"</formula>
    </cfRule>
    <cfRule type="expression" dxfId="2" priority="150">
      <formula>$E151="PROVÁVEL"</formula>
    </cfRule>
    <cfRule type="expression" dxfId="1" priority="151">
      <formula>$E151="PARCIAL"</formula>
    </cfRule>
    <cfRule type="expression" dxfId="0" priority="152">
      <formula>$E151="OMISSÃO"</formula>
    </cfRule>
  </conditionalFormatting>
  <conditionalFormatting sqref="D153">
    <cfRule type="expression" dxfId="3" priority="153">
      <formula>$E153="TOTAL"</formula>
    </cfRule>
    <cfRule type="expression" dxfId="2" priority="154">
      <formula>$E153="PROVÁVEL"</formula>
    </cfRule>
    <cfRule type="expression" dxfId="1" priority="155">
      <formula>$E153="PARCIAL"</formula>
    </cfRule>
    <cfRule type="expression" dxfId="0" priority="156">
      <formula>$E153="OMISSÃO"</formula>
    </cfRule>
  </conditionalFormatting>
  <conditionalFormatting sqref="D155">
    <cfRule type="expression" dxfId="3" priority="157">
      <formula>$E155="TOTAL"</formula>
    </cfRule>
    <cfRule type="expression" dxfId="2" priority="158">
      <formula>$E155="PROVÁVEL"</formula>
    </cfRule>
    <cfRule type="expression" dxfId="1" priority="159">
      <formula>$E155="PARCIAL"</formula>
    </cfRule>
    <cfRule type="expression" dxfId="0" priority="160">
      <formula>$E155="OMISSÃO"</formula>
    </cfRule>
  </conditionalFormatting>
  <conditionalFormatting sqref="D159:D161">
    <cfRule type="expression" dxfId="3" priority="161">
      <formula>$E159="TOTAL"</formula>
    </cfRule>
    <cfRule type="expression" dxfId="2" priority="162">
      <formula>$E159="PROVÁVEL"</formula>
    </cfRule>
    <cfRule type="expression" dxfId="1" priority="163">
      <formula>$E159="PARCIAL"</formula>
    </cfRule>
    <cfRule type="expression" dxfId="0" priority="164">
      <formula>$E159="OMISSÃO"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Sadina</dc:creator>
  <cp:lastModifiedBy>Igor Sadina</cp:lastModifiedBy>
  <dcterms:created xsi:type="dcterms:W3CDTF">2026-10-15T10:31:09Z</dcterms:created>
  <dcterms:modified xsi:type="dcterms:W3CDTF">2026-10-19T16:32:08Z</dcterms:modified>
</cp:coreProperties>
</file>