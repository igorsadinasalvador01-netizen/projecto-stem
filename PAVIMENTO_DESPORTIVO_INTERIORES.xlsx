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fs\NVE\Obras\Obras\ZONA NORTE\026.26-Pavilhão da Escola EB2,3 João de Meira\04. Preparação\PREPARAÇAO IS\2-PAVIMENTO DESPORTIVO INTERIORES\"/>
    </mc:Choice>
  </mc:AlternateContent>
  <xr:revisionPtr revIDLastSave="0" documentId="13_ncr:1_{21EEE3FC-F142-4D52-935E-D046F5634747}" xr6:coauthVersionLast="47" xr6:coauthVersionMax="47" xr10:uidLastSave="{00000000-0000-0000-0000-000000000000}"/>
  <bookViews>
    <workbookView xWindow="-108" yWindow="-108" windowWidth="23256" windowHeight="13896" xr2:uid="{2474CF40-1A81-4A01-84B9-8D5B591737F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<sst xmlns="http://schemas.openxmlformats.org/spreadsheetml/2006/main" count="110" uniqueCount="67">
  <si>
    <t>Folha de Medição Em Obra</t>
  </si>
  <si>
    <t>Obra: Pavilhão da Escola EB2,3 João de Meira</t>
  </si>
  <si>
    <t>Local:</t>
  </si>
  <si>
    <t>Pág:</t>
  </si>
  <si>
    <t>Data:</t>
  </si>
  <si>
    <t>Designação (resumo)</t>
  </si>
  <si>
    <t>Zona</t>
  </si>
  <si>
    <t>Afetação</t>
  </si>
  <si>
    <t>Un</t>
  </si>
  <si>
    <t>3.9.1.1.1</t>
  </si>
  <si>
    <t>PAV I 01 — Pavimento desportivo em madeira — Polidesportivo</t>
  </si>
  <si>
    <t>Polidesportivo (A)</t>
  </si>
  <si>
    <t>TOTAL</t>
  </si>
  <si>
    <t>3.9.1.1.2</t>
  </si>
  <si>
    <t>PAV I 01 — Pavimento desportivo em madeira — Ginásio</t>
  </si>
  <si>
    <t>Ginásio (A')</t>
  </si>
  <si>
    <t>3.9.1.1.3</t>
  </si>
  <si>
    <t>PAV I 01 — Pavimento desportivo em madeira — Sala de Ginástica</t>
  </si>
  <si>
    <t>Sala de Ginástica (A.1.3)</t>
  </si>
  <si>
    <t>2.3.14.2</t>
  </si>
  <si>
    <t>Pavimento térreo P.T.2 (caixa de brita 0,15 m) — laje sob o pavimento desportivo</t>
  </si>
  <si>
    <t>Comum / várias zonas</t>
  </si>
  <si>
    <t>PROVÁVEL</t>
  </si>
  <si>
    <t xml:space="preserve">Artigo </t>
  </si>
  <si>
    <t>3.15.9.1</t>
  </si>
  <si>
    <t>Pinturas e marcações de jogo — Gimnodesportivo</t>
  </si>
  <si>
    <t>3.15.9.2</t>
  </si>
  <si>
    <t>Pinturas e marcações de jogo — Ginásio</t>
  </si>
  <si>
    <t>3.8.6</t>
  </si>
  <si>
    <t xml:space="preserve"> PAVIMENTO DESPORTIVO INTERIORES</t>
  </si>
  <si>
    <t>3.9.1.1</t>
  </si>
  <si>
    <t>PAV I 01
Fornecimento e aplicação de Pavimento desportivo Multicamada em Madeira Maciça tipo "FLEXLOCK TARKETT - faia nature (3-strip)" ou equiv.
Incluí: Todos os trabalhos, camadas e materiais necessários para a execução de acordo com as indicações do fabricante, com os desenhos de pormenor, mapa de acabamentos e caderno de encargos.</t>
  </si>
  <si>
    <t>Medição para:  PAVIMENTO DESPORTIVO INTERIORES</t>
  </si>
  <si>
    <t>m²</t>
  </si>
  <si>
    <t xml:space="preserve">Qtd. MQT </t>
  </si>
  <si>
    <t>Qtd. prevista no Projecto</t>
  </si>
  <si>
    <t>3.15.9</t>
  </si>
  <si>
    <t>PINTURAS E MARCAÇÕES
Fornecimento e aplicação de pinturas em zonas de prática desportiva.</t>
  </si>
  <si>
    <t>RP. I 1 02. RODAPÉ DE MADEIRA 60mm Fornecimento e aplicação de rodapé de madeira maciça lacada com alta resistência (esmalte acetinado). 25mm de espessura, colado e fixado mecânicamente ao suporte.
Incluí:
- Todos os trabalhos e materiais necessários para a execução de acordo com as indicações do fabricante, com os desenhos de pormenor, mapa de acabamentos e caderno de encargos.</t>
  </si>
  <si>
    <t>ml</t>
  </si>
  <si>
    <t>3.17.2</t>
  </si>
  <si>
    <t>REDES DE PROTEÇÃO ZONAS DESPORTIVAS Fornecimento e aplicação de rede de proteção / vedação / topo de espaços desportivos malha 35x35mm; Fio Entrançado de Polipropileno de 3 mm: Garantindo uma alta resistência à abrasão e ao impacto, aumenta a vida útil da rede, suportando condições climáticas adversas e uso intensivo; KITs de montagem para a fixação de redes compostos por poleias, serra-cabos, esticadores, mosquetões, parafusos, buchas, abracadeiras e todos os acessórios que se verifiquem necessários à aplicação no local.
- Preparação de Obra e Planificação dos tramos de cortina a aplicar e definição de cenários de abertura.
- Todos os trabalhos e materiais necessários para a execução de acordo com as indicações do fabricante, com os desenhos de pormenor, mapa de acabamentos e caderno de encargos.</t>
  </si>
  <si>
    <t>3.17.2.1</t>
  </si>
  <si>
    <t>Redes de proteção zonas desportivas — Setor A</t>
  </si>
  <si>
    <t>3.17.7</t>
  </si>
  <si>
    <t>CORTINAS ÁREA DE JOGO
Fornecimento e aplicação de cortina cor e material a aprovar em obra, adequada à separação das áreas de desporto por tramos com altura aprox de 4m; Sistema tipo ou equiv.: "Cortina Divisória tipo AFFSPORTS" composição de tela PVC até 4m e rede até à asna de suporte; fixação à asna de suporte.
Incluí:
- Preparação de Obra e Planificação dos tramos de cortina a aplicar e definição de cenários de abertura.
- Sistema de Correr e Suspensão (a aprovar pelo D.O.)
- Todos os trabalhos e materiais necessários para a execução de acordo com as indicações do fabricante, com os desenhos de pormenor, mapa de acabamentos e caderno de encargos.</t>
  </si>
  <si>
    <t>3.17.7.1</t>
  </si>
  <si>
    <t>Cortinas área de jogo — Setor A</t>
  </si>
  <si>
    <t>3.17.3</t>
  </si>
  <si>
    <t>BANCADAS RETRÁTEIS
Fornecimento e aplicação de Bancada Retrátil com uma altura de 2,95m, 7 patamares e um desenvolvimento linear de 18,50m. Os patamares e as testas de degraus devem ser revestidos a soalho de madeira de carvalho.
Incluí: Todos os trabalhos e materiais necessários para a execução de acordo com as indicações do fabricante, com os desenhos de pormenor, mapa de acabamentos e caderno de encargos.</t>
  </si>
  <si>
    <t>UN</t>
  </si>
  <si>
    <t>3.17.4</t>
  </si>
  <si>
    <t>BANCOS PARA BANCADAS
Fornecimento e aplicação de Bancos para aplicar em degraus de Bancadas de betão préfabricado, tipo "Sports Partner SYMI" ou equivalente em cor a definir em obra.
Incluí: Todos os trabalhos e materiais necessários para a execução de acordo com as indicações do fabricante, com os desenhos de pormenor, mapa de acabamentos e caderno de encargos.</t>
  </si>
  <si>
    <t>3.17.4.1</t>
  </si>
  <si>
    <t>Bancos para bancadas — Bancada 01</t>
  </si>
  <si>
    <t>3.17.5</t>
  </si>
  <si>
    <t>BANCO CORRIDO PARA BANCADAS Fornecimento e aplicação de banco corrido em madeira maciça de carvalho conforme projeto de arquitectura, composto por 10 tábuas maciças de madeira de carvalho, cada uma com uma secção de 45x4cm e de comprimento 165cm, prefazendo um total de 16.50m. Todas as fixações à base deverão ser invisíveis, e o acabamento deverá ser em verniz de elevada resistência em Poliuretano mate aplicado num mínimo de 3 demãos.
Incluí: Todos os trabalhos e materiais necessários para a execução de acordo com as indicações do fabricante, com os desenhos de pormenor, mapa de acabamentos e caderno de encargos.</t>
  </si>
  <si>
    <t>3.17.5.1</t>
  </si>
  <si>
    <t>Banco corrido para bancadas — Bancada 02</t>
  </si>
  <si>
    <t>3.8.8</t>
  </si>
  <si>
    <t>REV. ESPELHO PA I.07
Fornecimento e colocação de espelho de vidro incolor "SAINT-GOBAIN GLASS", de 5 mm de espessura, com tinta de protecção, cor prata, pela sua face posterior, fixado com massa ao paramento. Incluindo tratamento perimetral dos bordos, e massa.
Sala de Ginástica
Incluí:
- Todos os trabalhos e materiais necessários para a execução de acordo com as indicações do fabricante, com os desenhos de pormenor, mapa de acabamentos e caderno de encargos.</t>
  </si>
  <si>
    <t>3.17.8</t>
  </si>
  <si>
    <t>ESTORES DE ROLO MOTORIZADOS aprox. 2.60 h
Fornecimento e aplicação de estore de rolo motorizado tipo ct 110 caixa cilíndrica cor a definir em obra, tipo brasolar ou equivalente, em tecido de poliéster retardador ao fogo cor a definir em obra (screen 5500 3% 600gr) Incluí:
- Preparação de Obra e Planificação dos tramos a aplicar e definição de cenários de abertura.
- Sistema; eletrificação (a aprovar pelo D.O.)
- Todos os trabalhos e materiais necessários para a execução de acordo com as indicações do fabricante, com os desenhos de pormenor, mapa de acabamentos e caderno de encargos.</t>
  </si>
  <si>
    <t>3.17.8.1</t>
  </si>
  <si>
    <t>Estores de rolo motorizados — Ginásio</t>
  </si>
  <si>
    <t>3.17.8.2</t>
  </si>
  <si>
    <t>Estores de rolo motorizados — Sala Gimnodesportivo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</si>
</sst>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\-"/>
  </numFmts>
  <fonts count="1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1F4E79"/>
      </patternFill>
    </fill>
    <fill>
      <patternFill patternType="solid">
        <fgColor theme="0" tint="-4.9989318521683403E-2"/>
        <bgColor rgb="FF1F4E79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9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right" vertical="center"/>
      <protection hidden="1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4" xfId="0" applyFont="1" applyFill="1" applyBorder="1" applyAlignment="1">
      <alignment vertical="center"/>
    </xf>
    <xf numFmtId="0" fontId="0" fillId="4" borderId="0" xfId="0" applyFill="1"/>
    <xf numFmtId="14" fontId="1" fillId="2" borderId="6" xfId="0" applyNumberFormat="1" applyFont="1" applyFill="1" applyBorder="1" applyAlignment="1">
      <alignment vertical="center"/>
    </xf>
    <xf numFmtId="0" fontId="0" fillId="0" borderId="9" xfId="0" applyBorder="1"/>
    <xf numFmtId="0" fontId="5" fillId="5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7" borderId="10" xfId="0" applyFill="1" applyBorder="1"/>
    <xf numFmtId="0" fontId="5" fillId="6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13" xfId="0" applyBorder="1"/>
    <xf numFmtId="0" fontId="0" fillId="4" borderId="10" xfId="0" applyFill="1" applyBorder="1"/>
    <xf numFmtId="0" fontId="8" fillId="4" borderId="10" xfId="0" applyFont="1" applyFill="1" applyBorder="1" applyAlignment="1">
      <alignment horizontal="center" vertical="center"/>
    </xf>
    <xf numFmtId="0" fontId="0" fillId="4" borderId="8" xfId="0" applyFill="1" applyBorder="1"/>
    <xf numFmtId="0" fontId="9" fillId="4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0" fontId="10" fillId="5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164" fontId="10" fillId="0" borderId="8" xfId="0" applyNumberFormat="1" applyFont="1" applyBorder="1" applyAlignment="1">
      <alignment vertical="top"/>
    </xf>
    <xf numFmtId="164" fontId="10" fillId="0" borderId="8" xfId="0" applyNumberFormat="1" applyFont="1" applyBorder="1" applyAlignment="1">
      <alignment horizontal="center" vertical="top"/>
    </xf>
    <xf numFmtId="164" fontId="10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10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7" borderId="8" xfId="0" applyFont="1" applyFill="1" applyBorder="1"/>
    <xf numFmtId="0" fontId="12" fillId="4" borderId="8" xfId="0" applyFont="1" applyFill="1" applyBorder="1"/>
    <xf numFmtId="0" fontId="12" fillId="0" borderId="8" xfId="0" applyFont="1" applyBorder="1"/>
    <xf numFmtId="0" fontId="12" fillId="7" borderId="10" xfId="0" applyFont="1" applyFill="1" applyBorder="1"/>
    <xf numFmtId="0" fontId="12" fillId="4" borderId="10" xfId="0" applyFont="1" applyFill="1" applyBorder="1"/>
    <xf numFmtId="0" fontId="12" fillId="0" borderId="13" xfId="0" applyFont="1" applyBorder="1"/>
    <xf numFmtId="0" fontId="12" fillId="0" borderId="0" xfId="0" applyFont="1"/>
    <xf numFmtId="0" fontId="10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1" xfId="0" applyFont="1" applyBorder="1" applyAlignment="1" applyProtection="1">
      <alignment vertical="center"/>
      <protection hidden="1"/>
    </xf>
    <xf numFmtId="0" fontId="10" fillId="2" borderId="0" xfId="0" applyFont="1" applyFill="1"/>
    <xf numFmtId="0" fontId="7" fillId="2" borderId="0" xfId="0" applyFont="1" applyFill="1"/>
    <xf numFmtId="0" fontId="6" fillId="2" borderId="3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2" fillId="4" borderId="12" xfId="0" applyFont="1" applyFill="1" applyBorder="1"/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/>
    <xf numFmtId="0" fontId="12" fillId="0" borderId="11" xfId="0" applyFont="1" applyBorder="1"/>
    <xf numFmtId="164" fontId="5" fillId="0" borderId="8" xfId="0" applyNumberFormat="1" applyFont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sz val="9"/>
        <color rgb="FF5B2C6F"/>
        <name val="Arial"/>
        <charset val="1"/>
      </font>
    </dxf>
    <dxf>
      <font>
        <b/>
        <sz val="9"/>
        <color rgb="FF9C5700"/>
        <name val="Arial"/>
        <charset val="1"/>
      </font>
    </dxf>
    <dxf>
      <font>
        <b/>
        <sz val="9"/>
        <color rgb="FF1F4E79"/>
        <name val="Arial"/>
        <charset val="1"/>
      </font>
    </dxf>
    <dxf>
      <font>
        <b/>
        <sz val="9"/>
        <color rgb="FF006100"/>
        <name val="Arial"/>
        <charset val="1"/>
      </font>
    </dxf>
    <dxf>
      <font>
        <b/>
        <sz val="9"/>
        <color rgb="FF5B2C6F"/>
        <name val="Arial"/>
        <charset val="1"/>
      </font>
    </dxf>
    <dxf>
      <font>
        <b/>
        <sz val="9"/>
        <color rgb="FF9C5700"/>
        <name val="Arial"/>
        <charset val="1"/>
      </font>
    </dxf>
    <dxf>
      <font>
        <b/>
        <sz val="9"/>
        <color rgb="FF1F4E79"/>
        <name val="Arial"/>
        <charset val="1"/>
      </font>
    </dxf>
    <dxf>
      <font>
        <b/>
        <sz val="9"/>
        <color rgb="FF006100"/>
        <name val="Arial"/>
        <charset val="1"/>
      </font>
    </dxf>
    <dxf>
      <font>
        <b/>
        <sz val="9"/>
        <color rgb="FF5B2C6F"/>
        <name val="Arial"/>
        <charset val="1"/>
      </font>
    </dxf>
    <dxf>
      <font>
        <b/>
        <sz val="9"/>
        <color rgb="FF9C5700"/>
        <name val="Arial"/>
        <charset val="1"/>
      </font>
    </dxf>
    <dxf>
      <font>
        <b/>
        <sz val="9"/>
        <color rgb="FF1F4E79"/>
        <name val="Arial"/>
        <charset val="1"/>
      </font>
    </dxf>
    <dxf>
      <font>
        <b/>
        <sz val="9"/>
        <color rgb="FF006100"/>
        <name val="Arial"/>
        <charset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243840</xdr:colOff>
      <xdr:row>0</xdr:row>
      <xdr:rowOff>30480</xdr:rowOff>
    </xdr:from>
    <xdr:ext cx="666288" cy="855299"/>
    <xdr:pic>
      <xdr:nvPicPr>
        <xdr:cNvPr id="2" name="Imagem 1">
          <a:extLst>
            <a:ext uri="{FF2B5EF4-FFF2-40B4-BE49-F238E27FC236}">
              <a16:creationId xmlns:a16="http://schemas.microsoft.com/office/drawing/2014/main" id="{00B89CF1-CAA9-4A85-AFC4-46709A0F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30480"/>
          <a:ext cx="666288" cy="840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FBEF-1D54-4853-9843-18D6A01975AF}">
  <dimension ref="A1:P84"/>
  <sheetViews>
    <sheetView tabSelected="1" topLeftCell="A11" workbookViewId="0">
      <selection activeCell="L31" sqref="L31"/>
    </sheetView>
  </sheetViews>
  <sheetFormatPr defaultRowHeight="14.4" x14ac:dyDescent="0.3"/>
  <cols>
    <col min="2" max="2" width="67.33203125" customWidth="1"/>
    <col min="3" max="3" width="19.5546875" style="50" customWidth="1"/>
    <col min="4" max="4" width="10.44140625" style="50" customWidth="1"/>
    <col min="5" max="5" width="8.21875" style="59" customWidth="1"/>
    <col min="6" max="6" width="14.5546875" style="50" customWidth="1"/>
    <col min="7" max="7" width="16.88671875" customWidth="1"/>
    <col min="8" max="8" width="8.77734375" customWidth="1"/>
    <col min="9" max="10" width="8.88671875" hidden="1" customWidth="1"/>
    <col min="12" max="12" width="18.6640625" customWidth="1"/>
  </cols>
  <sheetData>
    <row r="1" spans="1:16" ht="15" thickBot="1" x14ac:dyDescent="0.35">
      <c r="A1" s="33"/>
      <c r="B1" s="1"/>
      <c r="C1" s="60"/>
      <c r="D1" s="60"/>
      <c r="E1" s="39"/>
      <c r="F1" s="39"/>
      <c r="G1" s="2" t="s">
        <v>0</v>
      </c>
      <c r="H1" s="3"/>
    </row>
    <row r="2" spans="1:16" ht="15" thickTop="1" x14ac:dyDescent="0.3">
      <c r="A2" s="4"/>
      <c r="B2" s="5"/>
      <c r="C2" s="61"/>
      <c r="D2" s="61"/>
      <c r="E2" s="51"/>
      <c r="F2" s="40"/>
      <c r="G2" s="6"/>
      <c r="H2" s="3"/>
    </row>
    <row r="3" spans="1:16" x14ac:dyDescent="0.3">
      <c r="A3" s="4"/>
      <c r="B3" s="5"/>
      <c r="C3" s="61"/>
      <c r="D3" s="61"/>
      <c r="E3" s="51"/>
      <c r="F3" s="40"/>
      <c r="G3" s="6"/>
      <c r="H3" s="3"/>
    </row>
    <row r="4" spans="1:16" x14ac:dyDescent="0.3">
      <c r="A4" s="4"/>
      <c r="B4" s="5"/>
      <c r="C4" s="62"/>
      <c r="D4" s="62"/>
      <c r="E4" s="51"/>
      <c r="F4" s="40"/>
      <c r="G4" s="6"/>
      <c r="H4" s="3"/>
    </row>
    <row r="5" spans="1:16" x14ac:dyDescent="0.3">
      <c r="A5" s="4"/>
      <c r="B5" s="5"/>
      <c r="C5" s="62"/>
      <c r="D5" s="62"/>
      <c r="E5" s="51"/>
      <c r="F5" s="40"/>
      <c r="G5" s="6"/>
      <c r="H5" s="3"/>
    </row>
    <row r="6" spans="1:16" x14ac:dyDescent="0.3">
      <c r="A6" s="72" t="s">
        <v>1</v>
      </c>
      <c r="B6" s="73"/>
      <c r="C6" s="63"/>
      <c r="D6" s="65" t="s">
        <v>2</v>
      </c>
      <c r="E6" s="41"/>
      <c r="F6" s="41"/>
      <c r="G6" s="7" t="s">
        <v>3</v>
      </c>
      <c r="H6" s="3"/>
    </row>
    <row r="7" spans="1:16" x14ac:dyDescent="0.3">
      <c r="A7" s="74" t="s">
        <v>32</v>
      </c>
      <c r="B7" s="75"/>
      <c r="C7" s="64"/>
      <c r="D7" s="64"/>
      <c r="E7" s="52"/>
      <c r="F7" s="42" t="s">
        <v>4</v>
      </c>
      <c r="G7" s="9">
        <v>46304</v>
      </c>
      <c r="H7" s="3"/>
    </row>
    <row r="8" spans="1:16" x14ac:dyDescent="0.3">
      <c r="A8" s="10"/>
      <c r="B8" s="10"/>
      <c r="C8" s="43"/>
      <c r="D8" s="43"/>
      <c r="E8" s="53"/>
      <c r="F8" s="43"/>
      <c r="G8" s="10"/>
      <c r="H8" s="3"/>
    </row>
    <row r="9" spans="1:16" s="8" customFormat="1" ht="31.2" customHeight="1" x14ac:dyDescent="0.3">
      <c r="A9" s="34" t="s">
        <v>23</v>
      </c>
      <c r="B9" s="11" t="s">
        <v>5</v>
      </c>
      <c r="C9" s="11" t="s">
        <v>6</v>
      </c>
      <c r="D9" s="11" t="s">
        <v>7</v>
      </c>
      <c r="E9" s="11" t="s">
        <v>8</v>
      </c>
      <c r="F9" s="11" t="s">
        <v>34</v>
      </c>
      <c r="G9" s="11" t="s">
        <v>35</v>
      </c>
      <c r="H9" s="3"/>
      <c r="I9"/>
      <c r="J9"/>
      <c r="K9"/>
      <c r="L9"/>
      <c r="M9"/>
      <c r="N9"/>
      <c r="O9"/>
      <c r="P9"/>
    </row>
    <row r="10" spans="1:16" s="8" customFormat="1" ht="31.2" customHeight="1" x14ac:dyDescent="0.3">
      <c r="A10" s="35"/>
      <c r="B10" s="22" t="s">
        <v>29</v>
      </c>
      <c r="C10" s="13"/>
      <c r="D10" s="20"/>
      <c r="E10" s="13" t="s">
        <v>33</v>
      </c>
      <c r="F10" s="13"/>
      <c r="G10" s="13"/>
      <c r="H10" s="3"/>
      <c r="I10"/>
      <c r="J10"/>
      <c r="K10"/>
      <c r="L10"/>
      <c r="M10"/>
      <c r="N10"/>
      <c r="O10"/>
      <c r="P10"/>
    </row>
    <row r="11" spans="1:16" s="30" customFormat="1" ht="92.4" customHeight="1" x14ac:dyDescent="0.3">
      <c r="A11" s="32" t="s">
        <v>30</v>
      </c>
      <c r="B11" s="31" t="s">
        <v>31</v>
      </c>
      <c r="C11" s="12"/>
      <c r="D11" s="29"/>
      <c r="E11" s="12"/>
      <c r="F11" s="12"/>
      <c r="G11" s="12"/>
    </row>
    <row r="12" spans="1:16" s="30" customFormat="1" ht="11.4" customHeight="1" x14ac:dyDescent="0.3">
      <c r="A12" s="32"/>
      <c r="B12" s="71"/>
      <c r="C12" s="12"/>
      <c r="D12" s="29"/>
      <c r="E12" s="12"/>
      <c r="F12" s="12"/>
      <c r="G12" s="12"/>
    </row>
    <row r="13" spans="1:16" x14ac:dyDescent="0.3">
      <c r="A13" s="15" t="s">
        <v>9</v>
      </c>
      <c r="B13" s="14" t="s">
        <v>10</v>
      </c>
      <c r="C13" s="14" t="s">
        <v>11</v>
      </c>
      <c r="D13" s="21" t="s">
        <v>12</v>
      </c>
      <c r="E13" s="70" t="s">
        <v>33</v>
      </c>
      <c r="F13" s="38">
        <v>1100</v>
      </c>
      <c r="G13" s="38">
        <v>1100</v>
      </c>
      <c r="H13" s="3"/>
    </row>
    <row r="14" spans="1:16" x14ac:dyDescent="0.3">
      <c r="A14" s="15"/>
      <c r="B14" s="14"/>
      <c r="C14" s="14"/>
      <c r="D14" s="21"/>
      <c r="E14" s="70"/>
      <c r="F14" s="38"/>
      <c r="G14" s="38"/>
      <c r="H14" s="3"/>
    </row>
    <row r="15" spans="1:16" x14ac:dyDescent="0.3">
      <c r="A15" s="15" t="s">
        <v>13</v>
      </c>
      <c r="B15" s="14" t="s">
        <v>14</v>
      </c>
      <c r="C15" s="14" t="s">
        <v>15</v>
      </c>
      <c r="D15" s="21" t="s">
        <v>12</v>
      </c>
      <c r="E15" s="70" t="s">
        <v>33</v>
      </c>
      <c r="F15" s="38">
        <v>396</v>
      </c>
      <c r="G15" s="16">
        <v>375</v>
      </c>
      <c r="H15" s="3"/>
    </row>
    <row r="16" spans="1:16" x14ac:dyDescent="0.3">
      <c r="A16" s="15"/>
      <c r="B16" s="14"/>
      <c r="C16" s="14"/>
      <c r="D16" s="21"/>
      <c r="E16" s="70"/>
      <c r="F16" s="38"/>
      <c r="G16" s="16"/>
      <c r="H16" s="3"/>
    </row>
    <row r="17" spans="1:16" ht="25.2" customHeight="1" x14ac:dyDescent="0.3">
      <c r="A17" s="15" t="s">
        <v>16</v>
      </c>
      <c r="B17" s="14" t="s">
        <v>17</v>
      </c>
      <c r="C17" s="14" t="s">
        <v>18</v>
      </c>
      <c r="D17" s="21" t="s">
        <v>12</v>
      </c>
      <c r="E17" s="70" t="s">
        <v>33</v>
      </c>
      <c r="F17" s="38">
        <v>102</v>
      </c>
      <c r="G17" s="16">
        <v>103.85</v>
      </c>
      <c r="H17" s="3"/>
    </row>
    <row r="18" spans="1:16" ht="12.6" customHeight="1" x14ac:dyDescent="0.3">
      <c r="A18" s="15"/>
      <c r="B18" s="14"/>
      <c r="C18" s="14"/>
      <c r="D18" s="21"/>
      <c r="E18" s="70"/>
      <c r="F18" s="38"/>
      <c r="G18" s="16"/>
      <c r="H18" s="3"/>
    </row>
    <row r="19" spans="1:16" x14ac:dyDescent="0.3">
      <c r="A19" s="15" t="s">
        <v>19</v>
      </c>
      <c r="B19" s="14" t="s">
        <v>20</v>
      </c>
      <c r="C19" s="14" t="s">
        <v>21</v>
      </c>
      <c r="D19" s="21" t="s">
        <v>22</v>
      </c>
      <c r="E19" s="70" t="s">
        <v>33</v>
      </c>
      <c r="F19" s="38">
        <v>1602.9</v>
      </c>
      <c r="G19" s="16">
        <f>SUM(G13,G15,G17)</f>
        <v>1578.85</v>
      </c>
      <c r="H19" s="3"/>
    </row>
    <row r="20" spans="1:16" x14ac:dyDescent="0.3">
      <c r="A20" s="15"/>
      <c r="B20" s="14"/>
      <c r="C20" s="14"/>
      <c r="D20" s="21"/>
      <c r="E20" s="37"/>
      <c r="F20" s="38"/>
      <c r="G20" s="16"/>
      <c r="H20" s="3"/>
    </row>
    <row r="21" spans="1:16" ht="31.2" customHeight="1" x14ac:dyDescent="0.3">
      <c r="A21" s="77" t="s">
        <v>36</v>
      </c>
      <c r="B21" s="76" t="s">
        <v>37</v>
      </c>
      <c r="C21" s="47"/>
      <c r="D21" s="47"/>
      <c r="E21" s="78" t="s">
        <v>33</v>
      </c>
      <c r="F21" s="44"/>
      <c r="G21" s="19"/>
      <c r="H21" s="3"/>
    </row>
    <row r="22" spans="1:16" s="8" customFormat="1" ht="13.2" customHeight="1" x14ac:dyDescent="0.3">
      <c r="A22" s="25"/>
      <c r="B22" s="28"/>
      <c r="C22" s="48"/>
      <c r="D22" s="66"/>
      <c r="E22" s="54"/>
      <c r="F22" s="45"/>
      <c r="G22" s="25"/>
      <c r="H22" s="3"/>
      <c r="I22"/>
      <c r="J22"/>
      <c r="K22"/>
      <c r="L22"/>
      <c r="M22"/>
      <c r="N22"/>
      <c r="O22"/>
      <c r="P22"/>
    </row>
    <row r="23" spans="1:16" ht="21" customHeight="1" x14ac:dyDescent="0.3">
      <c r="A23" s="15" t="s">
        <v>24</v>
      </c>
      <c r="B23" s="14" t="s">
        <v>25</v>
      </c>
      <c r="C23" s="14" t="s">
        <v>11</v>
      </c>
      <c r="D23" s="21" t="s">
        <v>12</v>
      </c>
      <c r="E23" s="79" t="s">
        <v>33</v>
      </c>
      <c r="F23" s="80">
        <v>1100</v>
      </c>
      <c r="G23" s="87">
        <v>1100</v>
      </c>
      <c r="H23" s="3"/>
    </row>
    <row r="24" spans="1:16" ht="13.8" customHeight="1" x14ac:dyDescent="0.3">
      <c r="A24" s="15"/>
      <c r="B24" s="14"/>
      <c r="C24" s="14"/>
      <c r="D24" s="21"/>
      <c r="E24" s="23"/>
      <c r="F24" s="36"/>
      <c r="G24" s="18"/>
      <c r="H24" s="3"/>
    </row>
    <row r="25" spans="1:16" ht="16.2" customHeight="1" x14ac:dyDescent="0.3">
      <c r="A25" s="15" t="s">
        <v>26</v>
      </c>
      <c r="B25" s="14" t="s">
        <v>27</v>
      </c>
      <c r="C25" s="14" t="s">
        <v>15</v>
      </c>
      <c r="D25" s="21" t="s">
        <v>12</v>
      </c>
      <c r="E25" s="79" t="s">
        <v>33</v>
      </c>
      <c r="F25" s="38">
        <v>380</v>
      </c>
      <c r="G25" s="23">
        <v>375</v>
      </c>
      <c r="H25" s="3"/>
    </row>
    <row r="26" spans="1:16" ht="13.8" hidden="1" customHeight="1" x14ac:dyDescent="0.3">
      <c r="A26" s="17"/>
      <c r="B26" s="17"/>
      <c r="C26" s="55"/>
      <c r="D26" s="67"/>
      <c r="E26" s="55"/>
      <c r="F26" s="46"/>
      <c r="G26" s="18"/>
      <c r="H26" s="3"/>
    </row>
    <row r="27" spans="1:16" ht="13.8" customHeight="1" x14ac:dyDescent="0.3">
      <c r="A27" s="17"/>
      <c r="B27" s="17"/>
      <c r="C27" s="55"/>
      <c r="D27" s="67"/>
      <c r="E27" s="55"/>
      <c r="F27" s="55"/>
      <c r="G27" s="18"/>
      <c r="H27" s="3"/>
    </row>
    <row r="28" spans="1:16" ht="111.6" customHeight="1" x14ac:dyDescent="0.3">
      <c r="A28" s="86" t="s">
        <v>28</v>
      </c>
      <c r="B28" s="81" t="s">
        <v>38</v>
      </c>
      <c r="C28" s="82" t="s">
        <v>21</v>
      </c>
      <c r="D28" s="83" t="s">
        <v>22</v>
      </c>
      <c r="E28" s="84" t="s">
        <v>39</v>
      </c>
      <c r="F28" s="85">
        <v>234</v>
      </c>
      <c r="G28" s="27"/>
    </row>
    <row r="29" spans="1:16" s="8" customFormat="1" ht="13.8" customHeight="1" x14ac:dyDescent="0.3">
      <c r="A29" s="25"/>
      <c r="B29" s="26"/>
      <c r="C29" s="48"/>
      <c r="D29" s="48"/>
      <c r="E29" s="56"/>
      <c r="F29" s="48"/>
      <c r="G29" s="27"/>
    </row>
    <row r="30" spans="1:16" ht="150.0" customHeight="1" x14ac:dyDescent="0.3">
      <c r="A30" s="77" t="s">
        <v>40</v>
      </c>
      <c r="B30" s="76" t="s">
        <v>41</v>
      </c>
      <c r="C30" s="47"/>
      <c r="D30" s="47"/>
      <c r="E30" s="78" t="s">
        <v>33</v>
      </c>
      <c r="F30" s="44"/>
      <c r="G30" s="19"/>
      <c r="H30" s="3"/>
    </row>
    <row r="31" spans="1:16" s="8" customFormat="1" ht="13.2" customHeight="1" x14ac:dyDescent="0.3">
      <c r="A31" s="25"/>
      <c r="B31" s="28"/>
      <c r="C31" s="48"/>
      <c r="D31" s="66"/>
      <c r="E31" s="54"/>
      <c r="F31" s="45"/>
      <c r="G31" s="25"/>
      <c r="H31" s="3"/>
    </row>
    <row r="32" spans="1:16" x14ac:dyDescent="0.3">
      <c r="A32" s="15" t="s">
        <v>42</v>
      </c>
      <c r="B32" s="14" t="s">
        <v>43</v>
      </c>
      <c r="C32" s="14" t="s">
        <v>11</v>
      </c>
      <c r="D32" s="21" t="s">
        <v>12</v>
      </c>
      <c r="E32" s="79" t="s">
        <v>33</v>
      </c>
      <c r="F32" s="38">
        <v>775</v>
      </c>
      <c r="G32" s="16"/>
      <c r="H32" s="3"/>
    </row>
    <row r="33" spans="1:16" ht="13.8" customHeight="1" x14ac:dyDescent="0.3">
      <c r="A33" s="17"/>
      <c r="B33" s="17"/>
      <c r="C33" s="55"/>
      <c r="D33" s="67"/>
      <c r="E33" s="55"/>
      <c r="F33" s="55"/>
      <c r="G33" s="18"/>
      <c r="H33" s="3"/>
    </row>
    <row r="34" spans="1:16" ht="150.0" customHeight="1" x14ac:dyDescent="0.3">
      <c r="A34" s="77" t="s">
        <v>44</v>
      </c>
      <c r="B34" s="76" t="s">
        <v>45</v>
      </c>
      <c r="C34" s="47"/>
      <c r="D34" s="47"/>
      <c r="E34" s="78" t="s">
        <v>39</v>
      </c>
      <c r="F34" s="44"/>
      <c r="G34" s="19"/>
      <c r="H34" s="3"/>
    </row>
    <row r="35" spans="1:16" s="8" customFormat="1" ht="13.2" customHeight="1" x14ac:dyDescent="0.3">
      <c r="A35" s="25"/>
      <c r="B35" s="28"/>
      <c r="C35" s="48"/>
      <c r="D35" s="66"/>
      <c r="E35" s="54"/>
      <c r="F35" s="45"/>
      <c r="G35" s="25"/>
      <c r="H35" s="3"/>
    </row>
    <row r="36" spans="1:16" x14ac:dyDescent="0.3">
      <c r="A36" s="15" t="s">
        <v>46</v>
      </c>
      <c r="B36" s="14" t="s">
        <v>47</v>
      </c>
      <c r="C36" s="14" t="s">
        <v>11</v>
      </c>
      <c r="D36" s="21" t="s">
        <v>12</v>
      </c>
      <c r="E36" s="79" t="s">
        <v>39</v>
      </c>
      <c r="F36" s="38">
        <v>90</v>
      </c>
      <c r="G36" s="16"/>
      <c r="H36" s="3"/>
    </row>
    <row r="37" spans="1:16" ht="13.8" customHeight="1" x14ac:dyDescent="0.3">
      <c r="A37" s="17"/>
      <c r="B37" s="17"/>
      <c r="C37" s="55"/>
      <c r="D37" s="67"/>
      <c r="E37" s="55"/>
      <c r="F37" s="55"/>
      <c r="G37" s="18"/>
      <c r="H37" s="3"/>
    </row>
    <row r="38" spans="1:16" ht="90.0" customHeight="1" x14ac:dyDescent="0.3">
      <c r="A38" s="86" t="s">
        <v>48</v>
      </c>
      <c r="B38" s="81" t="s">
        <v>49</v>
      </c>
      <c r="C38" s="82" t="s">
        <v>11</v>
      </c>
      <c r="D38" s="83" t="s">
        <v>12</v>
      </c>
      <c r="E38" s="84" t="s">
        <v>50</v>
      </c>
      <c r="F38" s="85">
        <v>1</v>
      </c>
      <c r="G38" s="27"/>
    </row>
    <row r="39" spans="1:16" s="8" customFormat="1" ht="13.8" customHeight="1" x14ac:dyDescent="0.3">
      <c r="A39" s="25"/>
      <c r="B39" s="26"/>
      <c r="C39" s="48"/>
      <c r="D39" s="48"/>
      <c r="E39" s="56"/>
      <c r="F39" s="48"/>
      <c r="G39" s="27"/>
    </row>
    <row r="40" spans="1:16" ht="90.0" customHeight="1" x14ac:dyDescent="0.3">
      <c r="A40" s="77" t="s">
        <v>51</v>
      </c>
      <c r="B40" s="76" t="s">
        <v>52</v>
      </c>
      <c r="C40" s="47"/>
      <c r="D40" s="47"/>
      <c r="E40" s="78" t="s">
        <v>50</v>
      </c>
      <c r="F40" s="44"/>
      <c r="G40" s="19"/>
      <c r="H40" s="3"/>
    </row>
    <row r="41" spans="1:16" s="8" customFormat="1" ht="13.2" customHeight="1" x14ac:dyDescent="0.3">
      <c r="A41" s="25"/>
      <c r="B41" s="28"/>
      <c r="C41" s="48"/>
      <c r="D41" s="66"/>
      <c r="E41" s="54"/>
      <c r="F41" s="45"/>
      <c r="G41" s="25"/>
      <c r="H41" s="3"/>
    </row>
    <row r="42" spans="1:16" x14ac:dyDescent="0.3">
      <c r="A42" s="15" t="s">
        <v>53</v>
      </c>
      <c r="B42" s="14" t="s">
        <v>54</v>
      </c>
      <c r="C42" s="14" t="s">
        <v>21</v>
      </c>
      <c r="D42" s="21" t="s">
        <v>22</v>
      </c>
      <c r="E42" s="79" t="s">
        <v>50</v>
      </c>
      <c r="F42" s="38">
        <v>114</v>
      </c>
      <c r="G42" s="16"/>
      <c r="H42" s="3"/>
    </row>
    <row r="43" spans="1:16" ht="13.8" customHeight="1" x14ac:dyDescent="0.3">
      <c r="A43" s="17"/>
      <c r="B43" s="17"/>
      <c r="C43" s="55"/>
      <c r="D43" s="67"/>
      <c r="E43" s="55"/>
      <c r="F43" s="55"/>
      <c r="G43" s="18"/>
      <c r="H43" s="3"/>
    </row>
    <row r="44" spans="1:16" ht="114.0" customHeight="1" x14ac:dyDescent="0.3">
      <c r="A44" s="77" t="s">
        <v>55</v>
      </c>
      <c r="B44" s="76" t="s">
        <v>56</v>
      </c>
      <c r="C44" s="47"/>
      <c r="D44" s="47"/>
      <c r="E44" s="78" t="s">
        <v>50</v>
      </c>
      <c r="F44" s="44"/>
      <c r="G44" s="19"/>
      <c r="H44" s="3"/>
    </row>
    <row r="45" spans="1:16" s="8" customFormat="1" ht="13.2" customHeight="1" x14ac:dyDescent="0.3">
      <c r="A45" s="25"/>
      <c r="B45" s="28"/>
      <c r="C45" s="48"/>
      <c r="D45" s="66"/>
      <c r="E45" s="54"/>
      <c r="F45" s="45"/>
      <c r="G45" s="25"/>
      <c r="H45" s="3"/>
    </row>
    <row r="46" spans="1:16" x14ac:dyDescent="0.3">
      <c r="A46" s="15" t="s">
        <v>57</v>
      </c>
      <c r="B46" s="14" t="s">
        <v>58</v>
      </c>
      <c r="C46" s="14" t="s">
        <v>21</v>
      </c>
      <c r="D46" s="21" t="s">
        <v>22</v>
      </c>
      <c r="E46" s="79" t="s">
        <v>50</v>
      </c>
      <c r="F46" s="38">
        <v>1</v>
      </c>
      <c r="G46" s="16"/>
      <c r="H46" s="3"/>
    </row>
    <row r="47" spans="1:16" ht="13.8" customHeight="1" x14ac:dyDescent="0.3">
      <c r="A47" s="17"/>
      <c r="B47" s="17"/>
      <c r="C47" s="55"/>
      <c r="D47" s="67"/>
      <c r="E47" s="55"/>
      <c r="F47" s="55"/>
      <c r="G47" s="18"/>
      <c r="H47" s="3"/>
    </row>
    <row r="48" spans="1:16" ht="138.0" customHeight="1" x14ac:dyDescent="0.3">
      <c r="A48" s="86" t="s">
        <v>59</v>
      </c>
      <c r="B48" s="81" t="s">
        <v>60</v>
      </c>
      <c r="C48" s="82" t="s">
        <v>18</v>
      </c>
      <c r="D48" s="83" t="s">
        <v>12</v>
      </c>
      <c r="E48" s="84" t="s">
        <v>33</v>
      </c>
      <c r="F48" s="85">
        <v>25</v>
      </c>
      <c r="G48" s="27"/>
    </row>
    <row r="49" spans="1:16" s="8" customFormat="1" ht="13.8" customHeight="1" x14ac:dyDescent="0.3">
      <c r="A49" s="25"/>
      <c r="B49" s="26"/>
      <c r="C49" s="48"/>
      <c r="D49" s="48"/>
      <c r="E49" s="56"/>
      <c r="F49" s="48"/>
      <c r="G49" s="27"/>
    </row>
    <row r="50" spans="1:16" ht="126.0" customHeight="1" x14ac:dyDescent="0.3">
      <c r="A50" s="77" t="s">
        <v>61</v>
      </c>
      <c r="B50" s="76" t="s">
        <v>62</v>
      </c>
      <c r="C50" s="47"/>
      <c r="D50" s="47"/>
      <c r="E50" s="78" t="s">
        <v>39</v>
      </c>
      <c r="F50" s="44"/>
      <c r="G50" s="19"/>
      <c r="H50" s="3"/>
    </row>
    <row r="51" spans="1:16" s="8" customFormat="1" ht="13.2" customHeight="1" x14ac:dyDescent="0.3">
      <c r="A51" s="25"/>
      <c r="B51" s="28"/>
      <c r="C51" s="48"/>
      <c r="D51" s="66"/>
      <c r="E51" s="54"/>
      <c r="F51" s="45"/>
      <c r="G51" s="25"/>
      <c r="H51" s="3"/>
    </row>
    <row r="52" spans="1:16" x14ac:dyDescent="0.3">
      <c r="A52" s="15" t="s">
        <v>63</v>
      </c>
      <c r="B52" s="14" t="s">
        <v>64</v>
      </c>
      <c r="C52" s="14" t="s">
        <v>15</v>
      </c>
      <c r="D52" s="21" t="s">
        <v>12</v>
      </c>
      <c r="E52" s="79" t="s">
        <v>39</v>
      </c>
      <c r="F52" s="38">
        <v>12</v>
      </c>
      <c r="G52" s="16"/>
      <c r="H52" s="3"/>
    </row>
    <row r="53" spans="1:16" ht="13.8" customHeight="1" x14ac:dyDescent="0.3">
      <c r="A53" s="15"/>
      <c r="B53" s="14"/>
      <c r="C53" s="14"/>
      <c r="D53" s="21"/>
      <c r="E53" s="23"/>
      <c r="F53" s="36"/>
      <c r="G53" s="18"/>
      <c r="H53" s="3"/>
    </row>
    <row r="54" spans="1:16" x14ac:dyDescent="0.3">
      <c r="A54" s="15" t="s">
        <v>65</v>
      </c>
      <c r="B54" s="14" t="s">
        <v>66</v>
      </c>
      <c r="C54" s="14" t="s">
        <v>11</v>
      </c>
      <c r="D54" s="21" t="s">
        <v>12</v>
      </c>
      <c r="E54" s="79" t="s">
        <v>39</v>
      </c>
      <c r="F54" s="38">
        <v>39</v>
      </c>
      <c r="G54" s="16"/>
      <c r="H54" s="3"/>
    </row>
    <row r="55" spans="1:16" s="8" customFormat="1" ht="13.8" customHeight="1" x14ac:dyDescent="0.3">
      <c r="A55" s="25"/>
      <c r="B55" s="26"/>
      <c r="C55" s="48"/>
      <c r="D55" s="48"/>
      <c r="E55" s="56"/>
      <c r="F55" s="48"/>
      <c r="G55" s="27"/>
    </row>
    <row r="56" spans="1:16" x14ac:dyDescent="0.3">
      <c r="A56" s="24"/>
      <c r="B56" s="24"/>
      <c r="C56" s="49"/>
      <c r="D56" s="68"/>
      <c r="E56" s="57"/>
      <c r="F56" s="49"/>
      <c r="G56" s="18"/>
    </row>
    <row r="57" spans="1:16" x14ac:dyDescent="0.3">
      <c r="A57" s="18"/>
      <c r="B57" s="18"/>
      <c r="C57" s="46"/>
      <c r="D57" s="69"/>
      <c r="E57" s="58"/>
      <c r="F57" s="46"/>
      <c r="G57" s="18"/>
    </row>
    <row r="58" spans="1:16" x14ac:dyDescent="0.3">
      <c r="A58" s="18"/>
      <c r="B58" s="18"/>
      <c r="C58" s="46"/>
      <c r="D58" s="69"/>
      <c r="E58" s="58"/>
      <c r="F58" s="46"/>
      <c r="G58" s="18"/>
    </row>
    <row r="59" spans="1:16" x14ac:dyDescent="0.3">
      <c r="A59" s="18"/>
      <c r="B59" s="18"/>
      <c r="C59" s="46"/>
      <c r="D59" s="69"/>
      <c r="E59" s="58"/>
      <c r="F59" s="46"/>
      <c r="G59" s="18"/>
    </row>
    <row r="60" spans="1:16" x14ac:dyDescent="0.3">
      <c r="A60" s="18"/>
      <c r="B60" s="18"/>
      <c r="C60" s="46"/>
      <c r="D60" s="69"/>
      <c r="E60" s="58"/>
      <c r="F60" s="46"/>
      <c r="G60" s="18"/>
    </row>
    <row r="61" spans="1:16" x14ac:dyDescent="0.3">
      <c r="A61" s="18"/>
      <c r="B61" s="18"/>
      <c r="C61" s="46"/>
      <c r="D61" s="69"/>
      <c r="E61" s="58"/>
      <c r="F61" s="46"/>
      <c r="G61" s="18"/>
    </row>
    <row r="62" spans="1:16" x14ac:dyDescent="0.3">
      <c r="A62" s="18"/>
      <c r="B62" s="18"/>
      <c r="C62" s="46"/>
      <c r="D62" s="69"/>
      <c r="E62" s="58"/>
      <c r="F62" s="46"/>
      <c r="G62" s="18"/>
    </row>
    <row r="63" spans="1:16" x14ac:dyDescent="0.3">
      <c r="A63" s="18"/>
      <c r="B63" s="18"/>
      <c r="C63" s="46"/>
      <c r="D63" s="69"/>
      <c r="E63" s="58"/>
      <c r="F63" s="46"/>
      <c r="G63" s="18"/>
    </row>
    <row r="64" spans="1:16" x14ac:dyDescent="0.3">
      <c r="A64" s="18"/>
      <c r="B64" s="18"/>
      <c r="C64" s="46"/>
      <c r="D64" s="69"/>
      <c r="E64" s="58"/>
      <c r="F64" s="46"/>
      <c r="G64" s="18"/>
    </row>
    <row r="65" spans="1:16" x14ac:dyDescent="0.3">
      <c r="A65" s="18"/>
      <c r="B65" s="18"/>
      <c r="C65" s="46"/>
      <c r="D65" s="69"/>
      <c r="E65" s="58"/>
      <c r="F65" s="46"/>
      <c r="G65" s="18"/>
    </row>
    <row r="66" spans="1:16" x14ac:dyDescent="0.3">
      <c r="A66" s="18"/>
      <c r="B66" s="18"/>
      <c r="C66" s="46"/>
      <c r="D66" s="69"/>
      <c r="E66" s="58"/>
      <c r="F66" s="46"/>
      <c r="G66" s="18"/>
    </row>
    <row r="67" spans="1:16" x14ac:dyDescent="0.3">
      <c r="A67" s="18"/>
      <c r="B67" s="18"/>
      <c r="C67" s="46"/>
      <c r="D67" s="69"/>
      <c r="E67" s="58"/>
      <c r="F67" s="46"/>
      <c r="G67" s="18"/>
    </row>
    <row r="68" spans="1:16" x14ac:dyDescent="0.3">
      <c r="A68" s="18"/>
      <c r="B68" s="18"/>
      <c r="C68" s="46"/>
      <c r="D68" s="69"/>
      <c r="E68" s="58"/>
      <c r="F68" s="46"/>
      <c r="G68" s="18"/>
    </row>
    <row r="69" spans="1:16" x14ac:dyDescent="0.3">
      <c r="A69" s="18"/>
      <c r="B69" s="18"/>
      <c r="C69" s="46"/>
      <c r="D69" s="69"/>
      <c r="E69" s="58"/>
      <c r="F69" s="46"/>
      <c r="G69" s="18"/>
    </row>
    <row r="70" spans="1:16" x14ac:dyDescent="0.3">
      <c r="A70" s="18"/>
      <c r="B70" s="18"/>
      <c r="C70" s="46"/>
      <c r="D70" s="69"/>
      <c r="E70" s="58"/>
      <c r="F70" s="46"/>
      <c r="G70" s="18"/>
    </row>
    <row r="71" spans="1:16" x14ac:dyDescent="0.3">
      <c r="A71" s="18"/>
      <c r="B71" s="18"/>
      <c r="C71" s="46"/>
      <c r="D71" s="69"/>
      <c r="E71" s="58"/>
      <c r="F71" s="46"/>
      <c r="G71" s="18"/>
    </row>
    <row r="72" spans="1:16" x14ac:dyDescent="0.3">
      <c r="A72" s="18"/>
      <c r="B72" s="18"/>
      <c r="C72" s="46"/>
      <c r="D72" s="69"/>
      <c r="E72" s="58"/>
      <c r="F72" s="46"/>
      <c r="G72" s="18"/>
    </row>
    <row r="73" spans="1:16" x14ac:dyDescent="0.3">
      <c r="A73" s="18"/>
      <c r="B73" s="18"/>
      <c r="C73" s="46"/>
      <c r="D73" s="69"/>
      <c r="E73" s="58"/>
      <c r="F73" s="46"/>
      <c r="G73" s="18"/>
    </row>
    <row r="74" spans="1:16" x14ac:dyDescent="0.3">
      <c r="A74" s="18"/>
      <c r="B74" s="18"/>
      <c r="C74" s="46"/>
      <c r="D74" s="69"/>
      <c r="E74" s="58"/>
      <c r="F74" s="46"/>
      <c r="G74" s="18"/>
    </row>
    <row r="75" spans="1:16" x14ac:dyDescent="0.3">
      <c r="A75" s="18"/>
      <c r="B75" s="18"/>
      <c r="C75" s="46"/>
      <c r="D75" s="69"/>
      <c r="E75" s="58"/>
      <c r="F75" s="46"/>
      <c r="G75" s="18"/>
    </row>
    <row r="76" spans="1:16" x14ac:dyDescent="0.3">
      <c r="A76" s="18"/>
      <c r="B76" s="18"/>
      <c r="C76" s="46"/>
      <c r="D76" s="69"/>
      <c r="E76" s="58"/>
      <c r="F76" s="46"/>
      <c r="G76" s="18"/>
    </row>
    <row r="77" spans="1:16" x14ac:dyDescent="0.3">
      <c r="A77" s="18"/>
      <c r="B77" s="18"/>
      <c r="C77" s="46"/>
      <c r="D77" s="69"/>
      <c r="E77" s="58"/>
      <c r="F77" s="46"/>
      <c r="G77" s="18"/>
    </row>
    <row r="78" spans="1:16" x14ac:dyDescent="0.3">
      <c r="A78" s="18"/>
      <c r="B78" s="18"/>
      <c r="C78" s="46"/>
      <c r="D78" s="69"/>
      <c r="E78" s="58"/>
      <c r="F78" s="46"/>
      <c r="G78" s="18"/>
    </row>
    <row r="79" spans="1:16" x14ac:dyDescent="0.3">
      <c r="A79" s="18"/>
      <c r="B79" s="18"/>
      <c r="C79" s="46"/>
      <c r="D79" s="69"/>
      <c r="E79" s="58"/>
      <c r="F79" s="46"/>
      <c r="G79" s="18"/>
    </row>
    <row r="80" spans="1:16" x14ac:dyDescent="0.3">
      <c r="A80" s="18"/>
      <c r="B80" s="18"/>
      <c r="C80" s="46"/>
      <c r="D80" s="69"/>
      <c r="E80" s="58"/>
      <c r="F80" s="46"/>
      <c r="G80" s="18"/>
    </row>
    <row r="81" spans="1:16" x14ac:dyDescent="0.3">
      <c r="A81" s="18"/>
      <c r="B81" s="18"/>
      <c r="C81" s="46"/>
      <c r="D81" s="69"/>
      <c r="E81" s="58"/>
      <c r="F81" s="46"/>
      <c r="G81" s="18"/>
    </row>
    <row r="82" spans="1:16" x14ac:dyDescent="0.3">
      <c r="A82" s="18"/>
      <c r="B82" s="18"/>
      <c r="C82" s="46"/>
      <c r="D82" s="69"/>
      <c r="E82" s="58"/>
      <c r="F82" s="46"/>
      <c r="G82" s="18"/>
    </row>
    <row r="83" spans="1:16" x14ac:dyDescent="0.3">
      <c r="A83" s="18"/>
      <c r="B83" s="18"/>
      <c r="C83" s="46"/>
      <c r="D83" s="69"/>
      <c r="E83" s="58"/>
      <c r="F83" s="46"/>
      <c r="G83" s="18"/>
    </row>
    <row r="84" spans="1:16" x14ac:dyDescent="0.3">
      <c r="A84" s="18"/>
      <c r="B84" s="18"/>
      <c r="C84" s="46"/>
      <c r="D84" s="69"/>
      <c r="E84" s="58"/>
      <c r="F84" s="46"/>
      <c r="G84" s="18"/>
    </row>
  </sheetData>
  <mergeCells count="2">
    <mergeCell ref="A6:B6"/>
    <mergeCell ref="A7:B7"/>
  </mergeCells>
  <phoneticPr fontId="11" type="noConversion"/>
  <conditionalFormatting sqref="D13:D20">
    <cfRule type="expression" dxfId="11" priority="13">
      <formula>$E13="TOTAL"</formula>
    </cfRule>
    <cfRule type="expression" dxfId="10" priority="14">
      <formula>$E13="PROVÁVEL"</formula>
    </cfRule>
    <cfRule type="expression" dxfId="9" priority="15">
      <formula>$E13="PARCIAL"</formula>
    </cfRule>
    <cfRule type="expression" dxfId="8" priority="16">
      <formula>$E13="OMISSÃO"</formula>
    </cfRule>
  </conditionalFormatting>
  <conditionalFormatting sqref="D23:D25">
    <cfRule type="expression" dxfId="7" priority="9">
      <formula>$E23="TOTAL"</formula>
    </cfRule>
    <cfRule type="expression" dxfId="6" priority="10">
      <formula>$E23="PROVÁVEL"</formula>
    </cfRule>
    <cfRule type="expression" dxfId="5" priority="11">
      <formula>$E23="PARCIAL"</formula>
    </cfRule>
    <cfRule type="expression" dxfId="4" priority="12">
      <formula>$E23="OMISSÃO"</formula>
    </cfRule>
  </conditionalFormatting>
  <conditionalFormatting sqref="D28">
    <cfRule type="expression" dxfId="3" priority="1">
      <formula>$E28="TOTAL"</formula>
    </cfRule>
    <cfRule type="expression" dxfId="2" priority="2">
      <formula>$E28="PROVÁVEL"</formula>
    </cfRule>
    <cfRule type="expression" dxfId="1" priority="3">
      <formula>$E28="PARCIAL"</formula>
    </cfRule>
    <cfRule type="expression" dxfId="0" priority="4">
      <formula>$E28="OMISSÃO"</formula>
    </cfRule>
  </conditionalFormatting>
  <conditionalFormatting sqref="D32">
    <cfRule type="expression" dxfId="3" priority="17">
      <formula>$E32="TOTAL"</formula>
    </cfRule>
    <cfRule type="expression" dxfId="2" priority="18">
      <formula>$E32="PROVÁVEL"</formula>
    </cfRule>
    <cfRule type="expression" dxfId="1" priority="19">
      <formula>$E32="PARCIAL"</formula>
    </cfRule>
    <cfRule type="expression" dxfId="0" priority="20">
      <formula>$E32="OMISSÃO"</formula>
    </cfRule>
  </conditionalFormatting>
  <conditionalFormatting sqref="D36">
    <cfRule type="expression" dxfId="3" priority="21">
      <formula>$E36="TOTAL"</formula>
    </cfRule>
    <cfRule type="expression" dxfId="2" priority="22">
      <formula>$E36="PROVÁVEL"</formula>
    </cfRule>
    <cfRule type="expression" dxfId="1" priority="23">
      <formula>$E36="PARCIAL"</formula>
    </cfRule>
    <cfRule type="expression" dxfId="0" priority="24">
      <formula>$E36="OMISSÃO"</formula>
    </cfRule>
  </conditionalFormatting>
  <conditionalFormatting sqref="D38">
    <cfRule type="expression" dxfId="3" priority="25">
      <formula>$E38="TOTAL"</formula>
    </cfRule>
    <cfRule type="expression" dxfId="2" priority="26">
      <formula>$E38="PROVÁVEL"</formula>
    </cfRule>
    <cfRule type="expression" dxfId="1" priority="27">
      <formula>$E38="PARCIAL"</formula>
    </cfRule>
    <cfRule type="expression" dxfId="0" priority="28">
      <formula>$E38="OMISSÃO"</formula>
    </cfRule>
  </conditionalFormatting>
  <conditionalFormatting sqref="D42">
    <cfRule type="expression" dxfId="3" priority="29">
      <formula>$E42="TOTAL"</formula>
    </cfRule>
    <cfRule type="expression" dxfId="2" priority="30">
      <formula>$E42="PROVÁVEL"</formula>
    </cfRule>
    <cfRule type="expression" dxfId="1" priority="31">
      <formula>$E42="PARCIAL"</formula>
    </cfRule>
    <cfRule type="expression" dxfId="0" priority="32">
      <formula>$E42="OMISSÃO"</formula>
    </cfRule>
  </conditionalFormatting>
  <conditionalFormatting sqref="D46">
    <cfRule type="expression" dxfId="3" priority="33">
      <formula>$E46="TOTAL"</formula>
    </cfRule>
    <cfRule type="expression" dxfId="2" priority="34">
      <formula>$E46="PROVÁVEL"</formula>
    </cfRule>
    <cfRule type="expression" dxfId="1" priority="35">
      <formula>$E46="PARCIAL"</formula>
    </cfRule>
    <cfRule type="expression" dxfId="0" priority="36">
      <formula>$E46="OMISSÃO"</formula>
    </cfRule>
  </conditionalFormatting>
  <conditionalFormatting sqref="D48">
    <cfRule type="expression" dxfId="3" priority="37">
      <formula>$E48="TOTAL"</formula>
    </cfRule>
    <cfRule type="expression" dxfId="2" priority="38">
      <formula>$E48="PROVÁVEL"</formula>
    </cfRule>
    <cfRule type="expression" dxfId="1" priority="39">
      <formula>$E48="PARCIAL"</formula>
    </cfRule>
    <cfRule type="expression" dxfId="0" priority="40">
      <formula>$E48="OMISSÃO"</formula>
    </cfRule>
  </conditionalFormatting>
  <conditionalFormatting sqref="D52:D54">
    <cfRule type="expression" dxfId="3" priority="41">
      <formula>$E52="TOTAL"</formula>
    </cfRule>
    <cfRule type="expression" dxfId="2" priority="42">
      <formula>$E52="PROVÁVEL"</formula>
    </cfRule>
    <cfRule type="expression" dxfId="1" priority="43">
      <formula>$E52="PARCIAL"</formula>
    </cfRule>
    <cfRule type="expression" dxfId="0" priority="44">
      <formula>$E52="OMISSÃO"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Sadina</dc:creator>
  <cp:lastModifiedBy>Igor Sadina</cp:lastModifiedBy>
  <dcterms:created xsi:type="dcterms:W3CDTF">2026-10-15T10:31:09Z</dcterms:created>
  <dcterms:modified xsi:type="dcterms:W3CDTF">2026-10-19T16:32:08Z</dcterms:modified>
</cp:coreProperties>
</file>