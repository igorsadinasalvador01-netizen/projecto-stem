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QT ANOTADO" sheetId="1" state="visible" r:id="rId3"/>
    <sheet name="RESUMO" sheetId="2" state="visible" r:id="rId4"/>
    <sheet name="IMPACTO ESTIMADO" sheetId="3" state="visible" r:id="rId5"/>
    <sheet name="VERIF. ARITMÉTICA" sheetId="4" state="visible" r:id="rId6"/>
  </sheets>
  <definedNames>
    <definedName function="false" hidden="true" localSheetId="0" name="_xlnm._FilterDatabase" vbProcedure="false">'MQT ANOTADO'!$A$3:$K$2359</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<sst xmlns="http://schemas.openxmlformats.org/spreadsheetml/2006/main" count="3767" uniqueCount="2393">
  <si>
    <t xml:space="preserve">CUSTO </t>
  </si>
  <si>
    <t xml:space="preserve">VENDA </t>
  </si>
  <si>
    <t xml:space="preserve">ANÁLISE TÉCNICA</t>
  </si>
  <si>
    <t xml:space="preserve">ARTIGO</t>
  </si>
  <si>
    <t xml:space="preserve">DESCRIÇÃO</t>
  </si>
  <si>
    <t xml:space="preserve">UNIDADE</t>
  </si>
  <si>
    <t xml:space="preserve">QUANTIDADE</t>
  </si>
  <si>
    <t xml:space="preserve">VALOR UNITÁRIO</t>
  </si>
  <si>
    <t xml:space="preserve">VALOR TOTAL </t>
  </si>
  <si>
    <t xml:space="preserve">CLASSIFICAÇÃO</t>
  </si>
  <si>
    <t xml:space="preserve">GRAVIDADE</t>
  </si>
  <si>
    <t xml:space="preserve">OBSERVAÇÃO TÉCNICA / AÇÃO RECOMENDADA</t>
  </si>
  <si>
    <t xml:space="preserve">1</t>
  </si>
  <si>
    <t xml:space="preserve">TRABALHOS PREPARATÓRIOS</t>
  </si>
  <si>
    <t xml:space="preserve">1.1</t>
  </si>
  <si>
    <t xml:space="preserve">ESTALEIRO
Montagem, manutenção e desmontagem do estaleiro para execução da empreitada de acordo com o caderno de encargos, legislação em vigor e melhor orientação do Dono de Obra, inluindo:
-  Equipamentos e infraestruturas necessários ao apoio à execução da empreitada, nomeadamente: delimitações/vedações, instalações sociais, instalações industriais, parques de materiais e equipamentos/viaturas, vias de circulação, redes de água, saneamento, eletricidade, telecomunicações, gás, combustíveis,  recolha de resíduos e sinalização e abertura de roços para infraestruturas de estaleiro, de acordo com a legislação aplicável.
- Fornecimento, montagem e desmontagem de andaimes com parapeitos, rodapés, redes plásticas de protecção e demais trabalhos e acessórios para a execução da obra.
- Todos os trabalhos necessários à implementação do Plano de Qualidade, Planeamento e Gestão de Obra.
- Estão incluídos neste artigo todos os trabalhos indispensáveis ao cumprimento do plano e legislação aplicável em vigor.</t>
  </si>
  <si>
    <t xml:space="preserve">UN</t>
  </si>
  <si>
    <t xml:space="preserve">VERIFICAR</t>
  </si>
  <si>
    <t xml:space="preserve">BAIXA</t>
  </si>
  <si>
    <t xml:space="preserve">Estaleiro = 5,9% do custo (intervalo usual 3–7%). Inclui 'Plano de Qualidade', que volta a ser pago em 1.2. Confirmar andaimes para pé-direito do pavilhão (~10 m).</t>
  </si>
  <si>
    <t xml:space="preserve">1.2</t>
  </si>
  <si>
    <t xml:space="preserve">IMPLEMENTAÇÃO DO PLANO DE QUALIDADE, PLANEAMENTO E GESTÃO DE OBRA
Incluindo:
Elaboração e implementação das fases de obra de modo a garantir que o Pavilhão Existente se possa manter em funcionamento até à conclusão da execução e possibilidade de utilização do novo edifício .
- Edifício Principal e acesso.
- Demolição do Pav. Existente e conclusão tralbalhos de arranjos exteriores.
Deve ser garantido sempre o acesso à obra e a circulação na escola, de forma confortável e de modo a proteger os utentes e funcionários, através da implementação limites físicos devidamente sinalizados de forma a salvaguardar as condições de segurança.</t>
  </si>
  <si>
    <t xml:space="preserve">PREÇO BAIXO</t>
  </si>
  <si>
    <t xml:space="preserve">ALTA</t>
  </si>
  <si>
    <t xml:space="preserve">2.000 € para faseamento com o pavilhão existente em funcionamento, acessos e proteção de utentes é irrealista (ordem de grandeza 10–25 k€). Sobrepõe 'Plano de Qualidade' de 1.1.</t>
  </si>
  <si>
    <t xml:space="preserve">1.3</t>
  </si>
  <si>
    <t xml:space="preserve">DESENVOLVIMENTO E IMPLEMENTAÇÃO DO PSS EM OBRA.
Desenvolvimento e implementação do Plano de Segurança e Saúde nos termos do DL nº 273/03 de 29 de Outubro; inclui fornecimento e colocação de sinalização temporária de acordo com o DR 22A/98 de 01 de Outubro, se aplicável e indicações do coordenador de Segurança e Saúde e ainda todos os trabalhos e materiais (acessórios), equipamentos, necessários para o efeito.</t>
  </si>
  <si>
    <t xml:space="preserve">1.4</t>
  </si>
  <si>
    <t xml:space="preserve">PLACA DE OBRA
Fornecimento e colocação de placas identificativas da obra, em chapa metálica, tipo C.M.G. com as dimensões de 3,0x2,0m de acordo com modelo a fornecer.</t>
  </si>
  <si>
    <t xml:space="preserve">1.5</t>
  </si>
  <si>
    <t xml:space="preserve">IMPLANTAÇÃO DE OBRA
Trabalhos de implantação e piquetagem de toda a obra, incluindo apoio topográfico, bem como todos os trabalhos necessários à correcta implantação da empreitada.</t>
  </si>
  <si>
    <t xml:space="preserve">MÉDIA</t>
  </si>
  <si>
    <t xml:space="preserve">Implantação/apoio topográfico de obra com contenção ancorada e microestacas: 3.000 € é curto (ref. 5–8 k€).</t>
  </si>
  <si>
    <t xml:space="preserve">1.6</t>
  </si>
  <si>
    <t xml:space="preserve">IMPLEMENTAÇÃO DO PLANO DE GESTÃO DE RESÍDUOS
Implementação do Plano de Gestão de Resíduos, bem como todos os trabalhos necessários à sua correcta aplicação durante a empreitada.</t>
  </si>
  <si>
    <t xml:space="preserve">1.7</t>
  </si>
  <si>
    <t xml:space="preserve">DESATIVAÇÕES
Fornecimento e execução de desativação demolição e remoção de infraestruturas existentes.</t>
  </si>
  <si>
    <t xml:space="preserve">VG de 2.000 € sem âmbito ('desativações'); sobrepõe-se a 3.1.3, que já inclui desativação de infraestruturas.</t>
  </si>
  <si>
    <t xml:space="preserve">2</t>
  </si>
  <si>
    <t xml:space="preserve">ESTABILIDADE</t>
  </si>
  <si>
    <t xml:space="preserve">2.1</t>
  </si>
  <si>
    <t xml:space="preserve">MOVIMENTO DE TERRAS</t>
  </si>
  <si>
    <t xml:space="preserve">2.1.1</t>
  </si>
  <si>
    <t xml:space="preserve">ESCAVAÇÃO GERAL
Escavação em terreno de qualquer natureza para obtenção da cota de fundação definida em projeto, incluindo carga e transporte de material.</t>
  </si>
  <si>
    <t xml:space="preserve">m3</t>
  </si>
  <si>
    <t xml:space="preserve">DUPLICAÇÃO</t>
  </si>
  <si>
    <t xml:space="preserve">Inclui 'carga e transporte' e 2.1.5 volta a pagar 'carga, transporte e descarga' a vazadouro. 5,5 €/m3 'em terreno de qualquer natureza' não cobre rocha: pedir artigo para rocha ou confirmar com estudo geotécnico.</t>
  </si>
  <si>
    <t xml:space="preserve">2.1.2</t>
  </si>
  <si>
    <t xml:space="preserve">ESCAVAÇÃO PARA FUNDAÇÕES
Escavação em terreno de qualquer natureza para execução de fundações, incluindo baldeação de acordo com peças desenhadas e caderno de encargos.</t>
  </si>
  <si>
    <t xml:space="preserve">2.1.3</t>
  </si>
  <si>
    <t xml:space="preserve">ATERRO
Aterro e compactação de terras com boas características para o efeito, em torno das fundações e tardoz de paredes de contenção sendo ou não provenientes da escavação, de acordo com as peças desenhadas e caderno de encargos.</t>
  </si>
  <si>
    <t xml:space="preserve">2.1.4</t>
  </si>
  <si>
    <t xml:space="preserve">ATERRO BASE GRANULAR
Aterro e compactação de base granular com brita 30/50 mm, e compactação a 96% do Proctor Modificado com meios mecânicos, numa camada de 40 cm de espessura, até alcançar uma densidade seca não inferior à 96% do Proctor Modificado da máxima obtida no ensaio Proctor Modificado, realizado segundo LNEC E 197, para melhoria das propriedades resistentes do terreno, de acordo com as peças desenhadas e caderno de encargos.</t>
  </si>
  <si>
    <t xml:space="preserve">Brita 30/50 compactada a 96% PM a 25 €/m3 – apertado.</t>
  </si>
  <si>
    <t xml:space="preserve">2.1.5</t>
  </si>
  <si>
    <t xml:space="preserve">TRANSPORTE A VAZADOURO
Carga, transporte, descarga e colocação de terras provenientes de escavação, à distância média de 20km de acordo com as especificações do caderno de encargos e eventual indemnização por depósito</t>
  </si>
  <si>
    <t xml:space="preserve">Quantidade = escavação − aterro (8.171,56 m3) sem empolamento. 5,5 €/m3 para 20 km + taxa de deposição é baixo (ref. 8–14 €/m3). Os 2.500 m3 de 3.2.1 não têm transporte a vazadouro próprio.</t>
  </si>
  <si>
    <t xml:space="preserve">2.2</t>
  </si>
  <si>
    <t xml:space="preserve">CONTENÇÃO PERIFÉRICA</t>
  </si>
  <si>
    <t xml:space="preserve">2.2.1</t>
  </si>
  <si>
    <t xml:space="preserve">MICROESTACAS
Execução de microestaca para fundação, com um comprimento médio de 8,50 m, 200 mm de diâmetro nominal, composta de armadura tubular com rosca, de aço EN ISO 11960 N-80, com limite elástico 562 N/mm², de 101,6 mm de diâmetro exterior e 6,5 mm de espessura, e leitada de cimento CEM I 42,5N, com uma relação água/cimento de 0,4 dosificada em peso, derramada pelo interior da armadura através de sistema de injecção repetitiva seletiva (IRS)  e todos os trabalhos, materiais e execução de acordo com o projeto.</t>
  </si>
  <si>
    <t xml:space="preserve">ml</t>
  </si>
  <si>
    <t xml:space="preserve">INCOERÊNCIA</t>
  </si>
  <si>
    <t xml:space="preserve">Mesma microestaca (N80 101,6x6,5, IRS) a 90,03 €/ml aqui e 134,17 €/ml em 2.3.1.1 (+49%). Uniformizar. Sem ensaios de carga.</t>
  </si>
  <si>
    <t xml:space="preserve">2.2.2</t>
  </si>
  <si>
    <t xml:space="preserve">MACIÇOS DE FUNDAÇÃO
Execução de MACIÇO DE ENCABEÇAMENTO de estacas em betão armado normal
cinzento , incluindo fornecimento, colocação, compactação e cura de betão C30/37, XC2, Cl0.40, S3, Dinf 2mm, Dsup 20mm com incorporação de hidrófugo, transporte, montagem, desmontagem, óleo descofrante e limpeza de cofragem para betão oculto e escoramento, fornecimento, colocação, carga e descarga, desperdícios e empalmes e elementos de montagem de armaduras certificadas em aço A500 NR , e todos os trabalhos, materiais e execução de acordo com o projecto.</t>
  </si>
  <si>
    <t xml:space="preserve">CRÍTICA</t>
  </si>
  <si>
    <t xml:space="preserve">Maciços de encabeçamento: 63,00 m3 aqui e 63,11 m3 em 2.3.3, mesma descrição. Duplicação muito provável (~20 k€). Confirmar com desenhos.</t>
  </si>
  <si>
    <t xml:space="preserve">2.2.3</t>
  </si>
  <si>
    <t xml:space="preserve">PERFIS SELADOS HEA120
Execução de perfis selados, 200 mm de diâmetro nominal, com fornecimento e colocação de perfis classe S275, e leitada de cimento CEM I 42,5N, com uma relação água/cimento de 0,4 dosificada em peso, derramada pelo interior da armadura através de sistema de injecção repetitiva seletiva (IRS)  e todos os trabalhos, materiais e execução de acordo com o projeto.</t>
  </si>
  <si>
    <t xml:space="preserve">Texto copiado de microestaca: 'derramada pelo interior da armadura (IRS)' é impossível num perfil HEA. Falta comprimento, diâmetro de furação e tipo de selagem.</t>
  </si>
  <si>
    <t xml:space="preserve">2.2.4</t>
  </si>
  <si>
    <t xml:space="preserve">PERFIS SELADOS HEB140
Execução de perfis selados, 200 mm de diâmetro nominal, com fornecimento e colocação de perfis classe S275, e leitada de cimento CEM I 42,5N, com uma relação água/cimento de 0,4 dosificada em peso, derramada pelo interior da armadura através de sistema de injecção repetitiva seletiva (IRS)  e todos os trabalhos, materiais e execução de acordo com o projeto.</t>
  </si>
  <si>
    <t xml:space="preserve">Mesmo erro de 2.2.3 (perfil HEB sem 'interior'). Reescrever a descrição.</t>
  </si>
  <si>
    <t xml:space="preserve">2.2.5</t>
  </si>
  <si>
    <t xml:space="preserve">PERFIS SELADOS TUBULARES
Execução de perfis selados, com um comprimento médio estimado de 9 a 10 m de comprimento, 200 mm de diâmetro nominal, composta de armadura tubular com rosca, de aço EN ISO 11960 N-80, com limite elástico 562 N/mm², de 88,9 mm de diâmetro exterior e 6,5 mm de espessura, e leitada de cimento CEM I 42,5N, com uma relação água/cimento de 0,4 dosificada em peso, derramada pelo interior da armadura através de sistema de injecção repetitiva seletiva (IRS)
e todos os trabalhos, materiais e execução de acordo com o projeto.</t>
  </si>
  <si>
    <t xml:space="preserve">88,9x6,5 a 74,57 €/ml contra 126,31 €/ml em 2.3.1.2 (+69%).</t>
  </si>
  <si>
    <t xml:space="preserve">2.2.6</t>
  </si>
  <si>
    <t xml:space="preserve">CONTENÇÃO TIPO BERLIM
Execução de painéis de parede tipo berlim executado por fases e betonado contra o terreno, incluindo fornecimento, colocação, compactação e cura de betão C30/37, XC2, Cl 0.40, S3, Dinf 2mm, Dsup 20mm,  incluindo transporte, montagem, desmontagem, óleo descofrante e limpeza de cofragem para betão oculto e escoramento; fornecimento, colocação, carga e descarga, desperdícios e empalmes e elementos de montagem de armaduras certificadas em aço A500NR e todos os trabalhos necessários e complementares.</t>
  </si>
  <si>
    <t xml:space="preserve">Retirado após verificação independente: 'Dinf/Dsup' corresponde a Dlower/Dupper da NP EN 206 e a medição em m3 é aceitável para betão + cofragem + armaduras. Sem ação.</t>
  </si>
  <si>
    <t xml:space="preserve">2.2.7</t>
  </si>
  <si>
    <t xml:space="preserve">VIGAS DE COROAMENTO
Execução de VIGAS DE COROAMENTO para travamentos horizontais da estrutura ou equilíbrio de momentos nas fundações em betão armado normal  cinzento , incluindo fornecimento, colocação, compactação e cura de betão C30/37, XC2, Cl 0.40, S3, Dinf 2mm, Dsup 20mm incluindo transporte, montagem, desmontagem, óleo descofrante e limpeza de cofragem para betão oculto e escoramento, considerando uma face betonada contra o terreno; fornecimento, colocação, carga e descarga, desperdícios e empalmes e elementos de montagem de armaduras certificadas em aço A500NR, e todos os trabalhos, materiais e execução de acordo com o projeto.</t>
  </si>
  <si>
    <t xml:space="preserve">2.2.8</t>
  </si>
  <si>
    <t xml:space="preserve">SAPATAS ISOLADAS PROVISÓRIAS
Execução de SAPATAS ISOLADAS em betão armado normal  cinzento , incluindo fornecimento, colocação, compactação e cura de betão C30/37, XC2, Cl 0.40, S3, Dinf 2mm, Dsup 20mm com incorporação de hidrófugo incluindo transporte, montagem, desmontagem, óleo descofrante e limpeza de cofragem para betão oculto e escoramento, considerando betonagem contra terreno natural compactado, fornecimento, colocação, carga e descarga, desperdícios e empalmes e elementos de montagem de armaduras certificadas em aço A500NR, e todos os trabalhos, materiais e execução de acordo com o projeto.</t>
  </si>
  <si>
    <t xml:space="preserve">2.2.9</t>
  </si>
  <si>
    <t xml:space="preserve">PRANCHÕES MADEIRA
Fornecimento de PRANCHÕES MADEIRA em Eucalipto com 8cm de espessura, da classe ME-1; D-40 incluindo, colocação em obra e todos os restantes trabalhos necessários, de acordo com as peças desenhadas e o caderno de encargos.</t>
  </si>
  <si>
    <t xml:space="preserve">m2</t>
  </si>
  <si>
    <t xml:space="preserve">NORMA</t>
  </si>
  <si>
    <t xml:space="preserve">Classe ME-1 é a classe visual do pinho bravo (NP 4305), não do eucalipto. Remoção dos pranchões no fim não referida.</t>
  </si>
  <si>
    <t xml:space="preserve">2.2.10</t>
  </si>
  <si>
    <t xml:space="preserve">ESCORAS
Fornecimento e colocação de perfis classe S275 incluindo, ligação entre perfis, colocação em obra, ligações aparafusada, soldadas, chumbadouros, chapas de ligação e todos os restantes trabalhos necessários, de acordo com as peças desenhadas e o caderno de encargos.</t>
  </si>
  <si>
    <t xml:space="preserve">OMISSÃO</t>
  </si>
  <si>
    <t xml:space="preserve">Escoras provisórias: só 'fornecimento e colocação'. Falta desmontagem/remoção (e eventual recuperação).</t>
  </si>
  <si>
    <t xml:space="preserve">2.2.10.1</t>
  </si>
  <si>
    <t xml:space="preserve">HEA160</t>
  </si>
  <si>
    <t xml:space="preserve">kg</t>
  </si>
  <si>
    <t xml:space="preserve">2.2.10.2</t>
  </si>
  <si>
    <t xml:space="preserve">HEA140</t>
  </si>
  <si>
    <t xml:space="preserve">2.2.11</t>
  </si>
  <si>
    <t xml:space="preserve">PERFIS METÁLICOS
Fornecimento e colocação de perfis classe S275 incluindo, ligação entre perfis, colocação em obra, ligações aparafusada, soldadas, chumbadouros, chapas de ligação e todos os restantes trabalhos necessários, de acordo com as peças desenhadas e o caderno de encargos.</t>
  </si>
  <si>
    <t xml:space="preserve">Não indica se os perfis são provisórios (recuperáveis) ou definitivos, nem a proteção anticorrosiva.</t>
  </si>
  <si>
    <t xml:space="preserve">2.2.11.1</t>
  </si>
  <si>
    <t xml:space="preserve">HEA220</t>
  </si>
  <si>
    <t xml:space="preserve">2.2.11.2</t>
  </si>
  <si>
    <t xml:space="preserve">UNP100</t>
  </si>
  <si>
    <t xml:space="preserve">2.2.11.3</t>
  </si>
  <si>
    <t xml:space="preserve">HEA180</t>
  </si>
  <si>
    <t xml:space="preserve">2.2.11.4</t>
  </si>
  <si>
    <t xml:space="preserve">IPE220</t>
  </si>
  <si>
    <t xml:space="preserve">2.2.11.5</t>
  </si>
  <si>
    <t xml:space="preserve">IPE270</t>
  </si>
  <si>
    <t xml:space="preserve">2.2.12</t>
  </si>
  <si>
    <t xml:space="preserve">ANCORAGENS
Formação de ancoragens provisórias, com
 capacidade de carga, para assegurar a estabilidade da contenção durante os trabalhos de escavação das terras, até que a parede ganhe rigidez através das suas uniões ao resto da estrutura. Executado por extracção de terras através de sistema mecânico com comprimento conforme peças desenhadas, medido desde a face de apoio da cabeça de ancoragem até ao fim do bolbo de selagem; introdução dos cabos de ancoragem e injecção profunda do mesmo através da aplicação de leitada de cimento à pressão e posterior tensão dos cabos desde a cabeça e placa de apoio, uma vez tenha ganhado presa o cimento. Incluindo transporte, montagem, desmontagem e paragem do equipamento mecânico para perfuração; fornecimento e colocação dos cabos, de acordo com as peças desenhadas e caderno de encargos e ensaio de 2 ancoragens.</t>
  </si>
  <si>
    <t xml:space="preserve">'Ensaio de 2 ancoragens' não basta: a EN 1537 / EN ISO 22477-5 pedem ensaio de receção em TODAS as ancoragens, mais ensaios de aptidão. Falta destensionamento/desativação das provisórias e autorização dos vizinhos se os bolbos entrarem em terreno alheio.</t>
  </si>
  <si>
    <t xml:space="preserve">2.2.12.1</t>
  </si>
  <si>
    <t xml:space="preserve">P util=400kN, Llivre 5,50, Lbolbo 9,00</t>
  </si>
  <si>
    <t xml:space="preserve">2.2.12.2</t>
  </si>
  <si>
    <t xml:space="preserve">P util=400kN, Llivre 5,00, Lbolbo 10,00</t>
  </si>
  <si>
    <t xml:space="preserve">2.2.12.3</t>
  </si>
  <si>
    <t xml:space="preserve">P util=200kN, Llivre 6,00, Lbolbo 7,00</t>
  </si>
  <si>
    <t xml:space="preserve">2.2.13</t>
  </si>
  <si>
    <t xml:space="preserve">SISTEMA DE MONITORIZAÇÃO
Execução dos trabalhos de instrumentação e monitorização, incluindo plano de instrumentação e monitorização a apresentar pela entidade executante, vistorias aos edifícios envolventes antres do início dos trabalhos, fornecimento, aplicação e manutenção dos equipamentos previstos no plano e leitura de medições durante o decurso da Empreitada de acordo com caderno de encargos.</t>
  </si>
  <si>
    <t xml:space="preserve">3.500 € para plano, instrumentação, vistorias e leituras durante toda a escavação ancorada. Ordem de grandeza: 10–20 k€.</t>
  </si>
  <si>
    <t xml:space="preserve">2.3</t>
  </si>
  <si>
    <t xml:space="preserve">OBRA DE BETÃO</t>
  </si>
  <si>
    <t xml:space="preserve">2.3.1</t>
  </si>
  <si>
    <t xml:space="preserve">MICROESTACAS
Execução de microestaca para fundação, com um comprimento médio de 12,15m, 200 mm de diâmetro nominal, composta de armadura tubular com rosca, de aço EN ISO 11960 N-80, com limite elástico 562 N/mm², e leitada de cimento CEM I 42,5N, com uma relação água/cimento de 0,4 dosificada em peso, derramada pelo interior da armadura através de sistema de injecção repetitiva seletiva (IRS)
e todos os trabalhos, materiais e execução de acordo com o projeto.</t>
  </si>
  <si>
    <t xml:space="preserve">Não há ensaios de carga de microestacas (estático/integridade) em nenhum artigo.</t>
  </si>
  <si>
    <t xml:space="preserve">2.3.1.1</t>
  </si>
  <si>
    <t xml:space="preserve">101.6x6.5</t>
  </si>
  <si>
    <t xml:space="preserve">2.3.1.2</t>
  </si>
  <si>
    <t xml:space="preserve">88.9x6.5</t>
  </si>
  <si>
    <t xml:space="preserve">2.3.2</t>
  </si>
  <si>
    <t xml:space="preserve">BETÃO DE REGULARIZAÇÃO
Execução de camada de regularização sob os elementos de fundação de betão normal  cinzento , incluindo fornecimento, colocação, compactação e cura de betão C12/15, X0, Cl 1.0, S3, Dinf 2mm, Dsup 28mm incluindo todos os trabalhos, materiais, equipamento e execução de acordo com o projeto.</t>
  </si>
  <si>
    <t xml:space="preserve">2.3.3</t>
  </si>
  <si>
    <t xml:space="preserve">MACIÇOS DE FUNDAÇÃO
Execução de MACIÇO DE ENCABEÇAMENTO de estacas em betão armado normal
cinzento , incluindo fornecimento, colocação, compactação e cura de betão C30/37, XC2, Cl0.40, S4, Dinf 2mm, Dsup 20mm com incorporação de hidrófugo, transporte, montagem, desmontagem, óleo descofrante e limpeza de cofragem para betão oculto e escoramento, fornecimento, colocação, carga e descarga, desperdícios e empalmes e elementos de montagem de armaduras certificadas em aço A500 NR , e todos os trabalhos, materiais e execução de acordo com o projecto.</t>
  </si>
  <si>
    <t xml:space="preserve">Ver 2.2.2 (63,11 m3 vs 63,00 m3). Classe de consistência diferente (S4 vs S3).</t>
  </si>
  <si>
    <t xml:space="preserve">2.3.4</t>
  </si>
  <si>
    <t xml:space="preserve">SAPATAS CORRIDAS
Execução de SAPATAS CORRIDAS em betão armado normal  cinzento , incluindo fornecimento, colocação, compactação e cura de betão C30/37, XC2, Cl 0.40, S4, Dinf 2mm, Dsup 20mm com incorporação de hidrófugo incluindo transporte, montagem, desmontagem, óleo descofrante e limpeza de cofragem para betão oculto e escoramento, fornecimento, colocação, carga e descarga, desperdícios e empalmes e elementos de montagem de armaduras certificadas em aço A500NR, e todos os trabalhos, materiais e execução de acordo com o projeto.</t>
  </si>
  <si>
    <t xml:space="preserve">2.3.5</t>
  </si>
  <si>
    <t xml:space="preserve">VIGAS EQUILÍBRIO
Execução de VIGAS DE EQUILIBRIO de fundação de pilares, paredes e muros de suporte em betão armado normal
cinzento , incluindo fornecimento, colocação, compactação e cura de betão C30/37 ,XC2 ,Cl 0.40, S4, Dinf 2mm, Dsup 20mm com incorporação de hidrófugo; transporte, montagem, desmontagem, óleo descofrante e limpeza de cofragem para betão oculto e escoramento; fornecimento, colocação, carga e descarga, desperdícios e empalmes e elementos de montagem de armaduras certificadas em aço A500 NR, e todos os trabalhos, materiais e execução de acordo com o projecto.</t>
  </si>
  <si>
    <t xml:space="preserve">2.3.6</t>
  </si>
  <si>
    <t xml:space="preserve">VIGAS LINTEL
Execução de VIGAS LINTEL de fundação de pilares, paredes,muros de suporte em betão armado normal  cinzento , incluindo fornecimento, colocação, compactação e cura de betão C30/37 , XC2 , Cl 0.40 , S4, Dinf 2mm, Dsup 20mm com incorporação de hidrófugo incluindo transporte, montagem, desmontagem, óleo descofrante e limpeza de cofragem para betão e escoramento; fornecimento, colocação, carga e descarga, desperdícios e empalmes e elementos de montagem de armaduras certificadas em aço A500 NR, e todos os trabalhos, materiais e execução de acordo com o projecto.</t>
  </si>
  <si>
    <t xml:space="preserve">2.3.7</t>
  </si>
  <si>
    <t xml:space="preserve">MURO DE SUPORTE
Execução de MURO DE SUPORTE em betão armado normal "cinzento" (não incluindo fundações), incluindo fornecimento, colocação, compactação e cura de betão C30/37, XC, Cl 0.40, S4, Dinf 2mm, Dsup 20mm com incorporação de hidrófugo; transporte, montagem, desmontagem, óleo descofrante e limpeza de cofragem para betão com face à vista e escoramento; fornecimento, colocação, carga e descarga, desperdícios e empalmes e elementos de montagem de armaduras certificadas em aço A500 NR, e todos os trabalhos, materiais e execução de acordo com o projecto.</t>
  </si>
  <si>
    <t xml:space="preserve">Classe de exposição 'XC' incompleta (XC1…XC4). Maior artigo de betão (172,6 k€): validar a medição.</t>
  </si>
  <si>
    <t xml:space="preserve">2.3.8</t>
  </si>
  <si>
    <t xml:space="preserve">MURO DE VEDAÇÃO
Execução de MURO DE VEDAÇÃO em betão armado normal "cinzento" (não incluindo fundações), incluindo fornecimento, colocação, compactação e cura de betão C30/37, XC4, Cl 0.40, S3, Dinf 2 mm, Dmáx 20 mm com incorporação de hidrófugo; transporte, montagem, desmontagem, óleo descofrante e limpeza de cofragem para betão com face à vista e escoramento; fornecimento, colocação, carga e descarga, desperdícios e empalmes e elementos de montagem de armaduras certificadas em aço A500 NR, e todos os trabalhos, materiais e execução de acordo com o projecto.</t>
  </si>
  <si>
    <t xml:space="preserve">2.3.9</t>
  </si>
  <si>
    <t xml:space="preserve">PILARES
Execução de PILARES em betão armado normal  cinzento , incluindo fornecimento, colocação, compactação e cura de betão C30/37, XC1 , Cl 0.40, S3, Dinf 2 mm, Dmáx 20 mm ; transporte, montagem, desmontagem, óleo descofrante e limpeza de cofragem para betão à vista e escoramento; fornecimento, colocação, carga e descarga, desperdícios e empalmes e elementos de montagem de armaduras certificadas em aço A500 NR , e todos os trabalhos, materiais e execução de acordo com o projecto.</t>
  </si>
  <si>
    <t xml:space="preserve">2.3.10</t>
  </si>
  <si>
    <t xml:space="preserve">PAREDES
Execução de PAREDES em betão armado normal  cinzento , incluindo fornecimento, colocação, compactação e cura de betão C30/37, XC1 , Cl 0.40, S3, Dinf 2 mm, Dmáx 20 mm ; transporte, montagem, desmontagem, óleo descofrante e limpeza de cofragem para betão à vista e escoramento; fornecimento, colocação, carga e descarga, desperdícios e empalmes e elementos de montagem de armaduras certificadas em aço A500 NR , e todos os trabalhos, materiais e execução de acordo com o projecto.</t>
  </si>
  <si>
    <t xml:space="preserve">2.3.11</t>
  </si>
  <si>
    <t xml:space="preserve">VIGAS
Execução de VIGAS em betão armado normal  cinzento , incluindo fornecimento, colocação, compactação e cura de betão; transporte, montagem, desmontagem, óleo descofrante e limpeza de cofragem para betão à vista e escoramento; fornecimento, colocação, carga e descarga, desperdícios e empalmes e elementos de montagem de armaduras certificadas em aço A500 NR, e todos os trabalhos, materiais e execução de acordo com o projecto.</t>
  </si>
  <si>
    <t xml:space="preserve">VIGAS sem classe de resistência, exposição, cloretos, consistência nem Dmax: especificação omissa.</t>
  </si>
  <si>
    <t xml:space="preserve">2.3.12</t>
  </si>
  <si>
    <t xml:space="preserve">LAJE MACIÇA
Execução de LAJES MACIÇAS em betão armado normal  cinzento  incluindo fornecimento, colocação, compactação e cura de betão C25/30, XC1, Cl 0.40, S3, Dmáx 20 mm; transporte, montagem, desmontagem, óleo descofrante e limpeza de cofragem para betão a revestir e escoramento até 4.0 m; fornecimento, colocação, carga e descarga, desperdícios e empalmes e elementos de montagem de armaduras certificadas em aço A500 NR e todos os trabalhos, materiais e execução de acordo com o projecto.</t>
  </si>
  <si>
    <t xml:space="preserve">Escoramento 'até 4,0 m'. Zonas de bancada/pavilhão podem exceder; prever escoramento acima de 4 m. C25/30 contra C30/37 no resto: confirmar no projeto.</t>
  </si>
  <si>
    <t xml:space="preserve">2.3.13</t>
  </si>
  <si>
    <t xml:space="preserve">ESCADAS EM BETÃO ARMADO
Execução de ESCADAS incluindo patamares, em betão armado normal cinzento , incluindo fornecimento, colocação, compactação e cura de betão C25/30, XC1, Cl 0.40, S3, Dmáx 20 mm; transporte, montagem, desmontagem, óleo descofrante e limpeza de cofragem para betão a revestir e escoramento até 4.0 m; fornecimento, colocação, carga e descarga, desperdícios e empalmes e elementos de montagem de armaduras certificadas em aço A500 NR, e todos os trabalhos, materiais e execução de acordo com o projecto.</t>
  </si>
  <si>
    <t xml:space="preserve">2.3.14</t>
  </si>
  <si>
    <t xml:space="preserve">PAVIMENTO TÉRREO
Execução de PAVIMENTO TÉRREO com 15 cm de espessura, composto por caixa de brita 30/50 assente sob geotextil aplicado sobre terreno natural devidamente compactado, incluindo compactação, transporte, colocação e todos os trabalhos, materiais, equipamento e execução de acordo com o projeto; filme de polietileno simples; camada de regularização em betão normal
 cinzento  com espessura de 0,05m, incluindo fornecimento, colocação, compactação e cura de betão C12/15, X0, Cl 1.0, S3, Dmáx 28 mm incluindo todos os trabalhos, materiais, equipamento e execução de acordo com o projeto; Primário de impermeabilização de base aquosa aplicado com rendimento aproximado de 250 g/m2 em duas demãos cruzadas; Membrana de impermeabilização totalmente aderida ao suporte, através de chama de maçarico, betume polímero APP com 4 kg/m² e armadura de poliéster protegida a polietileno em ambas as faces; geotextil e laje em betão armado normal  cinzento  com 0,12m de espessura incluindo fornecimento, colocação, compactação e cura de betão C30/37, XC2, Cl 0.40, S3, Dmáx 20 mm com incorporação de hidrófugo; transporte, montagem, desmontagem, óleo descofrante e limpeza de cofragem em bordos quando existentes; fornecimento, colocação, carga e descarga, desperdícios e empalmes e elementos de montagem de rede electrossoldada AQ50 em aço A500EL, e todos os trabalhos, nomeadamente juntas de construção e retração, selagem de juntas, elementos de transferência de carga, materiais e execução de acordo com o projeto.</t>
  </si>
  <si>
    <t xml:space="preserve">Título '15 cm', mas os subartigos têm caixas de brita de 0,22/0,15/0,17 m. Incoerente.</t>
  </si>
  <si>
    <t xml:space="preserve">2.3.14.1</t>
  </si>
  <si>
    <t xml:space="preserve">P.T.1: caixa de brita com 0,22m</t>
  </si>
  <si>
    <t xml:space="preserve">2.3.14.2</t>
  </si>
  <si>
    <t xml:space="preserve">P.T.2: caixa de brita com 0,15m</t>
  </si>
  <si>
    <t xml:space="preserve">2.3.14.3</t>
  </si>
  <si>
    <t xml:space="preserve">P.T.3: caixa de brita com 0,17m</t>
  </si>
  <si>
    <t xml:space="preserve">2.4</t>
  </si>
  <si>
    <t xml:space="preserve">ESTRUTURA METÁLICA</t>
  </si>
  <si>
    <t xml:space="preserve">2.4.1</t>
  </si>
  <si>
    <t xml:space="preserve">ESTRUTURA METÁLICA EXTERIOR Fornecimento e colocação de perfis e Chapas classe S275JR incluindo, tratamento da superfície de acordo com o esquema de pintura anticorrosiva da classe C3, ligação entre perfis, colocação em obra, ligações aparafusada, soldadas, chumbadouros, chapas de ligação e todos os restantes trabalhos necessários, de acordo com as peças desenhadas e o caderno de encargos.</t>
  </si>
  <si>
    <t xml:space="preserve">2.4.1.1</t>
  </si>
  <si>
    <t xml:space="preserve">SHS 40x40 3</t>
  </si>
  <si>
    <t xml:space="preserve">2.4.1.2</t>
  </si>
  <si>
    <t xml:space="preserve">LNP 40x3</t>
  </si>
  <si>
    <t xml:space="preserve">2.4.2</t>
  </si>
  <si>
    <t xml:space="preserve">ESTRUTURA METÁLICA INTERIOR Fornecimento e colocação de perfis e Chapas classe S275JR incluindo, tratamento da superfície de acordo com o esquema de pintura anticorrosiva da classe C3 e proteção intumescente para 60', ligação entre perfis, colocação em obra, ligações aparafusada, soldadas, chumbadouros, chapas de ligação e todos os restantes trabalhos necessários, de acordo com as peças desenhadas e o caderno de encargos.</t>
  </si>
  <si>
    <t xml:space="preserve">Inclui pintura C3 e intumescente R60 a 2,84–3,13 €/kg (ordem de grandeza ≥4,2–5,5 €/kg). IPE80 a 6,94 €/kg no mesmo artigo: preços incoerentes.</t>
  </si>
  <si>
    <t xml:space="preserve">2.4.2.1</t>
  </si>
  <si>
    <t xml:space="preserve">IPE 80</t>
  </si>
  <si>
    <t xml:space="preserve">2.4.2.2</t>
  </si>
  <si>
    <t xml:space="preserve">LNP35x4</t>
  </si>
  <si>
    <t xml:space="preserve">2.4.2.3</t>
  </si>
  <si>
    <t xml:space="preserve">SHS120x6,3</t>
  </si>
  <si>
    <t xml:space="preserve">2.4.2.4</t>
  </si>
  <si>
    <t xml:space="preserve">SHS100x4</t>
  </si>
  <si>
    <t xml:space="preserve">2.4.3</t>
  </si>
  <si>
    <t xml:space="preserve">CHAPA QUINADA ESCADAS METÁLICAS Fornecimento, quinagem e assentamento de chapa da classe S235JR com 5mm folha de oliveira galvanizada para criação de patamares e degraus de escadas metálicas exteriores, incluindo buchas quimicas, e pintura e todos os restantes trabalhos necessários, de acordo com as peças desenhadas e o caderno de encargos.</t>
  </si>
  <si>
    <t xml:space="preserve">2.4.4</t>
  </si>
  <si>
    <t xml:space="preserve">GRADIL
Fornecimento e montagem de gradil para pavimento com 0.30 [m] de espessura , com dimensões 0.030x0.030 [m x m] com 27 kg/m2, em aço de qualidade não ligado laminado a quente , de classe de resistência ST 37.2 , incluindo ligações por aparafusamento , de acordo com especificações e pormenores de projecto.</t>
  </si>
  <si>
    <t xml:space="preserve">ERRO</t>
  </si>
  <si>
    <t xml:space="preserve">'0.30 [m] de espessura' (300 mm) deve ser 0,030 m. 'ST 37.2' é designação DIN obsoleta (S235JR, EN 10025-2). Galvanização para exterior não indicada.</t>
  </si>
  <si>
    <t xml:space="preserve">2.4.5</t>
  </si>
  <si>
    <t xml:space="preserve">MADRES
Execução de madres em aço de qualidade não ligado soldado e enformado a frio, de classe de resistência 280GD, incluindo ligações por aparafusamento, de acordo com especificações e pormenores de projeto.</t>
  </si>
  <si>
    <t xml:space="preserve">2.4.5.1</t>
  </si>
  <si>
    <t xml:space="preserve">C 170x60x20x1.8</t>
  </si>
  <si>
    <t xml:space="preserve">2.4.5.2</t>
  </si>
  <si>
    <t xml:space="preserve">L40x40x1,5</t>
  </si>
  <si>
    <t xml:space="preserve">2.5</t>
  </si>
  <si>
    <t xml:space="preserve">MADEIRA</t>
  </si>
  <si>
    <t xml:space="preserve">2.5.1</t>
  </si>
  <si>
    <t xml:space="preserve">COBERTURA MADEIRA
Fornecimento de COBERTURA EM MADEIRA em Pinho Silvestre da classe ME-1; GL24-h incluindo, ligação entre vigas, ripas e barrotes, colocação em obra, ligações aparafusadas, chumbadouros, chapas de ligação e todos os restantes trabalhos necessários, de acordo com as peças desenhadas e o caderno de encargos.</t>
  </si>
  <si>
    <t xml:space="preserve">'Pinho Silvestre classe ME-1; GL24h' mistura classe visual NP 4305 com lamelado EN 14080. Faltam classe de uso/tratamento preservador e resistência ao fogo da estrutura. Média de 2.314 €/m3 (133,5 m3) está acima da referência: há margem para negociar.</t>
  </si>
  <si>
    <t xml:space="preserve">2.5.1.1</t>
  </si>
  <si>
    <t xml:space="preserve">VM 0.15x0.15</t>
  </si>
  <si>
    <t xml:space="preserve">2.5.1.2</t>
  </si>
  <si>
    <t xml:space="preserve">VM 0.15x0.20</t>
  </si>
  <si>
    <t xml:space="preserve">2.5.1.3</t>
  </si>
  <si>
    <t xml:space="preserve">VM 0.17x0.17</t>
  </si>
  <si>
    <t xml:space="preserve">2.5.1.4</t>
  </si>
  <si>
    <t xml:space="preserve">VM 0.17x0.20</t>
  </si>
  <si>
    <t xml:space="preserve">2.5.1.5</t>
  </si>
  <si>
    <t xml:space="preserve">VM 0.17x0.25</t>
  </si>
  <si>
    <t xml:space="preserve">2.5.1.6</t>
  </si>
  <si>
    <t xml:space="preserve">VM 0.20x0.20</t>
  </si>
  <si>
    <t xml:space="preserve">2.5.1.7</t>
  </si>
  <si>
    <t xml:space="preserve">VM 0.20x0.40</t>
  </si>
  <si>
    <t xml:space="preserve">2.5.1.8</t>
  </si>
  <si>
    <t xml:space="preserve">PM 0.20x0.20</t>
  </si>
  <si>
    <t xml:space="preserve">PM 0,20x0,20 ao preço da VM 0,15x0,20 (69,73 €/ml = 1.743 €/m3, contra ~2.330 €/m3 nas restantes). Preço copiado.</t>
  </si>
  <si>
    <t xml:space="preserve">2.5.1.9</t>
  </si>
  <si>
    <t xml:space="preserve">PM 0.20x0.40</t>
  </si>
  <si>
    <t xml:space="preserve">2.6</t>
  </si>
  <si>
    <t xml:space="preserve">DIVERSOS</t>
  </si>
  <si>
    <t xml:space="preserve">2.6.1</t>
  </si>
  <si>
    <t xml:space="preserve">IMPERMEABILIZAÇÃO COM PINTURA DE BASE BETUMINOSA
Impermeabilizações de elementos em contacto com o terreno com base em produtos pastosos de base betuminosa, aplicadas em sistema com duas camadas cruzadas, incluindo todos os trabalhos preparatórios e acessórios de aplicação, primários, fornecimento, carga, transportes, descarga e aplicação, de acordo com os desenhos de pormenor e o caderno de encargos.</t>
  </si>
  <si>
    <t xml:space="preserve">2.017 m2 de pintura betuminosa + 2.6.6 (1.085,8 m2, sistema completo) + 3.4.4 (464 m2) + 3.4.2 (637 m2 XPS em muros): risco de sobreposição. Pedir mapa de superfícies. 2,64 €/m2 é baixo.</t>
  </si>
  <si>
    <t xml:space="preserve">2.6.2</t>
  </si>
  <si>
    <t xml:space="preserve">JUNTAS DE DILATAÇÃO
Fornecimento e aplicação, de junta de dilatação, composta por: placas de poliestireno expandido, cordão de fundo de junta, selagem com mastique em em ambas as faces, ferrolhos se necessário, incluindo todos os trabalhos, materiais e execução de acordo com as especificações de projeto, peças desenhadas e o caderno de encargos.</t>
  </si>
  <si>
    <t xml:space="preserve">2.6.3</t>
  </si>
  <si>
    <t xml:space="preserve">ENDURECEDOR DE SUPERFÍCIE
Fornecimento e aplicação de endurecedor de superfície de quartzo 4 kg/m², espalhamento manual, carga, descarga e todos os trabalhos, materiais e execução de acordo com o projeto.</t>
  </si>
  <si>
    <t xml:space="preserve">Endurecedor em 419,56 m2 (= área do P.T.1). Verificar se a mesma área leva também PAV I 02 Unipiso (3.9.1.2).</t>
  </si>
  <si>
    <t xml:space="preserve">2.6.4</t>
  </si>
  <si>
    <t xml:space="preserve">BANCADAS
Fornecimento e assentamento de vigas de bancada com a geometria e capacidades resistentes para o vão apresentado, incluindo transporte para estaleiro de obra, armazenamento em boas condições, elevação, materais para assentamento, apoios intermédios necessários, juntas entre elementos contíguos, assentamento das mesmas de acordo com indicações do fornecedor e todos os trabalhos, materiais e execução de acordo com o projecto.</t>
  </si>
  <si>
    <t xml:space="preserve">2.6.4.1</t>
  </si>
  <si>
    <t xml:space="preserve">Bancadas</t>
  </si>
  <si>
    <t xml:space="preserve">2.6.4.2</t>
  </si>
  <si>
    <t xml:space="preserve">Peça remate 0,40x0,08</t>
  </si>
  <si>
    <t xml:space="preserve">2.6.4.3</t>
  </si>
  <si>
    <t xml:space="preserve">Degraus</t>
  </si>
  <si>
    <t xml:space="preserve">92 degraus aqui + 14 (3.9.1.5) + 6 (3.9.2.2). Confirmar que não há duplicação.</t>
  </si>
  <si>
    <t xml:space="preserve">2.6.5</t>
  </si>
  <si>
    <t xml:space="preserve">DRENO TARDOZ PAREDES DE CONTENÇÃO E MUROS DE SUPORTE
Fornecimento e colocação de dreno, no tardoz de muro de suporte e paredes de contenção, em PVC corrugado perfurado de parede dupla com 160 mm de diâmetro colocado no interior de uma secção drenante de 0,40 m x 0,40 m composta por brita 25/40 envolvida em geotêxtil incluindo todos os trabalhos, materiais e execução de acordo com as especificações de projecto, peças desenhadas e o caderno de encargos.</t>
  </si>
  <si>
    <t xml:space="preserve">Dreno sem caixas de visita nem ligação à rede pluvial.</t>
  </si>
  <si>
    <t xml:space="preserve">2.6.6</t>
  </si>
  <si>
    <t xml:space="preserve">SISTEMA DE DRENAGEM E IMPERMEABILIZAÇÃO NO TARDOZ NOS MUROS DE SUPORTE E PAREDES DE CONTENÇÃO
Fornecimento e aplicação, de acordo com instruções do fornecedor, de proteção de muro pela face exterior, constituída por: Primário de impermeabilização de base aquosa aplicado com rendimento aproximado de 250 g/m2 em duas demãos cruzadas; Membrana de impermeabilização totalmente aderida ao suporte, através de chama de maçarico, em betume modificado com polímeros elastómeros SBS com armadura de poliéster (FP) com flexibilidade a baixas temperaturas; Camada drenante de polietileno de alta densidade (HDPE) com geotextil de polipropileno aderido, 7,5mm de espessura e resistência à compressão 120 kPa, fixada mecanicamente, e perfil de arranque de modo a evitar o deslizamento do sistema durante a compactação de terras, colocando o geotêxtil em contacto com o terreno; Em zonas que necessitem isolamento térmico, dever-se-ão aplicar placas de poliestireno extrudido entre a membrana de impermeabilização e a camada drenante, e todos os trabalhos, materiais e execução de acordo com as especificações de projecto, peças desenhadas e o caderno de encargos.</t>
  </si>
  <si>
    <t xml:space="preserve">Inclui 'XPS onde necessário', que é pago à parte em 3.4.2.</t>
  </si>
  <si>
    <t xml:space="preserve">3</t>
  </si>
  <si>
    <t xml:space="preserve">ARQUITETURA</t>
  </si>
  <si>
    <t xml:space="preserve">3.1</t>
  </si>
  <si>
    <t xml:space="preserve">DEMOLIÇÕES LIMPEZAS E CONSOLIDAÇÃO</t>
  </si>
  <si>
    <t xml:space="preserve">3.1.1</t>
  </si>
  <si>
    <t xml:space="preserve">DEMOLIÇÃO DE PAVILHÃO EXISTENTE Demolição completa, elemento a elemento, com meios manuais e mecânicos de edifício de cerca de 1200 m² de superfície total, e carga mecânica para camião ou contentor, isolado, composto por 1 piso com uma altura edificada máx. de cerca de 10 m. O edifício apresenta uma estrutura mista de betão e aço e o seu estado de conservação razoável.</t>
  </si>
  <si>
    <t xml:space="preserve">Não refere a demolição de fundações e lajes térreas do pavilhão. ~34 €/m2 é plausível.</t>
  </si>
  <si>
    <t xml:space="preserve">3.1.2</t>
  </si>
  <si>
    <t xml:space="preserve">DEMOLIÇÃO DE COBERTURA COM AMIANTO EM PAV. EXISTENTE
Desmontagem de revestimento de placas de fibrocimento com amianto, fixado mecanicamente sobre  a estrutura a menos de 20 m de altura, por empresa qualificada, em cobertura inclinada de duas águas, para uma superfície média a desmontar de cerca de 1000 m²; com meios e equipamentos adequados, e carga mecânica sobre camião. O preço inclui a desmontagem dos elementos de fixação, dos remates, das caleiras e dos tubos de queda e as medições da concentração de amianto (ambientais e pessoais).</t>
  </si>
  <si>
    <t xml:space="preserve">Amianto: faltam transporte e deposição em operador licenciado (e-GAR), plano de trabalhos aprovado pela ACT (DL 266/2007) e levantamento prévio de MCA. 1.000 m2 para cobertura de duas águas de ~1.200 m2 parece subestimado. 14 €/m2 está abaixo do mercado (~20 €/m2 com transporte).</t>
  </si>
  <si>
    <t xml:space="preserve">3.1.3</t>
  </si>
  <si>
    <t xml:space="preserve">DEMOLIÇÃO DE CAMPO DE JOGOS E PAVIMENTOS EXTERIORES
Demolição de pavimento existente, betuminoso ou cimentício, com martelo pneumático, e carga manual para camião ou contentor, repetivo transporte e descarga em vazadouro conforme o especificado no PGR.
Incluí:
.Demolição e desativação de infraestruturas existentes;
.Trabalhos necessários para garantir o funcionamento contínuo das infraestruturas existentes, caso se verifique a necessidade da sua manutenção em operação e após a obra concluída;
. Demolição de elementos perimetrais de remate de pavimentos;
. Remoção de bases e camadas de assentamento. Caso o material se encontre em boas condições - prever o seu armazenamento em obra, para a sua reutilização. A Remoção das camadas de assentamento está condicionada ao novo material de acabamento, podendo não ser necessária a remoção integral.
.Todos os trabalhos e materiais necessários para a execução de acordo com as indicações do fabricante, com os desenhos de pormenor, mapa de acabamentos e caderno de encargos.</t>
  </si>
  <si>
    <t xml:space="preserve">3.1.3.1</t>
  </si>
  <si>
    <t xml:space="preserve">Campo de Jogos existente</t>
  </si>
  <si>
    <t xml:space="preserve">3.1.3.2</t>
  </si>
  <si>
    <t xml:space="preserve">Pavimentos Existentes - Betuminosos ou Cimentícios</t>
  </si>
  <si>
    <t xml:space="preserve">3.1.3.3</t>
  </si>
  <si>
    <t xml:space="preserve">Escadas Existentes</t>
  </si>
  <si>
    <t xml:space="preserve">3.1.4</t>
  </si>
  <si>
    <t xml:space="preserve">DEMOLIÇÃO DE MUROS E MURETES
Trabalhos de demolição de muros de vedação e ou suporte de terras (ver projeto de estabilidade) com meios manuais, e carga manual para camião ou contentor, e repetivo transporte e descarga em vazadouro conforme o especificado no PGR.</t>
  </si>
  <si>
    <t xml:space="preserve">6,5 €/m3 para demolição manual de muros de BA/granito, com transporte a vazadouro, é irrealista (ref. 45–80 €/m3).</t>
  </si>
  <si>
    <t xml:space="preserve">3.1.4.1</t>
  </si>
  <si>
    <t xml:space="preserve">Muro de vedação vedação e/ou suporte em Alvenaria de Bloco de Cimento e Estrutura pontual em betão armado.</t>
  </si>
  <si>
    <t xml:space="preserve">3.1.4.2</t>
  </si>
  <si>
    <t xml:space="preserve">Muro de vedação e/ou suporte com forra em Alvenaria de Pedra.</t>
  </si>
  <si>
    <t xml:space="preserve">3.1.4.3</t>
  </si>
  <si>
    <t xml:space="preserve">Muretes e Muros de Suporte em Betão Armado ou Alvenaria de Granito</t>
  </si>
  <si>
    <t xml:space="preserve">3.1.5</t>
  </si>
  <si>
    <t xml:space="preserve">DESMONTAGEM DE VEDAÇÃO EXISTENTE Trabalhos de desmontagem de vedação existente para a re-aplicação em obra incluindo a demolição das fundações existentes que se encontrem degradadas, com meios manuais e/ou mecânicos, e carga manual para camião ou contentor, e repetivo transporte e descarga em vazadouro conforme o especificado no PGR.</t>
  </si>
  <si>
    <t xml:space="preserve">3.1.6</t>
  </si>
  <si>
    <t xml:space="preserve">TRABALHOS NO PASSEIO
Consolidação e reposição do passeio existente, na sequência dos trabalhos de consolidação da fundação da vedação existente.
Incluí: Todos os trabalhos e materiais necessários para a execução de acordo com as indicações do fabricante, com os desenhos de pormenor, mapa de acabamentos e caderno de encargos.</t>
  </si>
  <si>
    <t xml:space="preserve">3.1.7</t>
  </si>
  <si>
    <t xml:space="preserve">DEMOLIÇÃO COBERTURA DE ENTRADA LATERAL Trabalhos de demolição de cobertura e fundações existentes, com meios manuais e/ou eletromecânicos, carga manual para camião ou contentor, e repetivo transporte e descarga em vazadouro conforme o especificado no PGR.</t>
  </si>
  <si>
    <t xml:space="preserve">3.2</t>
  </si>
  <si>
    <t xml:space="preserve">MOVIMENTOS DE TERRA</t>
  </si>
  <si>
    <t xml:space="preserve">3.2.1</t>
  </si>
  <si>
    <t xml:space="preserve">ESCAVAÇÃO COTAS DE PAV. EXTERIORES E/OU SOLO VEGETAL
Escavação em terreno de qualquer natureza para obtenção da cota de caixa de pavimento, incluindo carga e transporte de material.</t>
  </si>
  <si>
    <t xml:space="preserve">2.500 m3 (quantidade redonda) sem destino definido nem transporte a vazadouro.</t>
  </si>
  <si>
    <t xml:space="preserve">3.3</t>
  </si>
  <si>
    <t xml:space="preserve">COBERTURAS</t>
  </si>
  <si>
    <t xml:space="preserve">nota 01</t>
  </si>
  <si>
    <t xml:space="preserve">Considera-se incluída nos trabalhos de coberturas, a execução de linteis de betão ligeiramente armados, para a definição de cota de assentamento de elementos arquitetónicos.</t>
  </si>
  <si>
    <t xml:space="preserve">3.3.1</t>
  </si>
  <si>
    <t xml:space="preserve">COB. TIPO 01
Fornecimento e aplicação de cobertura em painel sandwich tipo FTB PC 1000 acústico com 100mm de espessura (chapa exterior com 0,6mm, chapa interior microperfurada)
Incluí: Todos os trabalhos e materiais necessários para a execução de acordo com as indicações do fabricante, com os desenhos de pormenor, mapa de acabamentos e caderno de encargos.
- Rufos, chapas de remate com a platibanda, caleira de drenagem de A.P.s conforme desenhos de pormenor e de acordo com o definido pelo sistema escolhido - tipo FTB.
- Todos os trabalhos e materiais necessários para a execução de acordo com as indicações do fabricante, com os desenhos de pormenor, mapa de acabamentos e caderno de encargos;</t>
  </si>
  <si>
    <t xml:space="preserve">Não especifica o núcleo do painel (PIR/PUR ou lã de rocha) nem a classe de reação ao fogo (RT-SCIE). Inclui caleiras (ver 6.2.18). Remates dos exutores (11.11) não referidos. Linha de vida omissa.</t>
  </si>
  <si>
    <t xml:space="preserve">3.3.1.1</t>
  </si>
  <si>
    <t xml:space="preserve">Pav. Gimnodesportivo</t>
  </si>
  <si>
    <t xml:space="preserve">3.3.1.2</t>
  </si>
  <si>
    <t xml:space="preserve">Ginásio</t>
  </si>
  <si>
    <t xml:space="preserve">3.3.2</t>
  </si>
  <si>
    <t xml:space="preserve">COB. TIPO 02
Fornecimento e aplicação de cobertura em claraboias em painel sandwich tipo FTB PC 1000 acústico com 100mm de espessura (chapa exterior com 0,6mm, chapa interior microperfurada)
Incluí:
- Rufos, chapas de remate com a platibanda, caleira de drenagem de A.P.s conforme desenhos de pormenor e de acordo com o definido pelo sistema escolhido - tipo FTB.
- Todos os trabalhos e materiais necessários para a execução de acordo com as indicações do fabricante, com os desenhos de pormenor, mapa de acabamentos e caderno de encargos;</t>
  </si>
  <si>
    <t xml:space="preserve">'Claraboias em painel sandwich' é contraditório: o painel é opaco. Esclarecer se há iluminação zenital.</t>
  </si>
  <si>
    <t xml:space="preserve">3.3.2.1</t>
  </si>
  <si>
    <t xml:space="preserve">3.3.2.2</t>
  </si>
  <si>
    <t xml:space="preserve">3.3.3</t>
  </si>
  <si>
    <t xml:space="preserve">COB. TIPO 03
Fornecimento e execução de cobertura do edifício de ligação entre salas desportivas composta pelos seguintes trabalhos (descritos desde a Laje estrutural até ao acabamento):
. Emulsão betuminosa tipo IMPERKOTE F
. Barreira pára Vapôr
. Isolamento térmico XPS 80mm.
. Lámina de separação tipo IMPERSEP 200
. Betão leve de enchimento formar pendentes com espessura variável de 21 a 5 cm.
. Sistema de impermeabilização de cobertura "IMPERALUM" composto por Imperkote F, Polyplas 30 e Polyster 40T (tudo tipo ou equiv.) .
. Lajetas préfabricadas de betão tipo ACL ou equiv. 60x40 cm (cor a definir em obra), incluindo suportes reguláveis de alta resistênica tipo SOPREMA ou equiv.
.Maciços cimentícios ligeiramente armados pontuais para apoio de equipamentos e infraestruturas a colocar na cobertura, bem como, todos os remates e acessórios necessários à correta execução dos trabalho.
.Todos os trabalhos e materiais necessários para a execução de acordo com as indicações do fabricante, com os desenhos de pormenor, mapa de acabamentos e caderno de encargos.</t>
  </si>
  <si>
    <t xml:space="preserve">3.3.4</t>
  </si>
  <si>
    <t xml:space="preserve">COB. TIPO 04
Fornecimento e execução de cobertura invertida a executar nos espaços de circulação exterior no Piso 02 composta pelos seguintes trabalhos (descritos desde a Laje estrutural até ao acabamento):
. Betão leve de enchimento formar pendentes com espessura variável.
. Sistema de impermeabilização de cobertura "IMPERALUM" composto por Imperkote F, Polyplas 30 e Polyster 40T (tudo tipo ou equiv.) .
. Isolamento térmico XPS 80mm.
. Lámina de separação tipo IMPERSEP 200
. Pavimento contínuo em betão hidrófugo a formar pendentes no sentido da drenangem das águas pluviais, armado com malha sol AQ-50 tipo secil UNIPISO (12cm) - cor a definir em obra.
Incluí: Todos os trabalhos e materiais necessários para a execução de acordo com as indicações do fabricante, com os desenhos de pormenor, mapa de acabamentos e caderno de encargos.</t>
  </si>
  <si>
    <t xml:space="preserve">3.3.5</t>
  </si>
  <si>
    <t xml:space="preserve">COB.05 VOLUME ESCADAS
Fornecimento e execução de cobertura a executar na laje inclinada da escada de ligação entre pisos composta pelos seguintes trabalhos (descritos desde a Laje estrutural até ao acabamento):
. Cama de impermeabilização tipo IMPERKOTE F.
. Subestrutura de Suporte.
. Painel sandwich tipo FTB PC 1000 com 100mm de espessura.
. Rufos de ligação entre lajes.
Incluí: Todos os trabalhos e materiais necessários para a execução de acordo com as indicações do fabricante, com os desenhos de pormenor, mapa de acabamentos e caderno de encargos.
- Rufos, chapas de remate com a platibanda, caleira de drenagem de A.P.s conforme desenhos de pormenor e de acordo com o definido pelo sistema escolhido - tipo FTB.
- Todos os trabalhos e materiais necessários para a execução de acordo com as indicações do fabricante, com os desenhos de pormenor, mapa de acabamentos e caderno de encargos;</t>
  </si>
  <si>
    <t xml:space="preserve">nota 02</t>
  </si>
  <si>
    <t xml:space="preserve">Nos artigos correspondentes a Cobertura, encontram-se incluídos, para além dos definidos nos Pormenores do P.A. todos os rufos, presilhas, chapas de ligação, fixações, caleiros e outros acessórios necessários à correta execução dos trabalhos. Optou-se por não fazer a sua medição individualizada.</t>
  </si>
  <si>
    <t xml:space="preserve">3.4</t>
  </si>
  <si>
    <t xml:space="preserve">IMPERMEABILIZAÇÕES E ISOLAMENTOS</t>
  </si>
  <si>
    <t xml:space="preserve">3.4.1</t>
  </si>
  <si>
    <t xml:space="preserve">ISOLAMENTO TÉRMICO XPS 50MM Fornecimento e aplicação de isolamento térmico em XPS de 50mm de espessura a aplicar em paredes exteriores conforme mapa de paredes do P.A.
Incluí: Todos os trabalhos e materiais necessários para a execução de acordo com as indicações do fabricante, com os desenhos de pormenor, mapa de acabamentos e caderno de encargos.</t>
  </si>
  <si>
    <t xml:space="preserve">3.4.2</t>
  </si>
  <si>
    <t xml:space="preserve">ISOLAMENTO TÉRMICO XPS 50MM Fornecimento e aplicação de isolamento térmico em XPS de 50mm de espessura a aplicar em muros de contenção de terras, conforme mapa de paredes do P.A.
Incluí: Todos os trabalhos e materiais necessários para a execução de acordo com as indicações do fabricante, com os desenhos de pormenor, mapa de acabamentos e caderno de encargos.</t>
  </si>
  <si>
    <t xml:space="preserve">3.4.3</t>
  </si>
  <si>
    <t xml:space="preserve">ISOLAMENTO TÉRMICO LÃ DE ROCHA 80MM Fornecimento e aplicação de isolamento térmico em lã de rocha de 80mm de espessura, com 75kg/m3 a aplicar em paredes exteriores, conforme mapa de paredes do P.A.
Incluí: Todos os trabalhos e materiais necessários para a execução de acordo com as indicações do fabricante, com os desenhos de pormenor, mapa de acabamentos e caderno de encargos.</t>
  </si>
  <si>
    <t xml:space="preserve">3.4.3.1</t>
  </si>
  <si>
    <t xml:space="preserve">Piso 01</t>
  </si>
  <si>
    <t xml:space="preserve">3.4.3.2</t>
  </si>
  <si>
    <t xml:space="preserve">Piso 02 e Cobertura</t>
  </si>
  <si>
    <t xml:space="preserve">3.4.4</t>
  </si>
  <si>
    <t xml:space="preserve">IMPERMEABILIZAÇÃO À BASE DE EMULSÃO BETUMINOSA
Fornecimento e aplicação de impermeabilização à base de emulsão betuminosa tipo IMPERKOTE F, aplicar em paredes exteriores conforme mapa de paredes.
Incluí: Todos os trabalhos e materiais necessários para a execução de acordo com as indicações do fabricante, com os desenhos de pormenor, mapa de acabamentos e caderno de encargos.</t>
  </si>
  <si>
    <t xml:space="preserve">3.4.5</t>
  </si>
  <si>
    <t xml:space="preserve">TELA LÍQUIDA
Fornecimento e aplicação de tela liquida impermeabilizante tipo SIKA, a aplicar em soleiras de vãos.
Incluí: Todos os trabalhos e materiais necessários para a execução de acordo com as indicações do fabricante, com os desenhos de pormenor, mapa de acabamentos e caderno de encargos.</t>
  </si>
  <si>
    <t xml:space="preserve">3.4.6</t>
  </si>
  <si>
    <t xml:space="preserve">IMPERMEBILIZAÇÃO DE ZONAS DE BANHO
Fornecimento e aplicação de argamassa tipo Sikalastic®-1K ES monocomponente, reforçada com fibras e com capacidade de ponte de fissuras, à base de cimento modificado com polímeros especiais resistentes a álcalis.
Incluí: Todos os trabalhos e materiais necessários para a execução de acordo com as indicações do fabricante, com os desenhos de pormenor, mapa de acabamentos e caderno de encargos.</t>
  </si>
  <si>
    <t xml:space="preserve">60 m2 de pavimento impermeabilizado para 32 duches parece pouco.</t>
  </si>
  <si>
    <t xml:space="preserve">3.4.6.1</t>
  </si>
  <si>
    <t xml:space="preserve">Balneários</t>
  </si>
  <si>
    <t xml:space="preserve">3.4.6.2</t>
  </si>
  <si>
    <t xml:space="preserve">Paredes em Balneários</t>
  </si>
  <si>
    <t xml:space="preserve">3.5</t>
  </si>
  <si>
    <t xml:space="preserve">PAREDES EXTERIOES</t>
  </si>
  <si>
    <t xml:space="preserve">nota 03</t>
  </si>
  <si>
    <t xml:space="preserve">Considera-se incluída nos trabalhos de paredes (interiores e exteriores), a execução de linteis de betão ligeiramente armados, para a definição de cota de assentamento de elementos arquitetónicos.</t>
  </si>
  <si>
    <t xml:space="preserve">3.5.1</t>
  </si>
  <si>
    <t xml:space="preserve">PAR. PAINEL SANDWICH 80mm
Fornecimento e aplicação de painel sandwich em fachada em tipo FTB 1000 acústico fixação oculta com 80mm de espessura (chapa interior microperfurada), incluindo chapas de remate, e sub-estrutura em aço galvanizado.
Incluí: Todos os trabalhos e materiais necessários para a execução de acordo com as indicações do fabricante, com os desenhos de pormenor, mapa de acabamentos e caderno de encargos.</t>
  </si>
  <si>
    <t xml:space="preserve">3.5.2</t>
  </si>
  <si>
    <t xml:space="preserve">PAR. CLARABOIA PAINEL SANDWICH 80mm Fornecimento e aplicação de painel sandwich em fachada em tipo FTB 1000 acústico fixação oculta com 80mm de espessura (chapa interior microperfurada), incluindo chapas de remate, e sub-estrutura em aço galvanizado.
Incluí: Todos os trabalhos e materiais necessários para a execução de acordo com as indicações do fabricante, com os desenhos de pormenor, mapa de acabamentos e caderno de encargos.</t>
  </si>
  <si>
    <t xml:space="preserve">3.5.3</t>
  </si>
  <si>
    <t xml:space="preserve">BLOCO 150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</si>
  <si>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3.5.3.1</t>
  </si>
  <si>
    <t xml:space="preserve">3.5.4</t>
  </si>
  <si>
    <t xml:space="preserve">BLOCO 200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</si>
  <si>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3.5.4.1</t>
  </si>
  <si>
    <t xml:space="preserve">3.5.4.2</t>
  </si>
  <si>
    <t xml:space="preserve">Piso 02</t>
  </si>
  <si>
    <t xml:space="preserve">3.6</t>
  </si>
  <si>
    <t xml:space="preserve">REVESTIMENTO DE PAREDES EXTERIORES</t>
  </si>
  <si>
    <t xml:space="preserve">3.6.1</t>
  </si>
  <si>
    <t xml:space="preserve">REV. FACHADA EXTERIOR EM CHAPA ONDULADA Fornecimento de fachada de alumínio ondulada.
Incluí: Todos os trabalhos e materiais necessários para a execução de acordo com as indicações do fabricante, com os desenhos de pormenor, mapa de acabamentos e caderno de encargos.</t>
  </si>
  <si>
    <t xml:space="preserve">3.6.1.1</t>
  </si>
  <si>
    <t xml:space="preserve">Fornecimento e aplicação de chapa ondulada de 0.7mm de espessura tipo FTB ou equiv.</t>
  </si>
  <si>
    <t xml:space="preserve">O título diz 'alumínio' e o subartigo diz 'tipo FTB' (aço). Definir o material. 25,44 €/m2 é baixo para alumínio.</t>
  </si>
  <si>
    <t xml:space="preserve">3.6.1.2</t>
  </si>
  <si>
    <t xml:space="preserve">Fornecimento e aplicação de sub-estrutura em perfis de aço galvanizado para a fixação da chapa ondulada em paredes exteriores.</t>
  </si>
  <si>
    <t xml:space="preserve">Subestrutura com 320 m2 para 1.550 m2 de chapa ondulada. Quantidades incompatíveis: faltam ~1.230 m2 (~15 k€) ou falta justificação.</t>
  </si>
  <si>
    <t xml:space="preserve">3.7</t>
  </si>
  <si>
    <t xml:space="preserve">PAREDES INTERIORES</t>
  </si>
  <si>
    <t xml:space="preserve">3.7.1</t>
  </si>
  <si>
    <t xml:space="preserve">T.PAI 01 - BLOCO 300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</si>
  <si>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3.7.2</t>
  </si>
  <si>
    <t xml:space="preserve">T.PAI 02 - BLOCO 200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</si>
  <si>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3.7.2.1</t>
  </si>
  <si>
    <t xml:space="preserve">3.7.2.2</t>
  </si>
  <si>
    <t xml:space="preserve">3.7.3</t>
  </si>
  <si>
    <t xml:space="preserve">T.PAI 03 - BLOCO 150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</si>
  <si>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3.7.3.1</t>
  </si>
  <si>
    <t xml:space="preserve">3.7.3.2</t>
  </si>
  <si>
    <t xml:space="preserve">3.7.4</t>
  </si>
  <si>
    <t xml:space="preserve">T.PAI 04 - BLOCO 100
Fornecimento e execução de parede em bloco de betão com peças especiais, face à vista tipo ACL ou equiv. com junta de assentamento máxima de 15mm e cuja montagem deve respeitar o Projeto de Arquitetura.
Incluí:
.Sempre que necessário e de acordo com as especificações dos materias, consideram-se incluidos todos os reforços e maciçamentos pontuais (horizontais e verticais) de forma a garantir a total estabilidade das paredes.
. Inclui todos os trabalhos necessários ao bom acabamento de todos os atravessamentos de infraestruturas à vista - Definição de dimensão e geometria de vazio de passagem; preenchimento de vazio com argamassa e tijolo; pintura com acabamento igual ao da parede.
.Execução de Vigas de Betão Armado à Vista em zonas de Vãos conforme pormenor previsto na especialidade e P.A..
.Todos os trabalhos e materiais necessários para a execução de acordo com as indicações do fabricante, com os desenhos de pormenor, mapa de acabamentos e caderno de encargos.</t>
  </si>
  <si>
    <t xml:space="preserve">3.7.4.1</t>
  </si>
  <si>
    <t xml:space="preserve">3.8</t>
  </si>
  <si>
    <t xml:space="preserve">REVESTIMENTO DE PAREDES INTERIORES</t>
  </si>
  <si>
    <t xml:space="preserve">3.8.1</t>
  </si>
  <si>
    <t xml:space="preserve">PA I 02. AZULEJO 20x20 cm
Fornecimento e aplicação de revestimento em azulejo de Pasta Branca de bicozedura tipo CINCA, série "Arquitectos", dimensões 20x20cm, cor Branco, ref.: 2300, incluindo fixação com cimento cola e tomação de juntas com material apropriado. Incluí peças especiais, nomeadamente, cantoneiras convexa e côncava de 20x3.5CX e 20x3,5CV e ângulos de cantoneiras externo e interno de 3.5x3.5AECX e 3,5x3,5AICV
De acordo com as indicações do fabricante, com os desenhos de pormenor e mapa de acabamentos</t>
  </si>
  <si>
    <t xml:space="preserve">3.8.1.1</t>
  </si>
  <si>
    <t xml:space="preserve">3.8.1.2</t>
  </si>
  <si>
    <t xml:space="preserve">3.8.2</t>
  </si>
  <si>
    <t xml:space="preserve">RP I 01. RODAPÉS DE AZULEJO 20x15 cm Fornecimento e aplicação de revestimento em azulejo de Pasta Branca de bicozedura tipo CINCA, série "Arquitectos", dimensões 20x20cm cortado com 15cm, cor Branco, ref.: 2300, incluindo fixação com cimento cola e tomação de juntas com material apropriado. Incluí peças especiais, nomeadamente, cantoneiras convexa e côncava de 20x3.5CX e 20x3,5CV e ângulos de cantoneiras externo e interno de 3.5x3.5AECX e 3,5x3,5AICV
De acordo com as indicações do fabricante, com os desenhos de pormenor e mapa de acabamentos.</t>
  </si>
  <si>
    <t xml:space="preserve">3.8.2.1</t>
  </si>
  <si>
    <t xml:space="preserve">3.8.3</t>
  </si>
  <si>
    <t xml:space="preserve">REV. ACU EM ZONAS TÉCNICAS PA I.09 Fornecimento e aplicação de Isolamento acústico formado por painel semi-rígido de lã de vidro TECH Slab 3.0 G1 (Painel Neto) "ISOVER", de 40 mm de espessura, revestido numa das suas faces com um véu mineral preto, resistência térmica 0,79 m²°C/W, condutibilidade térmica 0,038 W/(m°C), densidade 70 kg/m³, calor específico 840 J/kgK, coeficiente de absorção sonora médio 0,65 para uma frequência de 500 Hz e factor de resistência à difusão do vapor de água 1. Conforme Projeto de Acústica. Incluí:
- Todos os trabalhos e materiais necessários para a execução de acordo com as indicações do fabricante, com os desenhos de pormenor, mapa de acabamentos e caderno de encargos.</t>
  </si>
  <si>
    <t xml:space="preserve">3.8.4</t>
  </si>
  <si>
    <t xml:space="preserve">REV. ACU TIPO ECOPHON PA I.06 Fornecimento e aplicação de paineis de revestimento acústico de paredes tipo ecophon akusto wall ou equivalente e de subestrutura de aço galvanizado adequada ao suporte do material de acabamento.
Sala A.2.6
Incluí:
- Todos os trabalhos e materiais necessários para a execução de acordo com as indicações do fabricante, com os desenhos de pormenor, mapa de acabamentos e caderno de encargos.</t>
  </si>
  <si>
    <t xml:space="preserve">3.8.5</t>
  </si>
  <si>
    <t xml:space="preserve">REV. ACU CHAPA ONDULADA PERFURADA PA I.09
Fornecimento e aplicação de paineis de revestimento acústico de paredes em chapa de alumínio lacada microperfurada e de subestrutura de aço galvanizado adequada ao suporte do material de acabamento.
Incluí:
- Todos os trabalhos e materiais necessários para a execução de acordo com as indicações do fabricante, com os desenhos de pormenor, mapa de acabamentos e caderno de encargos.</t>
  </si>
  <si>
    <t xml:space="preserve">Mesma descrição de 3.10.2 ('de paredes'), mas a 61,51 €/m2 contra 96,58 €/m2.</t>
  </si>
  <si>
    <t xml:space="preserve">3.8.6</t>
  </si>
  <si>
    <t xml:space="preserve">RP. I 1 02. RODAPÉ DE MADEIRA 60mm Fornecimento e aplicação de rodapé de madeira maciça lacada com alta resistência (esmalte acetinado). 25mm de espessura, colado e fixado mecânicamente ao suporte.
Incluí:
- Todos os trabalhos e materiais necessários para a execução de acordo com as indicações do fabricante, com os desenhos de pormenor, mapa de acabamentos e caderno de encargos.</t>
  </si>
  <si>
    <t xml:space="preserve">3.8.7</t>
  </si>
  <si>
    <t xml:space="preserve">GUARNIÇÕES EM MADEIRA (VÃOS) Fornecimento e aplicação de guarnições de madeira maciça lacada com alta resistência (esmalte acetinado). 30mm de espessura (var), colado e fixado mecânicamente ao suporte, a aplicar em vãos.
Incluí:
- Todos os trabalhos e materiais necessários para a execução de acordo com as indicações do fabricante, com os desenhos de pormenor, mapa de acabamentos e caderno de encargos.</t>
  </si>
  <si>
    <t xml:space="preserve">3.8.8</t>
  </si>
  <si>
    <t xml:space="preserve">REV. ESPELHO PA I.07
Fornecimento e colocação de espelho de vidro incolor "SAINT-GOBAIN GLASS", de 5 mm de espessura, com tinta de protecção, cor prata, pela sua face posterior, fixado com massa ao paramento. Incluindo tratamento perimetral dos bordos, e massa.
Sala de Ginástica
Incluí:
- Todos os trabalhos e materiais necessários para a execução de acordo com as indicações do fabricante, com os desenhos de pormenor, mapa de acabamentos e caderno de encargos.</t>
  </si>
  <si>
    <t xml:space="preserve">3.8.9</t>
  </si>
  <si>
    <t xml:space="preserve">REBOCO PA I.08
Fornecimento e aplicação de reboco estanhado, até 2,20m de altura.
Incluí:
- Todos os trabalhos e materiais necessários para a execução de acordo com as indicações do fabricante, com os desenhos de pormenor, mapa de acabamentos e caderno de encargos.</t>
  </si>
  <si>
    <t xml:space="preserve">3.9</t>
  </si>
  <si>
    <t xml:space="preserve">PAVIMENTOS</t>
  </si>
  <si>
    <t xml:space="preserve">nota 04</t>
  </si>
  <si>
    <t xml:space="preserve">Considera-se incluída nos trabalhos de pavimentos (interiores e exteriores), a execução de linteis de betão ligeiramente armados, para a definição de cota de assentamento de elementos arquitetónicos.</t>
  </si>
  <si>
    <t xml:space="preserve">3.9.1</t>
  </si>
  <si>
    <t xml:space="preserve">PAV. INTERIORES</t>
  </si>
  <si>
    <t xml:space="preserve">3.9.1.1</t>
  </si>
  <si>
    <t xml:space="preserve">PAV I 01
Fornecimento e aplicação de Pavimento desportivo Multicamada em Madeira Maciça tipo "FLEXLOCK TARKETT - faia nature (3-strip)" ou equiv.
Incluí: Todos os trabalhos, camadas e materiais necessários para a execução de acordo com as indicações do fabricante, com os desenhos de pormenor, mapa de acabamentos e caderno de encargos.</t>
  </si>
  <si>
    <t xml:space="preserve">3.9.1.1.1</t>
  </si>
  <si>
    <t xml:space="preserve">A. Polidesportivo</t>
  </si>
  <si>
    <t xml:space="preserve">3.9.1.1.2</t>
  </si>
  <si>
    <t xml:space="preserve">A'. Ginásio</t>
  </si>
  <si>
    <t xml:space="preserve">3.9.1.1.3</t>
  </si>
  <si>
    <t xml:space="preserve">Sala de Ginástica</t>
  </si>
  <si>
    <t xml:space="preserve">3.9.1.2</t>
  </si>
  <si>
    <t xml:space="preserve">PAV I 02
Fornecimento e aplicação de Pavimento em Betão Armado tipo SECIL UNIPISO ( 10cm) ou equiv.
Incluí:
- Camada de betão leve de enchimento.
- Todos os trabalhos e materiais necessários para a execução de acordo com as indicações do fabricante, com os desenhos de pormenor, mapa de acabamentos e caderno de encargos.</t>
  </si>
  <si>
    <t xml:space="preserve">Unipiso interior de 10 cm (35 €/m2) mais caro que o exterior de 12 cm com 20 cm de brita e manta (3.9.2.5: 34,13 €/m2).</t>
  </si>
  <si>
    <t xml:space="preserve">3.9.1.2.1</t>
  </si>
  <si>
    <t xml:space="preserve">3.9.1.2.2</t>
  </si>
  <si>
    <t xml:space="preserve">3.9.1.3</t>
  </si>
  <si>
    <t xml:space="preserve">PAV I 03
Fornecimento e aplicação de Pavimento em mosaico hidráulico tipo ACL, modelo Marmocim, dimensões 410x410x18mm, cor a definir em obra, ref.: a definir em obra camada.
Incluí: Camadas de regularização e cimento cola flexível conforme ficha técnica do produto, e aplicação; todos os acessórios para o  sistema de fixação, cortes, remates e executado de acordo com as peças desenhadas e nos locais assinalados de projecto. De acordo com as indicações do fabricante, com os desenhos de pormenor, mapa de acabamentos e caderno de encargos.</t>
  </si>
  <si>
    <t xml:space="preserve">3.9.1.3.1</t>
  </si>
  <si>
    <t xml:space="preserve">A.1.9 ; A.1.10</t>
  </si>
  <si>
    <t xml:space="preserve">3.9.1.3.2</t>
  </si>
  <si>
    <t xml:space="preserve">A.1.7 ; A.1.8</t>
  </si>
  <si>
    <t xml:space="preserve">3.9.1.3.3</t>
  </si>
  <si>
    <t xml:space="preserve">A.1.5</t>
  </si>
  <si>
    <t xml:space="preserve">3.9.1.3.4</t>
  </si>
  <si>
    <t xml:space="preserve">A.1.6 ; A.1.6.1 ; A.1.6.2</t>
  </si>
  <si>
    <t xml:space="preserve">3.9.1.3.5</t>
  </si>
  <si>
    <t xml:space="preserve">A.1.12 ; A.1.13</t>
  </si>
  <si>
    <t xml:space="preserve">3.9.1.3.6</t>
  </si>
  <si>
    <t xml:space="preserve">A.2.3 ; A.2.4</t>
  </si>
  <si>
    <t xml:space="preserve">3.9.1.4</t>
  </si>
  <si>
    <t xml:space="preserve">PAV I 04
Fornecimento e aplicação de Pavimento em lajes préfabricadas de betão tipo ACL ou equiv., cor a definir em obra. Incluí: Todos os trabalhos e materiais necessários para a execução de acordo com as indicações do fabricante, com os desenhos de pormenor, mapa de acabamentos e caderno de encargos.</t>
  </si>
  <si>
    <t xml:space="preserve">3.9.1.4.1</t>
  </si>
  <si>
    <t xml:space="preserve">Piso 02 - degrau de remate em bancadas interiores</t>
  </si>
  <si>
    <t xml:space="preserve">145 €/m2 para 'degrau de remate' medido em m2. Confirmar critério de medição.</t>
  </si>
  <si>
    <t xml:space="preserve">3.9.1.5</t>
  </si>
  <si>
    <t xml:space="preserve">DEGRAUS DE ESCADA DE BANCADA INT. Fornecimento e aplicação de Degraus préfabricados de betão tipo ACL ou equiv. (110x30x19 cm), cor a definir em obra.
Incluí: Todos os trabalhos e materiais necessários para a execução de acordo com as indicações do fabricante, com os desenhos de pormenor, mapa de acabamentos e caderno de encargos.</t>
  </si>
  <si>
    <t xml:space="preserve">3.9.1.6</t>
  </si>
  <si>
    <t xml:space="preserve">SOLEIRAS INT.
Fornecimento e aplicação de Soleira em Betão Polimérico tipo Tubani ou equiv., a aplicar em vãos interiores e/ou como elemento de transição entre espaços, com uma epessura média de 30 a 50mm e cor a definir em obra.
Incluí: Todos os trabalhos e materiais necessários para a execução de acordo com as indicações do fabricante, com os desenhos de pormenor, mapa de acabamentos e caderno de encargos.
Deve ser verificado o desenho correspondente à secção de cada tramo de soleira em obra e/ou nos desenhos de pormenor do Projeto de Arquitetura.</t>
  </si>
  <si>
    <t xml:space="preserve">3.9.1.6.1</t>
  </si>
  <si>
    <t xml:space="preserve">400 mm de largura</t>
  </si>
  <si>
    <t xml:space="preserve">3.9.1.6.2</t>
  </si>
  <si>
    <t xml:space="preserve">200 mm de largura</t>
  </si>
  <si>
    <t xml:space="preserve">3.9.1.6.3</t>
  </si>
  <si>
    <t xml:space="preserve">150 mm de largura</t>
  </si>
  <si>
    <t xml:space="preserve">3.9.1.7</t>
  </si>
  <si>
    <t xml:space="preserve">MICROCIMENTO EM ESCADAS
Fornecimento e aplicação de revestimento em microcimento tipo sistema SIKA ou equivalente, de cor a definir em obra.
Incluí: Todos os trabalhos e materiais necessários para a execução de acordo com as indicações do fabricante, com os desenhos de pormenor, mapa de acabamentos e caderno de encargos.</t>
  </si>
  <si>
    <t xml:space="preserve">3.9.1.8</t>
  </si>
  <si>
    <t xml:space="preserve">CALHA DE AÇO INOX - REMATES TRANSIÇÃO Fornecimento e aplicação de calha de aço inox para aplicar em remates de transição de pavimentos.
Incluí: Todos os trabalhos e materiais necessários para a execução de acordo com as indicações do fabricante, com os desenhos de pormenor, mapa de acabamentos e caderno de encargos.</t>
  </si>
  <si>
    <t xml:space="preserve">3.9.2</t>
  </si>
  <si>
    <t xml:space="preserve">PAV. EXTERIORES</t>
  </si>
  <si>
    <t xml:space="preserve">3.9.2.1</t>
  </si>
  <si>
    <t xml:space="preserve">PAV E 04
Fornecimento e aplicação de Pavimento em lajes préfabricadas de betão tipo ACL ou equiv., cor a definir em obra. Incluí:
.Todas as camadas de assentamento conforme P.A.
.Todos os trabalhos e materiais necessários para a execução de acordo com as indicações do fabricante, com os desenhos de pormenor, mapa de acabamentos e caderno de encargos.</t>
  </si>
  <si>
    <t xml:space="preserve">3.9.2.1.1</t>
  </si>
  <si>
    <t xml:space="preserve">Piso 02 - degrau de remate em bancadas exteriores</t>
  </si>
  <si>
    <t xml:space="preserve">3.9.2.2</t>
  </si>
  <si>
    <t xml:space="preserve">DEGRAUS DE ESCADA DE BANCADA EXT. Fornecimento e aplicação de Degraus préfabricados de betão tipo ACL ou equiv. (110x30x19 cm), cor a definir em obra.
Incluí: Todos os trabalhos e materiais necessários para a execução de acordo com as indicações do fabricante, com os desenhos de pormenor, mapa de acabamentos e caderno de encargos.</t>
  </si>
  <si>
    <t xml:space="preserve">3.9.2.3</t>
  </si>
  <si>
    <t xml:space="preserve">SOLEIRAS EXT.
Fornecimento e aplicação de Soleira em Betão Polimérico tipo Tubani ou equiv., a aplicar em vãos interiores como elemento de transição entre espaços, com uma epessura média de 30 a 50mm e cor a definir em obra.
Incluí: Todos os trabalhos e materiais necessários para a execução de acordo com as indicações do fabricante, com os desenhos de pormenor, mapa de acabamentos e caderno de encargos.
Deve ser verificado o desenho correspondente à secção de cada tramo de soleira nos desenhos de pormenor do Projeto de Arquitetura.</t>
  </si>
  <si>
    <t xml:space="preserve">3.9.2.3.1</t>
  </si>
  <si>
    <t xml:space="preserve">3.9.2.3.2</t>
  </si>
  <si>
    <t xml:space="preserve">3.9.2.4</t>
  </si>
  <si>
    <t xml:space="preserve">LAJETAS DE BETÃO PRÉFABRICADAS 400 X 600
Fornecimento e aplicação de Pavimento em lajes préfabricadas de betão tipo ACL ou equiv., cor a definir em obra. Incluí:
.Todas as camadas de assentamento conforme P.A.
.Todos os trabalhos e materiais necessários para a execução de acordo com as indicações do fabricante, com os desenhos de pormenor, mapa de acabamentos e caderno de encargos.</t>
  </si>
  <si>
    <t xml:space="preserve">3.9.2.5</t>
  </si>
  <si>
    <t xml:space="preserve">PAV E 01
Fornecimento e aplicação de Pavimento tipo Secil Unipiso de 12cm, assente em caixa de brita de 20cm e com separação com manta tipo IMPERSEP 200, cor a definir em obra.
Incluí: Todos os trabalhos e materiais necessários para a execução de acordo com as indicações do fabricante, com os desenhos de pormenor, mapa de acabamentos e caderno de encargos.</t>
  </si>
  <si>
    <t xml:space="preserve">Unipiso 12 cm + caixa de brita 20 cm + manta a 34,13 €/m2 é baixo.</t>
  </si>
  <si>
    <t xml:space="preserve">3.9.2.6</t>
  </si>
  <si>
    <t xml:space="preserve">GUIA E 01.
Fornecimento e aplicação de guia de separação de pavimentos exteriores em chapa de aço corten de 10mm de espessura com uma altura de 20cm, cravada a uma fundação de betão ligeiramente armada (incluída) conforme peças desenhadas.
Incluí: Todos os trabalhos e materiais necessários para a execução de acordo com as indicações do fabricante, com os desenhos de pormenor, mapa de acabamentos e caderno de encargos.</t>
  </si>
  <si>
    <t xml:space="preserve">3.9.2.7</t>
  </si>
  <si>
    <t xml:space="preserve">CALDEIRA DE ÁRVORE EM AÇO CORTEN
Fornecimento e aplicação de caldeira em chapa de aço corten de 10mm de espessura com uma altura de 20cm, cravada a uma fundação de betão ligeiramente armada (incluída) conforme peças desenhadas.
Incluí: Todos os trabalhos e materiais necessários para a execução de acordo com as indicações do fabricante, com os desenhos de pormenor, mapa de acabamentos e caderno de encargos.</t>
  </si>
  <si>
    <t xml:space="preserve">3.9.2.8</t>
  </si>
  <si>
    <t xml:space="preserve">PAV E 02
Fornecimento e aplicação de Pavimento Desportivo base betuiminosa (Base e camada de desgaste) com agregado em calcário branco, revestido superficialmente com resina tipo Sikafloor® Colorsport. Incluí caixa de brita de 20cm.
Incluí: Todos os trabalhos e materiais necessários para a execução de acordo com as indicações do fabricante, com os desenhos de pormenor, mapa de acabamentos e caderno de encargos.</t>
  </si>
  <si>
    <t xml:space="preserve">Pavimento desportivo exterior (2.538 m2) sem marcações de jogo nem equipamentos.</t>
  </si>
  <si>
    <t xml:space="preserve">3.9.2.9</t>
  </si>
  <si>
    <t xml:space="preserve">PAV E 03
Fornecimento e aplicação de Pavimento Betuminoso base betuiminosa (Base e camada de desgaste) com agregado em calcário branco. Incluí caixa de brita de 20cm.
Incluí: Todos os trabalhos e materiais necessários para a execução de acordo com as indicações do fabricante, com os desenhos de pormenor, mapa de acabamentos e caderno de encargos.</t>
  </si>
  <si>
    <t xml:space="preserve">3.9.2.10</t>
  </si>
  <si>
    <t xml:space="preserve">GUIA RASA SEPARAÇÃO 400 (1.00 X 0.40 x 0.20 M)
Fornecimento e aplicação de Guia Préfabricada de betão tipo ACL ou equiv., cor a definir em obra.
Incluí:
.Todas as camadas de assentamento conforme P.A.
.Todos os trabalhos e materiais necessários para a execução de acordo com as indicações do fabricante, com os desenhos de pormenor, mapa de acabamentos e caderno de encargos.</t>
  </si>
  <si>
    <t xml:space="preserve">3.9.2.11</t>
  </si>
  <si>
    <t xml:space="preserve">PAV E 05
Fornecimento e aplicação de Pavimento em elementos préfabricados de dimensões variadas de betão armado ou reforçado com fibras GRC tipo ACL ou equiv., cor a definir em obra.
Não se considera possível a sua pré-fabricação em obra.
Incluí:
.Todas as camadas de assentamento conforme P.A.
.Todos os trabalhos e materiais necessários para a execução de acordo com as indicações do fabricante, com os desenhos de pormenor, mapa de acabamentos e caderno de encargos</t>
  </si>
  <si>
    <t xml:space="preserve">3.9.2.12</t>
  </si>
  <si>
    <t xml:space="preserve">GUIA RASA SEPARAÇÃO 100 (1.00 X 0.10 x 0.20 M)
Fornecimento e aplicação de Guia Préfabricada de betão tipo ACL ou equiv., cor a definir em obra.
Incluí:
.Todas as camadas de assentamento conforme P.A.
.Todos os trabalhos e materiais necessários para a execução de acordo com as indicações do fabricante, com os desenhos de pormenor, mapa de acabamentos e caderno de encargos.</t>
  </si>
  <si>
    <t xml:space="preserve">3.9.2.13</t>
  </si>
  <si>
    <t xml:space="preserve">LAJETAS DE BETÃO 60 x 40 (REPOSIÇÃO EXSITENTES)
.Inclui o fornecimento e aplicação de lajetas semelhantes às existentes para substituição de elementos existentes danificados (ou danificados no processo de remoção para a execução do trabalho).
.Todos os trabalhos e materiais necessários para a execução de acordo com as indicações do fabricante, com os desenhos de pormenor, mapa de acabamentos e caderno de encargos.</t>
  </si>
  <si>
    <t xml:space="preserve">3.10</t>
  </si>
  <si>
    <t xml:space="preserve">TETOS</t>
  </si>
  <si>
    <t xml:space="preserve">3.10.1</t>
  </si>
  <si>
    <t xml:space="preserve">REV. ACU EM ZONAS TÉCNICAS
Fornecimento e aplicação de Isolamento acústico formado por painel semi-rígido de lã de vidro TECH Slab 3.0 G1 (Painel Neto) "ISOVER", de 40 mm de espessura, revestido numa das suas faces com um véu mineral preto, resistência térmica 0,79 m²°C/W, condutibilidade térmica 0,038 W/(m°C), densidade 70 kg/m³, calor específico 840 J/kgK, coeficiente de absorção sonora médio 0,65 para uma frequência de 500 Hz e factor de resistência à difusão do vapor de água 1. Conforme Projeto de Acústica. Incluí:
- Todos os trabalhos e materiais necessários para a execução de acordo com as indicações do fabricante, com os desenhos de pormenor, mapa de acabamentos e caderno de encargos.</t>
  </si>
  <si>
    <t xml:space="preserve">3.10.2</t>
  </si>
  <si>
    <t xml:space="preserve">REV. ACU CHAPA ONDULADA PERFURADA Fornecimento e aplicação de paineis de revestimento acústico de paredes em chapa de alumínio lacada microperfurada e de subestrutura de aço galvanizado adequada ao suporte do material de acabamento.
Incluí:
- Todos os trabalhos e materiais necessários para a execução de acordo com as indicações do fabricante, com os desenhos de pormenor, mapa de acabamentos e caderno de encargos.</t>
  </si>
  <si>
    <t xml:space="preserve">Descrição fala de 'paredes' num artigo de tetos. Preço 57% acima de 3.8.5.</t>
  </si>
  <si>
    <t xml:space="preserve">3.10.3</t>
  </si>
  <si>
    <t xml:space="preserve">REV. ACU TIPO CELENIT
Fornecimento e aplicação de paineis de revestimento acústico em tetos tipo CELINIT AB 25mm branco e de subestrutura de aço galvanizado adequada ao suporte do material de acabamento.
Incluí:
- Todos os trabalhos e materiais necessários para a execução de acordo com as indicações do fabricante, com os desenhos de pormenor, mapa de acabamentos e caderno de encargos.</t>
  </si>
  <si>
    <t xml:space="preserve">3.10.4</t>
  </si>
  <si>
    <t xml:space="preserve">REBOCO
Fornecimento e aplicação de reboco estanhado.
Incluí:
- Todos os trabalhos e materiais necessários para a execução de acordo com as indicações do fabricante, com os desenhos de pormenor, mapa de acabamentos e caderno de encargos.</t>
  </si>
  <si>
    <t xml:space="preserve">3.10.5</t>
  </si>
  <si>
    <t xml:space="preserve">TETOS EXT. EM CHAPA ONDULADA Fornecimento de teto em fachada de alumínio ondulada.
A Aplicar em Zonas Cobertas Exteriores, junto aos vãos envidraçados, resultates da inclinação dos paineis de fachada. Incluí:
.Fornecimento e aplicação de chapa ondulada de 0.7mm de espessura tipo FTB ou equiv
.Fornecimento e aplicação de sub-estrutura em perfis de aço galvanizado para a fixação da chapa ondulada em paredes exteriores .Fornecimento e aplicação de painel sandwich em fachada em tipo FTB 1000 acústico fixação oculta com 80mm de espessura (chapa interior microperfurada), incluindo chapas de remate, e sub-estrutura em aço galvanizado.
- Todos os trabalhos e materiais necessários para a execução de acordo com as indicações do fabricante, com os desenhos de pormenor, mapa de acabamentos e caderno de encargos.</t>
  </si>
  <si>
    <t xml:space="preserve">Mistura chapa ondulada, subestrutura e painel sandwich 80 mm num só artigo de teto. Risco de sobreposição com 3.5.1/3.6.1.</t>
  </si>
  <si>
    <t xml:space="preserve">3.11</t>
  </si>
  <si>
    <t xml:space="preserve">VÃOS</t>
  </si>
  <si>
    <t xml:space="preserve">nota 05</t>
  </si>
  <si>
    <t xml:space="preserve">Na numeração dos vãos, refere-se que não existem os seguintes números: VI 1.04 ; VI 1.09 ; VI 1.09A; VI.1.10; VI 1.11; VI CF 1.05; VI CF 1.04; VI 2.03; VI. CF 1.03; VI. CF.2.03; VE 1.08; VE 2.09; VE 2.10; VE 2.10.1; VE 2.11; VE 2.12; VE 2.13;</t>
  </si>
  <si>
    <t xml:space="preserve">3.11.1</t>
  </si>
  <si>
    <t xml:space="preserve">VÃOS DE CARPINTARIA</t>
  </si>
  <si>
    <t xml:space="preserve">3.11.1.1</t>
  </si>
  <si>
    <t xml:space="preserve">Fornecimento e aplicação de porta de batente de uma folha em contraplacado de madeira folheado a melamina tipo FINSA ou equivalente. Espessura de 40mm. Acabamento a cor a definir em obra.  Incluí acessórios e ferragens tipo JNF, como puxador de porta ref.: IN.00.270, versão RC08M e acabamento satinado; cilindro standart modular chave-chave centrado ref.: IN.19.S11.55.55; fechadura ref.: IN.20.975 com entrada chave ref.: In.04.28R.Y08N; dobradiças em inox ref.: IN.05.020.100; batente em aço inox ref.: IN.13.106.25; e restantes elementos necessários para o seu perfeito funcionamento. Conforme mapa de vãos.</t>
  </si>
  <si>
    <t xml:space="preserve">3.11.1.1.1</t>
  </si>
  <si>
    <t xml:space="preserve">VI.1.02 com 0,90 x 2,16</t>
  </si>
  <si>
    <t xml:space="preserve">3.11.1.1.2</t>
  </si>
  <si>
    <t xml:space="preserve">VI.2.02 com 0,90 x 2,16</t>
  </si>
  <si>
    <t xml:space="preserve">3.11.1.2</t>
  </si>
  <si>
    <t xml:space="preserve">Fornecimento e aplicação de porta de batente de uma folha elevada do chão 15cm em contraplacado de madeira folheado a melamina tipo FINSA ou equivalente. Espessura de 40mm. Acabamento a cor a definir em obra. Incluí acessórios e ferragens tipo JNF, como puxador de porta ref.: IN.00.270, versão RC08M e acabamento satinado; fechadura ref.: IN.20.977; dobradiças em inox ref.: IN.05.020.100; e restantes elementos necessários para o seu perfeito funcionamento. Conforme mapa de vãos.</t>
  </si>
  <si>
    <t xml:space="preserve">3.11.1.2.1</t>
  </si>
  <si>
    <t xml:space="preserve">VI.1.03 com 0,90 x 2,02 m</t>
  </si>
  <si>
    <t xml:space="preserve">3.11.1.3</t>
  </si>
  <si>
    <t xml:space="preserve">Fornecimento e aplicação de porta de batente de uma folha elevado do chão em contraplacado de madeira folheado a melamina tipo FINSA ou equivalente. Espessura de 40mm. Acabamento a cor a definir em obra.  Incluí acessórios e ferragens tipo JNF, como puxador de porta ref.: IN.00.270, versão RC08M e acabamento satinado; cilindro standart modular chave-chave centrado ref.: IN.19.S11.55.55; fechadura ref.: IN.20.975 com entrada chave ref.: In.04.28R.Y08N; dobradiças em inox ref.: IN.05.020.100; e restantes elementos necessários para o seu perfeito funcionamento. Conforme mapa de vãos.</t>
  </si>
  <si>
    <t xml:space="preserve">3.11.1.3.1</t>
  </si>
  <si>
    <t xml:space="preserve">VI.1.05 com 0,90 x 2,02 m</t>
  </si>
  <si>
    <t xml:space="preserve">3.11.1.4</t>
  </si>
  <si>
    <t xml:space="preserve">Fornecimento e aplicação de porta pivotante de uma folha em contraplacado de madeira folheado a melamina tipo FINSA ou equivalente. Espessura de 40mm. Acabamento a cor a definir em obra.  Incluí acessórios e ferragens tipo JNF, como asa de porta em aço inox ref.: IN.07.270.D, com Ø16mm e 150mm altura, adaptador para asa dupla do sistema e acabamento satinado; giro para portas vai-vem ref.: IN.05.197; mola de porta aérea, hidráulica, ref.: ML.21.765 com braça standart ref.: 21.105.IN; batente ref.: IN.13.125 e restantes elementos necessários para o seu perfeito funcionamento. Conforme mapa de vãos.</t>
  </si>
  <si>
    <t xml:space="preserve">3.11.1.4.1</t>
  </si>
  <si>
    <t xml:space="preserve">VI.1.06 com 1,20 x 2,16 m</t>
  </si>
  <si>
    <t xml:space="preserve">3.11.1.5</t>
  </si>
  <si>
    <t xml:space="preserve">Fornecimento e aplicação de porta de batente de uma folha em contraplacado de madeira folheado a melamina tipo FINSA ou equivalente. Espessura de 40mm. Acabamento a cor a definir em obra.  Incluí acessórios e ferragens tipo JNF, como puxador de porta ref.: IN.00.270, versão RC08M e acabamento satinado; fechadura em aço inox e acabamento satinado ref.: In.20.976.60; fecho para WC com indicador em aço inoxref.: IN.04.110; dobradiças em inox ref.: IN.05.020.100; batente em aço inox ref.: IN.13.106.25; e restantes elementos necessários para o seu perfeito funcionamento. Conforme mapa de vãos.</t>
  </si>
  <si>
    <t xml:space="preserve">3.11.1.5.1</t>
  </si>
  <si>
    <t xml:space="preserve">VI.1.07 com 0,90 x 2,16 m</t>
  </si>
  <si>
    <t xml:space="preserve">3.11.2</t>
  </si>
  <si>
    <t xml:space="preserve">VÃOS DE SERRALHARIA</t>
  </si>
  <si>
    <t xml:space="preserve">3.11.2.1</t>
  </si>
  <si>
    <t xml:space="preserve">VE.C.02 (1,63 x 1,10 m)
Fornecimento e aplicação de caixilharia em perfis de alumínio tipo Navarra 18200 com corte térmico, à cor Alumínio natural composto por 1 folha fixa e vidro duplo SunGuard SN 70S HT 8mm (Temperado com HST) + Camara: 16mm (árgon 90%) + LamiGlass ExtraClear 55.1 (Laminado com aresta industrial) despolidos pelo interior. Inclui soleira e remates em chapa quinada de aço metalizado para lacar à cor RAL igual aos caixilhos exteriores, ferragens e todos os acessórios necessários ao seu funcionamento. Conforme mapa de vãos e desenhos de pormenor.</t>
  </si>
  <si>
    <t xml:space="preserve">3.11.2.2</t>
  </si>
  <si>
    <t xml:space="preserve">VE 1.01 (4,63 x 2,16 m)
Fornecimento e aplicação de caixilharia em perfis de alumínio com 1 folha fixa tipo fachada cortina Navarra 15200 e porta de Batente de 2 Folhas série n18200, à cor Gris 250 sablé com vidro duplo tipo SunGuard SN 70S HT 8mm (Temperado com HST) + Camara: 16mm (árgon 90%) + LamiGlass ExtraClear 55.1 (Laminado com aresta industrial). Inclui soleira pré-fabricada de betão tipo "TUBANI", ferragens nomeadamente: Puxador interior e exterior em Inox tipo JNF ref. IN.07.287.14.600; Fechadura do sistema de 3 pontos; Mola aérea c/calha deslizante tipo DIV.0486; 1/2 cilindro de perfil europeu niquelado / latonado; Dobradiças próprias da série e todos os acessórios necessários ao seu funcionamento. Conforme mapa de vãos e desenhos de pormenor.</t>
  </si>
  <si>
    <t xml:space="preserve">3.11.2.3</t>
  </si>
  <si>
    <t xml:space="preserve">PORTAS DE ACESSO AO SETOR A Fornecimento e aplicação de caixilharia em perfis de alumínio tipo Navarra composto por porta de Batente de 2 Folhas série n18200, à cor Gris 250 sablé com vidro duplo. Inclui soleira pré-fabricada de betão tipo "TUBANI", ferragens nomeadamente: Puxador exterior de muleta tipo Tesa/Assa Abloy Sena MS0L872IS16 | móvel/móvel | Inox 316; Fechadura do sistema de 3 pontos; Mola aérea c/calha deslizante tipo DIV.0486; 1/2 cilindro de perfil europeu niquelado / latonado; Dobradiças próprias da série.
Barra anti-pânico de folha dupla do sistema pelo interior
e todos os acessórios necessários ao seu funcionamento. Conforme mapa de vãos e desenhos de pormenor.</t>
  </si>
  <si>
    <t xml:space="preserve">3.11.2.3.1</t>
  </si>
  <si>
    <t xml:space="preserve">VE.1.02 com 2,50x2,16
Vidro duplo tipo SunGuard SN 70S HT 8mm (Temperado com HST) + Camara: 16mm (árgon 90%) + LamiGlass ExtraClear 55.1 (Laminado com aresta industrial).</t>
  </si>
  <si>
    <t xml:space="preserve">3.11.2.3.2</t>
  </si>
  <si>
    <t xml:space="preserve">VE.2.04 com 2,90x2,40
Fornecimento e aplicação de Portas de Entrada em perfis de alumínio com 2 folhas de batente tipo: Perfis tipo Navarra, série n18200; Puxador exterior de muleta tipo Tesa/Assa Abloy Sena MS0L872IS16 | móvel/móvel | Inox 316; Fechadura do sistema de 3 pontos; Mola aérea c/calha deslizante tipo DIV.0486. 1/2 cilindro de perfil europeu niquelado / latonado; Dobradiças próprias da série. Barra anti-pânico de folha dupla tipo Tesa/Assa Abloy Suportes inox e tubo inox.pelo interior Vidros duplos tipo SunGuard SN 70S HT 8mm (Temperado com HST) + Camara: 12mm (árgon 90%) + Laminado Termo Endurecido ExtraClear 66.4 (4 PVB s Clear)</t>
  </si>
  <si>
    <t xml:space="preserve">3.11.2.4</t>
  </si>
  <si>
    <t xml:space="preserve">VE 1.03 (1,20 x 2,20 m)
Fornecimento e aplicação de caixilharia em perfis de alumínio com 1 folha de batente tipo Navarra 12000 e lâminas de revestimento n3142, à cor Gris 250 sablé. Inclui soleira pré-fabricada de betão tipo "TUBANI", ferragens nomeadamente: Fechadura simples; Puxador interior de muleta tipo Tesa/Assa Abloy Sena MS0L872IS16 | móvel/móvel | Inox 316; Dobradiças próprias da série bloqueio a 180º e todos os acessórios necessários ao seu funcionamento. Conforme mapa de vãos e desenhos de pormenor.</t>
  </si>
  <si>
    <t xml:space="preserve">3.11.2.5</t>
  </si>
  <si>
    <t xml:space="preserve">Fornecimento e aplicação de Porta Metálica tipo TRIA SISAF série ASN1 com 1 folha de batente, RAL a definir e utilização do aro F2. Inclui soleira pré-fabricada de betão tipo "TUBANI", ferragens nomeadamente:Puxador anti-pânico de muleta (móvel) com furação, em aço inox; Caixa de fechadura anti-pânico de 1 ponto de fecho; 1/2 cilindro de perfil europeu niquelado / latonado; 2 dobradiças próprias da série; mola embutida; Barra anti-pânico de folha simples tipo Tesa/Assa Abloy Série Global GL1E909II | Suportes inox e tubo inox e todos os acessórios necessários ao seu funcionamento. Conforme mapa de vãos e desenhos de pormenor.</t>
  </si>
  <si>
    <t xml:space="preserve">3.11.2.5.1</t>
  </si>
  <si>
    <t xml:space="preserve">VE.1.04 com 1,50x2,16</t>
  </si>
  <si>
    <t xml:space="preserve">3.11.2.5.2</t>
  </si>
  <si>
    <t xml:space="preserve">VE.1.09 com 1,50x2,16</t>
  </si>
  <si>
    <t xml:space="preserve">3.11.2.5.3</t>
  </si>
  <si>
    <t xml:space="preserve">VE.1.10 com 1,50x2,16</t>
  </si>
  <si>
    <t xml:space="preserve">3.11.2.5.4</t>
  </si>
  <si>
    <t xml:space="preserve">VE.2.08 com 1,40x2,40</t>
  </si>
  <si>
    <t xml:space="preserve">3.11.2.6</t>
  </si>
  <si>
    <t xml:space="preserve">VE.1.06 com 3,00x2,16
Fornecimento e aplicação de caixilharia em perfis de alumínio com 1 folha fixa tipo Navarra fachada cortina série 15200, + 1 folha basculante série n14300FO à cor Gris 250 sablé com Vidros Duplos tipo SunGuard SN 70S HT 8mm (Temperado com HST) + Câmara 16mm (árgon 90%) + LamiGlass ExtraClear 55.1 (Laminado com aresta industrial) . Inclui soleira pré-fabricada de betão tipo "TUBANI", ferragens nomeadamente: Puxador do sistema em Inox; Dobradiças próprias da série e todos os acessórios necessários ao seu funcionamento. Conforme mapa de vãos e desenhos de pormenor.</t>
  </si>
  <si>
    <t xml:space="preserve">3.11.2.7</t>
  </si>
  <si>
    <t xml:space="preserve">VE.2.01 com 5,33x2,40
Fornecimento e aplicação de caixilharia em perfis de alumínio com 1 janela de correr com 1  folha elevável + 1 folha fixa tipo Navarra fachada cortina série 15200, + 1 folha basculante série n14300FO à cor Gris 250 sablé com vidro duplo tipo SunGuard SN 70S HT 8mm (Temperado com HST) + Camara: 12mm (árgon 90%) + Laminado Termo Endurecido ExtraClear 66.4 (4 PVB s Clear). Inclui soleira pré-fabricada de betão tipo "TUBANI", ferragens nomeadamente: Puxador do sistema em Inox; Dobradiças próprias da série e todos os acessórios necessários ao seu funcionamento. Conforme mapa de vãos e desenhos de pormenor.</t>
  </si>
  <si>
    <t xml:space="preserve">3.11.2.8</t>
  </si>
  <si>
    <t xml:space="preserve">VE.2.02 com 5,33x2,40
Fornecimento e aplicação de caixilharia em perfis de alumínio com 3 folha fixa tipo Navarra fachada cortina série 15200, + 1 folha basculante série n14300FO à cor Gris 250 sablé com vidro duplo tipo SunGuard SN 70S HT 8mm (Temperado com HST) + Camara: 12mm (árgon 90%) + Laminado Termo Endurecido ExtraClear 66.4 (4 PVB s Clear). Inclui soleira pré-fabricada de betão tipo "TUBANI", ferragens nomeadamente: Puxador do sistema em Inox; Dobradiças próprias da série e todos os acessórios necessários ao seu funcionamento. Conforme mapa de vãos e desenhos de pormenor.</t>
  </si>
  <si>
    <t xml:space="preserve">3.11.2.9</t>
  </si>
  <si>
    <t xml:space="preserve">Fornecimento e aplicação de caixilharia em perfis de alumínio com 3 folha fixas tipo Navarra fachada cortina série 15200, à cor Gris 250 sablé, com vidro duplo tipo SunGuard SN 70S HT 8mm (Temperado com HST) + Camara: 12mm (árgon 90%) + Laminado Termo Endurecido ExtraClear 66.4 (4 PVB s Clear). Inclui soleira pré-fabricada de betão tipo "TUBANI" e todos os acessórios necessários ao seu funcionamento. Conforme mapa de vãos e desenhos de pormenor.</t>
  </si>
  <si>
    <t xml:space="preserve">3.11.2.9.1</t>
  </si>
  <si>
    <t xml:space="preserve">VE.2.03 com 5,33x2,40</t>
  </si>
  <si>
    <t xml:space="preserve">3.11.2.10</t>
  </si>
  <si>
    <t xml:space="preserve">Fornecimento e aplicação de caixilharia em perfis de alumínio com 3 folha fixas tipo Navarra fachada cortina série 15200, + 1 folha de Batente série n18200 à cor Gris 250 sablé. Inclui soleira pré-fabricada de betão tipo "TUBANI", ferragens nomeadamente: Puxador interior e exterior em Inox tipo JNF ref. IN.07.287.14.600; Fechadura do sistema de 3 pontos; Mola aérea c/calha deslizante tipo DIV.0486; 1/2 cilindro de perfil europeu niquelado / latonado; Dobradiças próprias da série e todos os acessórios necessários ao seu funcionamento. Conforme mapa de vãos e desenhos de pormenor.</t>
  </si>
  <si>
    <t xml:space="preserve">3.11.2.10.1</t>
  </si>
  <si>
    <t xml:space="preserve">VE.2.05 com 5,43x2,40
Vidro duplo tipo  SunGuard SN 70S HT 8mm (Temperado com HST) + Camara: 14mm (árgon 90%) + LamiGlass ExtraClear 66.1 (Laminado com aresta industrial)</t>
  </si>
  <si>
    <t xml:space="preserve">3.11.2.10.2</t>
  </si>
  <si>
    <t xml:space="preserve">VE.2.05.01 2,17x2,40
Vidro duplo tipo SunGuard SN 70S HT 8mm (Temperado com HST) + Camara: 16mm (árgon 90%) + LamiGlass ExtraClear 55.1 (Laminado com aresta industrial)</t>
  </si>
  <si>
    <t xml:space="preserve">3.11.2.11</t>
  </si>
  <si>
    <t xml:space="preserve">Fornecimento e aplicação de caixilharia em perfis de alumínio com 1 folha fixa tipo Navarra fachada cortina série 15200, + 1 folha de Batente série n18200 à cor Gris 250 sablé com vidro duplo tipo com Vidros Duplos SunGuard SN 70S HT 8mm (Temperado com HST) + Camara: 12mm (árgon 90%) + Laminado Termo Endurecido ExtraClear 66.4 (4 PVB s Clear). Inclui soleira pré-fabricada de betão tipo "TUBANI", ferragens nomeadamente: Puxador exterior de muleta tipo Tesa/Assa Abloy Sena MS0L872IS16 | móvel/móvel | Inox 316; Fechadura do sistema de 3 pontos; Mola aérea c/calha deslizante tipo DIV.0486; 1/2 cilindro de perfil europeu niquelado / latonado; Dobradiças próprias da série; Barra anti-pânico de folha dupla do sistema pelo interior e todos os acessórios necessários ao seu funcionamento. Conforme mapa de vãos e desenhos de pormenor.</t>
  </si>
  <si>
    <t xml:space="preserve">3.11.2.11.1</t>
  </si>
  <si>
    <t xml:space="preserve">VE.2.06 com 3,30x2,40</t>
  </si>
  <si>
    <t xml:space="preserve">3.11.2.12</t>
  </si>
  <si>
    <t xml:space="preserve">Fornecimento e aplicação de caixilharia em perfis de alumínio com 2 folha fixas tipo Navarra fachada cortina série 15200, + 1 folha basculante série n14300FO à cor Gris 250 sablé e vidro duplo tipo SunGuard SN 70S HT 8mm (Temperado com HST) + Camara: 12mm (árgon 90%) + Laminado Termo Endurecido ExtraClear 66.4 (4 PVB s Clear). Inclui soleira pré-fabricada de betão tipo "TUBANI", ferragens nomeadamente: Puxador do sistema em Inox; Dobradiças próprias da série e todos os acessórios necessários ao seu funcionamento. Conforme mapa de vãos e desenhos de pormenor.</t>
  </si>
  <si>
    <t xml:space="preserve">3.11.2.12.1</t>
  </si>
  <si>
    <t xml:space="preserve">VE.2.07 com 6,10x2,40</t>
  </si>
  <si>
    <t xml:space="preserve">3.11.2.13</t>
  </si>
  <si>
    <t xml:space="preserve">Fornecimento e aplicação de Porta Metálica tipo TRIA  série TSN2 com 2 folha de batente, RAL a definir e utilização do aro F1. Inclui soleira pré-fabricada de betão tipo "TUBANI", ferragens nomeadamente:Puxador anti-pânico de muleta (móvel) com furação, em aço inox; Caixa de fechadura anti-pânico de 1 ponto de fecho; 1/2 cilindro de perfil europeu niquelado / latonado; 2 dobradiças próprias da série; mola aérea com braço articulado, selector de fecho e todos os acessórios necessários ao seu funcionamento. Incluí 2 vãos de ventilação fixos tipo Navarra série 12000 com lâminas de ventilação n31432.
 Conforme mapa de vãos e desenhos de pormenor.</t>
  </si>
  <si>
    <t xml:space="preserve">3.11.2.13.1</t>
  </si>
  <si>
    <t xml:space="preserve">VE.2.14 com 2,64x2,40</t>
  </si>
  <si>
    <t xml:space="preserve">3.11.2.13.2</t>
  </si>
  <si>
    <t xml:space="preserve">VE.2.14.1 com diâmetro  45cm</t>
  </si>
  <si>
    <t xml:space="preserve">VE.2.14.1 'com diâmetro 45 cm' a 5.174,40 €/UN, dentro de um artigo de porta metálica de 2 folhas. Descrição e preço incompatíveis (10.348,80 €).</t>
  </si>
  <si>
    <t xml:space="preserve">3.11.2.14</t>
  </si>
  <si>
    <t xml:space="preserve">Fornecimento e aplicação de caixilharia em perfis de alumínio tipo Navarra 18200 com corte térmico, à cor Gris 250 sablé composto por 1 folha fixa. Inclui soleira Pré-fabricada de betão tipo "TUBANI", ferragens e todos os acessórios necessários ao seu funcionamento. Conforme mapa de vãos e desenhos de pormenor.</t>
  </si>
  <si>
    <t xml:space="preserve">3.11.2.14.1</t>
  </si>
  <si>
    <t xml:space="preserve">VE.2.15 com diâmetro 1,30 e com vidro duplo tipo SunGuard SN 70S HT 8mm (Temperado com HST) + Camara: 16mm (árgon 90%) + LamiGlass ExtraClear 55.1 (Laminado com aresta industrial)</t>
  </si>
  <si>
    <t xml:space="preserve">3.11.2.14.2</t>
  </si>
  <si>
    <t xml:space="preserve">VE.2.16 com diâmetro 1,58 e com vidro duplo tipo SunGuard SN 70S HT 8mm (Temperado com HST) + Camara: 12mm (árgon 90%) + Laminado Termo Endurecido ExtraClear 66.4 (4 PVB s Clear)</t>
  </si>
  <si>
    <t xml:space="preserve">3.11.2.15</t>
  </si>
  <si>
    <t xml:space="preserve">VE.1.05 com 2,61x2,16
Fornecimento e aplicação de caixilharia em perfis de alumínio com 1 folha fixa tipo fachada cortina Navarra 15200 com vidro duplo tipo SunGuard SN 70S HT 8mm (Temperado com HST) + Camara: 16mm (árgon 90%) + LamiGlass ExtraClear 55.1 (Laminado com aresta industrial). Inclui soleira pré-fabricada de betão tipo "TUBANI", ferragens nomeadamente: Todos os acessórios necessários ao seu funcionamento. Conforme mapa de vãos e desenhos de pormenor.</t>
  </si>
  <si>
    <t xml:space="preserve">3.11.2.16</t>
  </si>
  <si>
    <t xml:space="preserve">Fornecimento e aplicação de porta metálica de 1 folha de batente em chapa de aço eletrozincado tipo TRIA, série ISN 1, ou equivalente.  Utilização do aro standard tipo F1. Pintura a cor a definir em obra. Inclui acessórios e ferragens do sistema, como puxador anti-pânico de muleta (móvel) com furação em aço inox; fechadura anti-pânico de 1 ponto de fecho com 1/2 cilindro europeu; mola embutida e dobradiças de série. Conforme mapa de vãos.</t>
  </si>
  <si>
    <t xml:space="preserve">3.11.2.16.1</t>
  </si>
  <si>
    <t xml:space="preserve">VI.1.01 com 0,98x2,16</t>
  </si>
  <si>
    <t xml:space="preserve">3.11.2.16.2</t>
  </si>
  <si>
    <t xml:space="preserve">VI.2.01 com 0,98x2,16</t>
  </si>
  <si>
    <t xml:space="preserve">3.11.2.17</t>
  </si>
  <si>
    <t xml:space="preserve">Fornecimento e aplicação de porta metálica de 1 folha de batente em chapa de aço eletrozincado tipo TRIA, série ISN 1, ou equivalente.  Utilização do aro fechado tipo F2. Pintura a cor a definir em obra. Inclui acessórios e ferragens do sistema, como puxador anti-pânico de muleta (móvel) com furação em aço inox; fechadura anti-pânico de 1 ponto de fecho com 1/2 cilindro europeu; mola embutida e dobradiças de série. Conforme mapa de vãos.</t>
  </si>
  <si>
    <t xml:space="preserve">3.11.2.17.1</t>
  </si>
  <si>
    <t xml:space="preserve">VI.1.01A com 1,06x2,16</t>
  </si>
  <si>
    <t xml:space="preserve">3.11.2.17.2</t>
  </si>
  <si>
    <t xml:space="preserve">VI.2.03 com 1,06x2,16 (inclui visor de Ø35mm)</t>
  </si>
  <si>
    <t xml:space="preserve">3.11.2.18</t>
  </si>
  <si>
    <t xml:space="preserve">Fornecimento e aplicação de porta CF metálica de 2 folhas de batente em chapa de aço eletrozincado tipo TRIA, série SISAF ES2, ou equivalente. Utilização do Aro fechado tipo F2. Folha lateral com contrafechadura. Pintura a cor a definir em obra. Inclui acessórios e ferragens do sistema, como puxador anti-pânico de muleta (móvel) com furação em aço inox; fechadura anti-pânico de 1 ponto de fecho com 1/2 cilindro europeu; mola embutida e dobradiças de série. Conforme mapa de vãos.</t>
  </si>
  <si>
    <t xml:space="preserve">Porta CF sem classe EI (30/60) nem 'C' (fecho automático) explícitas.</t>
  </si>
  <si>
    <t xml:space="preserve">3.11.2.18.1</t>
  </si>
  <si>
    <t xml:space="preserve">VI.CF.1.01 com 1,50x2,16 (folhas assimétricas e com visor de Ø35mm)</t>
  </si>
  <si>
    <t xml:space="preserve">3.11.2.18.2</t>
  </si>
  <si>
    <t xml:space="preserve">VI.CF.1.06 com 2,20x2,40 (folhas simétricas)</t>
  </si>
  <si>
    <t xml:space="preserve">3.11.2.19</t>
  </si>
  <si>
    <t xml:space="preserve">Fornecimento e aplicação de porta CF metálica de 1 folha de batente, em chapa de aço eletrozincado tipo TRIA, série SISAF ES1, ou equivalente. Utilização do aro fechado tipo F2. Visor de Ø35mm. Pintura a cor a definir em obra. Inclui acessórios e ferragens do sistema, como puxador anti-pânico de muleta (móvel) com furação em aço inox; fechadura anti-pânico de 1 ponto de fecho com 1/2 cilindro europeu; mola embutida e dobradiças de série. Inclui ainda Retentor eletromagnético de parede tipo GEZE, modelo 155570 24 vts Dc com placa articulada. Conforme mapa de vãos.</t>
  </si>
  <si>
    <t xml:space="preserve">Retentores GEZE incluídos aqui (3 portas) e de novo em 10.1.9 (2 UN). Classe EI também não indicada.</t>
  </si>
  <si>
    <t xml:space="preserve">3.11.2.19.1</t>
  </si>
  <si>
    <t xml:space="preserve">VI.CF.1.02 com 1,60x2,16 (com visor de Ø35mm)</t>
  </si>
  <si>
    <t xml:space="preserve">3.11.2.19.2</t>
  </si>
  <si>
    <t xml:space="preserve">VI.CF.1.07 com 1,60x2,40  (com visor de Ø35mm)</t>
  </si>
  <si>
    <t xml:space="preserve">3.11.2.19.3</t>
  </si>
  <si>
    <t xml:space="preserve">VI.CF.2.04 com 0,96x2,40</t>
  </si>
  <si>
    <t xml:space="preserve">3.11.2.20</t>
  </si>
  <si>
    <t xml:space="preserve">VI.CF.2.01 com 1,45x2,40
Fornecimento e aplicação de caixilharia CF em perfis de aço laminado a frio tipo TRIA, modelo FogoFil E30, composta por 1 folha fixa e vidro do sistema, com classificação de resistência ao fogo E30 (PYROGUARD-FIRESAFE-T-E30-8mm), para aplicação interior. Pintura a cor a definir em obra. Inclui bites de fecho e todos os acessórios e ferragens de sistema. Conforme mapa de vãos.</t>
  </si>
  <si>
    <t xml:space="preserve">Vidro E30 (só integridade). Em compartimentação corta-fogo é normalmente exigido EI: confirmar com o projeto SCIE.</t>
  </si>
  <si>
    <t xml:space="preserve">3.11.2.21</t>
  </si>
  <si>
    <t xml:space="preserve">Fornecimento e aplicação de Cortina CF tipo TRIA, modelo Megafire, no piso 02. Inclui sistema de acionamento automático ligado à central de incêndio; vedações, acessórios e calhas, e todos os acessórios e ferragens necessários ao funcionamento do sistema. Conforme mapa de vãos.</t>
  </si>
  <si>
    <t xml:space="preserve">Cortina corta-fogo Megafire sem classe (E/EW/EI) nem duração.</t>
  </si>
  <si>
    <t xml:space="preserve">3.11.2.21.1</t>
  </si>
  <si>
    <t xml:space="preserve">VI.CF.2.02 com 3,60x2,40</t>
  </si>
  <si>
    <t xml:space="preserve">3.11.2.22</t>
  </si>
  <si>
    <t xml:space="preserve">Fornecimento e aplicação de caixilharia em perfis de alumínio tipo NAVARRA, série N15 200, composto por 1 folha fixa e vidro duploSunGuard SN 70S HT 8mm (Temperado com HST) + Camara: 12mm (árgon 90%) + Laminado Termo Endurecido ExtraClear 66.4 (4 PVB s Clear). Cor a definir em obra. Inclui ferragens e todos os acessórios necessários ao seu funcionamento. Conforme mapa de vãos e desenhos de pormenor.</t>
  </si>
  <si>
    <t xml:space="preserve">3.11.2.22.1</t>
  </si>
  <si>
    <t xml:space="preserve">VI.1.08 com 2,23x2,40</t>
  </si>
  <si>
    <t xml:space="preserve">3.11.2.23</t>
  </si>
  <si>
    <t xml:space="preserve">Fornecimento e aplicação de caixilharia em perfis de alumínio tipo NAVARRA, 1 folha basculante série n14300FO, Cor a definir em obra.Inclui puxadores do sistema, ferragens e todos os acessórios necessários ao seu funcionamento. Conforme mapa de vãos e desenhos de pormenor.</t>
  </si>
  <si>
    <t xml:space="preserve">3.11.2.23.1</t>
  </si>
  <si>
    <t xml:space="preserve">VI.1.12 com 1,10x1,10
Vidro duplo tipo SunGuard SN 70S HT 8mm (Temperado com HST) + Camara: 16mm (árgon 90%) + LamiGlass ExtraClear 55.1 (Laminado com aresta industrial)</t>
  </si>
  <si>
    <t xml:space="preserve">3.11.2.24</t>
  </si>
  <si>
    <t xml:space="preserve">VE 1.07 - VÃOS DE VENTILAÇÃO BALNEÁRIOS Fornecimento e aplicação de vãos de ventilação circulares pivotantes no eixo horizontal tipo Navarra incluindo vidro duplo laminado (3+3mm) .
Conforme mapa de vãos e desenhos de pormenor.</t>
  </si>
  <si>
    <t xml:space="preserve">3.11.2.25</t>
  </si>
  <si>
    <t xml:space="preserve">VÃOS DE VENTILAÇÃO BALNEÁRIOS (corredor) 300 mm Ø
Fornecimento e aplicação de vãos de ventilação circulares fixos tipo Navarra com grelha fixa .  Conforme mapa de vãos e desenhos de pormenor.</t>
  </si>
  <si>
    <t xml:space="preserve">3.11.2.26</t>
  </si>
  <si>
    <t xml:space="preserve">SOLEIRAS EM CHAPA QUINADA
Fornecimento e aplicação de soleiras e remates em chapa quinada de aço metalizado para lacar à cor RAL igual aos caixilhos, ferragens e todos os acessórios necessários ao seu funcionamento. Conforme mapa de vãos e desenhos de pormenor.</t>
  </si>
  <si>
    <t xml:space="preserve">Há soleiras para VE.C.01 (8) e VE.1.11 (8), mas nenhum artigo de caixilharia para esses vãos: possível omissão de 16 vãos.</t>
  </si>
  <si>
    <t xml:space="preserve">3.11.2.26.1</t>
  </si>
  <si>
    <t xml:space="preserve">VE.C.01</t>
  </si>
  <si>
    <t xml:space="preserve">3.11.2.26.2</t>
  </si>
  <si>
    <t xml:space="preserve">VE.1.11</t>
  </si>
  <si>
    <t xml:space="preserve">3.12</t>
  </si>
  <si>
    <t xml:space="preserve">CARPINTARIA</t>
  </si>
  <si>
    <t xml:space="preserve">3.12.1</t>
  </si>
  <si>
    <t xml:space="preserve">MÓVEL DE RECEPÇÃO
Fornecimento e montagem de balcão de recepção em  painel de 3 camadas em madeira de pinho com 32 mm envernizado, incluindo interior, prateleiras e gavetas em painel de 3 camadas em madeira de pinho com 32 mm envernizado, e incluíndo ferragens, sistema de calha técnica, dobradiças,corrediças com fecho suave, e todos os acessórios necessários ao perfeito funcionamento. Executado conforme desenhos de pormenor e mapa de armários.</t>
  </si>
  <si>
    <t xml:space="preserve">3.12.1.1</t>
  </si>
  <si>
    <t xml:space="preserve">Piso 01 (320 x 77 x 110 cm)</t>
  </si>
  <si>
    <t xml:space="preserve">3.12.1.2</t>
  </si>
  <si>
    <t xml:space="preserve">Piso 02 (300 x 60 x 110 cm)</t>
  </si>
  <si>
    <t xml:space="preserve">3.12.2</t>
  </si>
  <si>
    <t xml:space="preserve">DIVISÓRIAS DE I.S.
Fornecimento e montagem nas divisórias das I.S de portas e painéis fenólicos com 12 mm de espessura à cor branco, incluindo ferragens do tipo JNF nomeadamente: Suporte de tubo tipo JNF, ref. SM.011.25; União de tubo tipo JNF, ref. SM.033.25; Tubo tipo JNF, ref. SM.010.A.25; Conector tipo JNF, ref. SM.010.C.25; dobradiças tipo JNF, ref. SM.005.D; Suporte superior para painel tipo JNF, ref. SM.002; Suporte para painel/pavimento tipo JNF, ref. SM.017, Suporte para painel/parede tipo JNF, ref. SM.034, Suporte para painel/painel tipo JNF, ref. SM.004, Fecho de porta tipo JNF, ref. SM.026, Puxadores duplo de porta tipo JNF, ref. IN.75.030 e todos os acessórios necessários para o seu perfeito funcionamento, executadas conforme  desenhos de pormenor.</t>
  </si>
  <si>
    <t xml:space="preserve">3.12.2.1</t>
  </si>
  <si>
    <t xml:space="preserve">I.S. A.1.6.1</t>
  </si>
  <si>
    <t xml:space="preserve">3.12.2.2</t>
  </si>
  <si>
    <t xml:space="preserve">I.S. A.1.6.2</t>
  </si>
  <si>
    <t xml:space="preserve">3.12.2.3</t>
  </si>
  <si>
    <t xml:space="preserve">I.S. A.1.7</t>
  </si>
  <si>
    <t xml:space="preserve">3.12.2.4</t>
  </si>
  <si>
    <t xml:space="preserve">I.S. A.1.8</t>
  </si>
  <si>
    <t xml:space="preserve">3.12.2.5</t>
  </si>
  <si>
    <t xml:space="preserve">I.S. A.1.9</t>
  </si>
  <si>
    <t xml:space="preserve">3.12.2.6</t>
  </si>
  <si>
    <t xml:space="preserve">I.S. A.1.10</t>
  </si>
  <si>
    <t xml:space="preserve">3.12.2.7</t>
  </si>
  <si>
    <t xml:space="preserve">I.S. A.2.3</t>
  </si>
  <si>
    <t xml:space="preserve">3.12.2.8</t>
  </si>
  <si>
    <t xml:space="preserve">I.S. A.2.4</t>
  </si>
  <si>
    <t xml:space="preserve">3.12.3</t>
  </si>
  <si>
    <t xml:space="preserve">CAÇIFOS
Fornecimento e colocação de cacifos tipo  Kemmlit  modelo Ixos L à cor Branco, com 30x50x215cm, incluindo pateres de elevação e  todos os acessórios necessários para o seu perfeito funcionamento, executadas conforme  desenhos de pormenor.</t>
  </si>
  <si>
    <t xml:space="preserve">3.12.3.1</t>
  </si>
  <si>
    <t xml:space="preserve">I.S. A.1.6</t>
  </si>
  <si>
    <t xml:space="preserve">3.12.3.2</t>
  </si>
  <si>
    <t xml:space="preserve">3.12.3.3</t>
  </si>
  <si>
    <t xml:space="preserve">3.12.3.4</t>
  </si>
  <si>
    <t xml:space="preserve">3.12.3.5</t>
  </si>
  <si>
    <t xml:space="preserve">3.12.4</t>
  </si>
  <si>
    <t xml:space="preserve">BANCO PARA VESTIÁRIOS
Fornecimento e colocação de cacifos tipo  Kemmlit  modelo Ixos L à cor Branco, com 30x50x215cm, incluindo pateres de elevação e  todos os acessórios necessários para o seu perfeito funcionamento, executadas conforme  desenhos de pormenor.</t>
  </si>
  <si>
    <t xml:space="preserve">'Banco para vestiários' tem a descrição dos cacifos (Kemmlit 30x50x215). Texto copiado.</t>
  </si>
  <si>
    <t xml:space="preserve">3.13</t>
  </si>
  <si>
    <t xml:space="preserve">SERRALHARIA</t>
  </si>
  <si>
    <t xml:space="preserve">3.13.1</t>
  </si>
  <si>
    <t xml:space="preserve">GUARDA CORPOS TIPO GU 01 INT Fornecimento e aplicação de guarda corpos com 1,10m de altura. Executado com perfis tubulares de aço metalizado de secção circular de 35 (perimetral) e 20mm (perimetral interior). Incluindo o fornecimento e aplicação de malha de aço inox tipo webnet jakob rope systems, devidamente tensionada e aplicada conforme os desenhos de pormenor. Incluí acabamento lacado de alta resistência.</t>
  </si>
  <si>
    <t xml:space="preserve">3.13.2</t>
  </si>
  <si>
    <t xml:space="preserve">GUARDA CORPOS TIPO GU 02 EXT Fornecimento e aplicação de guarda corpos com 1,10m de altura. Executado com perfis tubulares de aço metalizado de secção circular de 35 (perimetral) e 20mm (perimetral interior). Incluindo o fornecimento e aplicação de malha de aço inox tipo webnet jakob rope systems, devidamente tensionada e aplicada conforme os desenhos de pormenor. Incluí acabamento lacado de alta resistência.</t>
  </si>
  <si>
    <t xml:space="preserve">3.13.3</t>
  </si>
  <si>
    <t xml:space="preserve">GUARDA CORPOS EM ESCADAS GU 03 Fornecimento e aplicação de guarda corpos com 1,10m de altura. Executado com perfis tubulares de aço metalizado de secção circular de 35mm. Incluindo o fornecimento e aplicação de elemento metálico chumbado à parede. Incluí acabamento lacado de alta resistência.</t>
  </si>
  <si>
    <t xml:space="preserve">3.13.4</t>
  </si>
  <si>
    <t xml:space="preserve">CORRIMÃO EM ESCADAS GU 04
Fornecimento e aplicação de guarda corpos com 1,10m de altura. Executado com perfis tubulares de aço metalizado de secção circular de 35mm. Incluindo o fornecimento e aplicação de elemento metálico chumbado à parede. Incluí acabamento lacado de alta resistência.</t>
  </si>
  <si>
    <t xml:space="preserve">Corrimão descrito como guarda-corpos com h=1,10 m. Os corrimãos de escadas/rampas ficam a 0,85–0,95 m (DL 163/2006).</t>
  </si>
  <si>
    <t xml:space="preserve">3.13.5</t>
  </si>
  <si>
    <t xml:space="preserve">CORRIMÃO EM RAMPAS GU 05
Fornecimento e aplicação de guarda corpos com 1,10m de altura. Executado com perfis tubulares de aço metalizado de secção circular de 35mm. Incluindo o fornecimento e aplicação de elemento metálico chumbado à parede. Incluí acabamento lacado de alta resistência.</t>
  </si>
  <si>
    <t xml:space="preserve">Mesma descrição de 3.13.4, mas a 60 €/ml contra 145 €/ml.</t>
  </si>
  <si>
    <t xml:space="preserve">3.13.6</t>
  </si>
  <si>
    <t xml:space="preserve">ESCADA DE ACESSO A COBERTURAS Fornecimento e aplicação de escadas metálicas lacadas a cor a definir em obra, extensíveis de acesso às coberturas dos edifícios do tipo "JORMAX tipo MARINHEIRO" para vencer uma altura máxima de 3.70 a 3.90m, devendo garantir o acesso controlado, garantindo que os alunos não possam aceder / utilizar o referido equipamento. A colocar em zonas estratégicas de modo a aceder e manter todas as coberturas do edifício</t>
  </si>
  <si>
    <t xml:space="preserve">3.13.7</t>
  </si>
  <si>
    <t xml:space="preserve">PORTÃO DE ACESSO COMUNIDADE EXTERNA ARMÁRIO DE INFRAESTRUTURAS
Fornecimento e aplicação de portão executado conforme mapa de vãos e caderno de encargos.</t>
  </si>
  <si>
    <t xml:space="preserve">3.13.8</t>
  </si>
  <si>
    <t xml:space="preserve">VEDAÇÃO EXISTENTE - CONSOLIDAÇÃO REFORÇO
Fornecimento e aplicação de vedação existente devidamente consolidada e reforçada. Com acabamento final incluido, com pintura de alta resistência a cor a definir em obra.</t>
  </si>
  <si>
    <t xml:space="preserve">3.13.9</t>
  </si>
  <si>
    <t xml:space="preserve">VEDAÇÃO VED 01
Fornecimento e aplicação de vedação. Com acabamento final incluido, com pintura de alta resistência a cor a definir em obra, conforme descrição:
- Prumos em perfil de aço galvanizado, chumbados a um lintel de betão armado, espaçados entre si cerca de 2m, de modo a garantir a estabilidade da vedação. Se necessário, prever a aplicação de mão de amigo. Tubularares Diâmetro de 55 e espessura de 2mm;
- Rede em Malha torcida plastificada com 2.00m de altura;
- Presilhas de fixação em aço (pintado à cor);
- Lintel de fundação em batão armado (excepto quando a aplicação é feita no muro de suporte de betão armado);
- Aragamassa de assentamento;
- Chapas de ligação e cumbadouros;
- Quando aplicada no muro de suoporte a sul, que confronta o Parque da Cidade, o seu desenho deve ser adaptado ao existente;
Incluí: Todos os trabalhos e materiais necessários para a execução de acordo com as indicações do fabricante, com os desenhos de pormenor, mapa de acabamentos e caderno de encargos.</t>
  </si>
  <si>
    <t xml:space="preserve">3.13.10</t>
  </si>
  <si>
    <t xml:space="preserve">GUIAS TENSIONADAS DE CABO DE AÇO INOX - TREPADEIRAS
Fornecimento e aplicação de sistema de cabos de aço tensionados, com esticadores e cumbadouros de aço inox, para guiar o crescimento de trepadeiras em muro existente - Aço Inox.</t>
  </si>
  <si>
    <t xml:space="preserve">3.14</t>
  </si>
  <si>
    <t xml:space="preserve">VIDROS</t>
  </si>
  <si>
    <t xml:space="preserve">3.14.1</t>
  </si>
  <si>
    <t xml:space="preserve">ESPELHOS EM I.S. (50 x 90 cm) Fornecimento e aplicação de Espelho biselado com 6mm de espessura com fixação no tardoz, incluíndo elementos de fixação e apoio, cortes, remates e demais trabalhos de acordo com desenhos de pormenor e indicações do fabricante.</t>
  </si>
  <si>
    <t xml:space="preserve">nota 06</t>
  </si>
  <si>
    <t xml:space="preserve">Os vidros a aplicar em vãos interiores e exteriores encontram-se incluídos no artigo correspondente ao vão. Mesmo que nesse não seja mencionado deve ser considerado para efeitos de orçamentação.</t>
  </si>
  <si>
    <t xml:space="preserve">3.15</t>
  </si>
  <si>
    <t xml:space="preserve">PINTURAS</t>
  </si>
  <si>
    <t xml:space="preserve">3.15.1</t>
  </si>
  <si>
    <t xml:space="preserve">PINTURA DE TETOS EM ZONAS HÚMIDAS Fornecimento e aplicação de pintura tipo CIN VINYL CLEAN ou equiv.
Incluí: Todos os trabalhos e materiais necessários para a execução de acordo com as indicações do fabricante, com os desenhos de pormenor, mapa de acabamentos e caderno de encargos.</t>
  </si>
  <si>
    <t xml:space="preserve">3.15.2</t>
  </si>
  <si>
    <t xml:space="preserve">PINTURA DE TETOS
Fornecimento e aplicação de pintura tipo CIN VINYL CLEAN ou equiv.
Incluí: Todos os trabalhos e materiais necessários para a execução de acordo com as indicações do fabricante, com os desenhos de pormenor, mapa de acabamentos e caderno de encargos.</t>
  </si>
  <si>
    <t xml:space="preserve">3.15.3</t>
  </si>
  <si>
    <t xml:space="preserve">PINTURA DE PAREDES EM ZONAS HÚMIDAS Fornecimento e aplicação de pintura tipo CIN VINYL CLEAN ou equiv.
Incluí: Todos os trabalhos e materiais necessários para a execução de acordo com as indicações do fabricante, com os desenhos de pormenor, mapa de acabamentos e caderno de encargos.</t>
  </si>
  <si>
    <t xml:space="preserve">3.15.3.1</t>
  </si>
  <si>
    <t xml:space="preserve">A.1.10 - Balneário Masc.</t>
  </si>
  <si>
    <t xml:space="preserve">3.15.3.2</t>
  </si>
  <si>
    <t xml:space="preserve">A.1.9 - Balneário Fem.</t>
  </si>
  <si>
    <t xml:space="preserve">3.15.3.3</t>
  </si>
  <si>
    <t xml:space="preserve">A.1.7 e A.1.8 - Instalações Sanitárias Alunos</t>
  </si>
  <si>
    <t xml:space="preserve">3.15.3.4</t>
  </si>
  <si>
    <t xml:space="preserve">A.1.6.1 e A.1.6.2 - Instalações Sanitárias Prof.</t>
  </si>
  <si>
    <t xml:space="preserve">3.15.3.5</t>
  </si>
  <si>
    <t xml:space="preserve">A.2.3 e A.2.4 - Instalações Sanitárias Visitantes</t>
  </si>
  <si>
    <t xml:space="preserve">3.15.4</t>
  </si>
  <si>
    <t xml:space="preserve">PINTURA DE PAREDES
Fornecimento e aplicação de pintura tipo CIN VINYL CLEAN ou equiv.
Incluí: Todos os trabalhos e materiais necessários para a execução de acordo com as indicações do fabricante, com os desenhos de pormenor, mapa de acabamentos e caderno de encargos.</t>
  </si>
  <si>
    <t xml:space="preserve">3.15.4.1</t>
  </si>
  <si>
    <t xml:space="preserve">A.1.5 - Gab. Médico</t>
  </si>
  <si>
    <t xml:space="preserve">3.15.4.2</t>
  </si>
  <si>
    <t xml:space="preserve">A.1.2 - Admin. Receção</t>
  </si>
  <si>
    <t xml:space="preserve">3.15.4.3</t>
  </si>
  <si>
    <t xml:space="preserve">A.1.4 ; A.1.12; A.1.11; A.1.13 - Arrumos</t>
  </si>
  <si>
    <t xml:space="preserve">3.15.4.4</t>
  </si>
  <si>
    <t xml:space="preserve">A.1.3 - Ginástica</t>
  </si>
  <si>
    <t xml:space="preserve">3.15.4.5</t>
  </si>
  <si>
    <t xml:space="preserve">Circulação e espaços gerais Piso 01</t>
  </si>
  <si>
    <t xml:space="preserve">3.15.4.6</t>
  </si>
  <si>
    <t xml:space="preserve">A.2.6</t>
  </si>
  <si>
    <t xml:space="preserve">3.15.4.7</t>
  </si>
  <si>
    <t xml:space="preserve">A.2.5</t>
  </si>
  <si>
    <t xml:space="preserve">3.15.4.8</t>
  </si>
  <si>
    <t xml:space="preserve">A.2.2</t>
  </si>
  <si>
    <t xml:space="preserve">3.15.4.9</t>
  </si>
  <si>
    <t xml:space="preserve">Circulação e espaços gerais Piso 02</t>
  </si>
  <si>
    <t xml:space="preserve">3.15.5</t>
  </si>
  <si>
    <t xml:space="preserve">PINTURA DE PAREDES e ESTRUTURA BETÃO INT.
Fornecimento e aplicação de pintura adequada ao suporte.
Incluí: Todos os trabalhos e materiais necessários para a execução de acordo com as indicações do fabricante, com os desenhos de pormenor, mapa de acabamentos e caderno de encargos.</t>
  </si>
  <si>
    <t xml:space="preserve">3.15.5.1</t>
  </si>
  <si>
    <t xml:space="preserve">3.15.5.2</t>
  </si>
  <si>
    <t xml:space="preserve">3.15.6</t>
  </si>
  <si>
    <t xml:space="preserve">PINTURA DE PAREDES BETÃO EXT. Fornecimento e aplicação de pintura adequada ao suporte.
Incluí: Todos os trabalhos e materiais necessários para a execução de acordo com as indicações do fabricante, com os desenhos de pormenor, mapa de acabamentos e caderno de encargos.</t>
  </si>
  <si>
    <t xml:space="preserve">3.15.7</t>
  </si>
  <si>
    <t xml:space="preserve">PINTURA DE TETOS BETÃO E LAJES EXT. Fornecimento e aplicação de pintura adequada ao suporte.
Incluí: Todos os trabalhos e materiais necessários para a execução de acordo com as indicações do fabricante, com os desenhos de pormenor, mapa de acabamentos e caderno de encargos.</t>
  </si>
  <si>
    <t xml:space="preserve">3.15.8</t>
  </si>
  <si>
    <t xml:space="preserve">TRATAMENTO DE BETÃO
Fornecimento e aplicação de tratamento incolor hidrofugante adequada ao suporte.
Incluí: Todos os trabalhos e materiais necessários para a execução de acordo com as indicações do fabricante, com os desenhos de pormenor, mapa de acabamentos e caderno de encargos.</t>
  </si>
  <si>
    <t xml:space="preserve">3.15.9</t>
  </si>
  <si>
    <t xml:space="preserve">PINTURAS E MARCAÇÕES
Fornecimento e aplicação de pinturas em zonas de prática desportiva.</t>
  </si>
  <si>
    <t xml:space="preserve">3.15.9.1</t>
  </si>
  <si>
    <t xml:space="preserve">Setor A - Gimnodesportivo - 1100,00m2</t>
  </si>
  <si>
    <t xml:space="preserve">3.15.9.2</t>
  </si>
  <si>
    <t xml:space="preserve">Setor A - Ginásio - 380,00m2</t>
  </si>
  <si>
    <t xml:space="preserve">Ginásio com 380 m2 aqui e 396 m2 no pavimento (3.9.1.1.2).</t>
  </si>
  <si>
    <t xml:space="preserve">3.16</t>
  </si>
  <si>
    <t xml:space="preserve">EQUIPAMENTOS</t>
  </si>
  <si>
    <t xml:space="preserve">3.16.1</t>
  </si>
  <si>
    <t xml:space="preserve">SANITÁRIOS</t>
  </si>
  <si>
    <t xml:space="preserve">3.16.1.1</t>
  </si>
  <si>
    <t xml:space="preserve">SANITA SUSPENSA
Fornecimento e instalação de Sanita tipo SANINDUSA, série Urb.y suspensa 48 com fixação oculta, cor branca, Ref.: 140032004 s/tampo incluindo Comando de descarga do tipo "GEBERIT", série Sigma20, para descarga dupla, para autoclismo de interior Sigma 8cm, à cor escovado, Ref. 115.778.SN.1 e estrutura do tipo "GEBERIT". série "Geberit Kombifix" para sanita suspensa, 109cm, com autoclismo de interior e todos os acessórios e ligações necessárias ao seu perfeito funcionamento. De acordo com as peças desenhadas e indicações do fabricante.
A aplicar nas I.S. de mobilidade condicionada.</t>
  </si>
  <si>
    <t xml:space="preserve">3.16.1.2</t>
  </si>
  <si>
    <t xml:space="preserve">SANITA
Fornecimento e instalação de Sanita tipo SANINDUSA, série SANIBOLD compacta, descarga ao chão, cor branca, Ref.: 137021004 s/tampo,  com tanque compacto sanibold com entrada de água lateral ref. 137113004LM, cor branco e todos os acessórios e ligações necessárias ao seu perfeito funcionamento. De acordo com as peças desenhadas e indicações do fabricante.</t>
  </si>
  <si>
    <t xml:space="preserve">3.16.1.3</t>
  </si>
  <si>
    <t xml:space="preserve">LAVATÓRIO SUSPENSO
Fornecimento e instalação de Lavatório suspenso tipo SANINDUSA, série Sanlife, quadrangular com furo para torneira, 400x400x145, cor branco, Ref.: 136950004, incluindo sifão cilíndrico de lavatório Tipo OFA, série CILINDRO Ref.: GIA0103E; e todos os acessórios e ligações necessárias ao seu perfeito funcionamento. De acordo com as peças desenhadas e indicações do fabricante.</t>
  </si>
  <si>
    <t xml:space="preserve">Já inclui sifão OFA. Ver 5.3.1 (24 sifões de lavatório).</t>
  </si>
  <si>
    <t xml:space="preserve">3.16.1.4</t>
  </si>
  <si>
    <t xml:space="preserve">URINOL
Fornecimento e instalação de urinol, tipo SANINDUSA, série Forma com alimentação de água por cima ref. 108561004 com Kit de fixação 21 para colunas suspensas e urinóis ref.21 e Sifão para urinol ref. 11150000 e todos os acessórios e ligações necessárias ao seu perfeito funcionamento. De acordo com as peças desenhadas e indicações do fabricante.</t>
  </si>
  <si>
    <t xml:space="preserve">Já inclui sifão. Ver 5.3.2 (7 sifões para 6 urinóis).</t>
  </si>
  <si>
    <t xml:space="preserve">3.16.1.5</t>
  </si>
  <si>
    <t xml:space="preserve">BASE DE DUCHE
Fornecimento e instalação de base de duche de encastrar tipo SANINDUSA, série Waterline Quadrangular com antiderrapante, 80x80, ref. 107480 com Válvula Ø90 para base de duche tipo SANINDUSA ref. 487, incluindo todos os acessórios e ligações necessárias ao seu perfeito funcionamento. De acordo com as peças desenhadas e indicações do fabricante.</t>
  </si>
  <si>
    <t xml:space="preserve">3.16.1.6</t>
  </si>
  <si>
    <t xml:space="preserve">TORNEIRA DE LAVATÓRIO
Fornecimento e instalação de Torneira de Lavatório compacta tipo OFA, série Stillstop Ref.: GKT0008N, incluindo Válvula lavatório fixa tipo OFA ref. GIA0456FXE e todos os acessórios e ligações necessárias ao seu perfeito funcionamento. De acordo com as peças desenhadas e indicações do fabricante.</t>
  </si>
  <si>
    <t xml:space="preserve">16 + 6 = 22 torneiras para 20 lavatórios.</t>
  </si>
  <si>
    <t xml:space="preserve">3.16.1.7</t>
  </si>
  <si>
    <t xml:space="preserve">TORNEIRA DE LAVATÓRIO MOB. COND. Fornecimento e instalação de Torneira de lavatório hospitalar tipo OFA, série Hospitalar, Ref.: GVT5820, incluindo Válvula lavatório fixa tipo OFA ref. GIA0456FXE e todos os acessórios e ligações necessárias ao seu perfeito funcionamento. De acordo com as peças desenhadas e indicações do fabricante.</t>
  </si>
  <si>
    <t xml:space="preserve">3.16.1.8</t>
  </si>
  <si>
    <t xml:space="preserve">MISTURADORA DE DUCHE
Fornecimento e instalação de Misturadora duche c/ coluna (p/ canalização exterior) tipo OFA série Stillstop ref. GKT0122N, e todos os acessórios e ligações necessárias ao seu perfeito funcionamento. De acordo com as peças desenhadas e indicações do fabricante.</t>
  </si>
  <si>
    <t xml:space="preserve">3.16.1.9</t>
  </si>
  <si>
    <t xml:space="preserve">TORNEIRA URINOL
Fornecimento e instalação de Torneira passagem exterior urinol tipo OFA série Stillstop ref. GKT0031 com Tubo urinol c/ espalhador tipo OFA ref. GKT0531E, Emboque urinol tipo OFA ref. GKT0608E e Copo urinol tipo OFA ref. GKT0511E e todos os acessórios e ligações necessárias ao seu perfeito funcionamento. De acordo com as peças desenhadas e indicações do fabricante.</t>
  </si>
  <si>
    <t xml:space="preserve">3.16.1.10</t>
  </si>
  <si>
    <t xml:space="preserve">CABIDES
Fornecimento e instalação Cabide tipo JNF, série White Series ref. IN.14.502 e todos os acessórios necessários ao seu perfeito funcionamento. De acordo com as peças desenhadas e indicações do fabricante.</t>
  </si>
  <si>
    <t xml:space="preserve">3.16.1.10.1</t>
  </si>
  <si>
    <t xml:space="preserve">Nas cabines com duche</t>
  </si>
  <si>
    <t xml:space="preserve">3.16.1.10.2</t>
  </si>
  <si>
    <t xml:space="preserve">Nas cabines com sanita</t>
  </si>
  <si>
    <t xml:space="preserve">3.16.1.10.3</t>
  </si>
  <si>
    <t xml:space="preserve">Nas zonas de duche</t>
  </si>
  <si>
    <t xml:space="preserve">3.16.1.10.4</t>
  </si>
  <si>
    <t xml:space="preserve">Nos balneários</t>
  </si>
  <si>
    <t xml:space="preserve">3.16.1.11</t>
  </si>
  <si>
    <t xml:space="preserve">DISPENSADOR DE PAPEL
Fornecimento e instalação de Dispensor de papel jumbo tipo JNF ref. IN.60.489 acabamento EN 1.4301, incluindo todos os acessórios e ligações necessárias ao seu perfeito funcionamento. De acordo com as peças desenhadas e indicações do fabricante.</t>
  </si>
  <si>
    <t xml:space="preserve">3.16.1.12</t>
  </si>
  <si>
    <t xml:space="preserve">CESTO DE PAPEL
Fornecimento e instalação de cesto de papel tipo JNF ref. IN.60.561 acabamento EN 1.4301,  incluindo todos os acessórios e ligações necessárias ao seu perfeito funcionamento. De acordo com as peças desenhadas e indicações do fabricante.</t>
  </si>
  <si>
    <t xml:space="preserve">3.16.1.13</t>
  </si>
  <si>
    <t xml:space="preserve">SECADOR DE MÃOS
Fornecimento e instalação de secador de automático de mãos tipo JNF, série Industrial Series, ref. IN.60.566 acabamento EN 1.4301,  incluindo todos os acessórios e ligações necessárias ao seu perfeito funcionamento. De acordo com as peças desenhadas e indicações do fabricante.</t>
  </si>
  <si>
    <t xml:space="preserve">3.16.1.14</t>
  </si>
  <si>
    <t xml:space="preserve">KIT MOB. CONDICIONADA
Fornecimento e instalação de barras de apoio em aço inox tipo JNF, incluindo todos os acessórios e ligações necessárias ao seu perfeito funcionamento. De acordo com as peças desenhadas e indicações do fabricante, e de modo a respeitar as exigências regulamentares da acessibilidade.</t>
  </si>
  <si>
    <t xml:space="preserve">'Kit' de barras para mobilidade condicionada a 62,10 €. Um conjunto conforme DL 163/2006 (rebatível + fixa) custa 250–500 €.</t>
  </si>
  <si>
    <t xml:space="preserve">3.16.1.14.1</t>
  </si>
  <si>
    <t xml:space="preserve">Na instalção sanitária de mobilidade condicionada</t>
  </si>
  <si>
    <t xml:space="preserve">3.16.1.14.2</t>
  </si>
  <si>
    <t xml:space="preserve">Nas zonas de duche de mobilidade condicionada</t>
  </si>
  <si>
    <t xml:space="preserve">3.16.1.15</t>
  </si>
  <si>
    <t xml:space="preserve">BANCO MOB. CONDICIONADA
Fornecimento e instalação de banco para I.S.,tipo JNF ref. IN.12.045,
incluindo todos os acessórios e fixações necessárias ao seu perfeito funcionamento. De acordo com as peças desenhadas e indicações do fabricante.</t>
  </si>
  <si>
    <t xml:space="preserve">3.16.1.16</t>
  </si>
  <si>
    <t xml:space="preserve">PIAÇABA
Fornecimento e instalação de porta piaçaba de aço inox tipo JNF fixado è parede,  incluindo todos os acessórios e fixações necessárias ao seu perfeito funcionamento. De acordo com as peças desenhadas e indicações do fabricante.</t>
  </si>
  <si>
    <t xml:space="preserve">3.16.1.17</t>
  </si>
  <si>
    <t xml:space="preserve">DISPENSADOR DE SABÃO
Fornecimento e instalação de porta piaçaba de aço inox tipo JNF IN.60.490.S fixado è parede,  incluindo todos os acessórios e fixações necessárias ao seu perfeito funcionamento. De acordo com as peças desenhadas e indicações do fabricante.</t>
  </si>
  <si>
    <t xml:space="preserve">Dispensador de sabão descrito como 'porta piaçaba'.</t>
  </si>
  <si>
    <t xml:space="preserve">3.16.1.18</t>
  </si>
  <si>
    <t xml:space="preserve">DRENAGEM LINEAR EM BALNEÁRIOS Fornecimento e instalação drenagem linear tipo ACO 64 em Aço Inox com grelha ranhurada. Conforme projeto de arquitetura.
Incluí:
- Todos os trabalhos e materiais necessários para a execução de acordo com as indicações do fabricante, com os desenhos de pormenor, mapa de acabamentos e caderno de encargos.</t>
  </si>
  <si>
    <t xml:space="preserve">Drenagem linear dos balneários (28 ml) duplica 5.3.7, canal com grelha para chuveiros (25,6 m).</t>
  </si>
  <si>
    <t xml:space="preserve">3.16.1.19</t>
  </si>
  <si>
    <t xml:space="preserve">ESTANTES METÁLICAS EM ARRECADAÇÕES Fornecimento e instalação de estantes metálicas industriais brancas - 100 x 40 x 200 cm de pousar tipo RACTEM ST-150 ou equiv. (prever possibilidade de fixar à parede).
Incluí:
- Todos os trabalhos e materiais necessários para a execução de acordo com as indicações do fabricante, com os desenhos de pormenor, mapa de acabamentos e caderno de encargos.</t>
  </si>
  <si>
    <t xml:space="preserve">3.16.1.20</t>
  </si>
  <si>
    <t xml:space="preserve">LAVATÓRIO DE TAMPO
Fornecimento e instalação de Lavatório e Misturadora e todos os acessórios e ligações necessárias ao seu perfeito funcionamento. De acordo com as peças desenhadas e indicações do fabricante.</t>
  </si>
  <si>
    <t xml:space="preserve">3.16.1.21</t>
  </si>
  <si>
    <t xml:space="preserve">PIA DE LIMPEZA - GAB. MÉDICO Fornecimento e instalação de Lavatório e Misturadora e todos os acessórios e ligações necessárias ao seu perfeito funcionamento. De acordo com as peças desenhadas e indicações do fabricante.</t>
  </si>
  <si>
    <t xml:space="preserve">3.16.1.22</t>
  </si>
  <si>
    <t xml:space="preserve">PIA DE LIMPEZA - ARRUMOS
Fornecimento e instalação de Lavatório e Misturadora e todos os acessórios e ligações necessárias ao seu perfeito funcionamento. De acordo com as peças desenhadas e indicações do fabricante.</t>
  </si>
  <si>
    <t xml:space="preserve">nota 07</t>
  </si>
  <si>
    <t xml:space="preserve">Todas as ref. e séries de equipamentos escolhidas devem ser confirmadas e previamente aprovadas antes da sua encomenda e disponibilização em obra. É da inteira responsabilidade do executante da obra, a verificação e confirmação da compatibilidade de todos os equipamentos bem como, para o fim ao qual se destinam. Do mesmo modo é da responsabilidade do executante, obter a aprovação do D.O. da Fiscalização e dos Projetistas. Antes da encomenda de qualquer equipamento deve ser enviada ficha de aprovação do D.O.</t>
  </si>
  <si>
    <t xml:space="preserve">3.17</t>
  </si>
  <si>
    <t xml:space="preserve">3.17.1</t>
  </si>
  <si>
    <t xml:space="preserve">BANCO PRÉBRICADO EM BETÃO
Incluí: Todos os trabalhos e materiais necessários para a execução de acordo com as indicações do fabricante, com os desenhos de pormenor, mapa de acabamentos e caderno de encargos.</t>
  </si>
  <si>
    <t xml:space="preserve">3.17.2</t>
  </si>
  <si>
    <t xml:space="preserve">REDES DE PROTEÇÃO ZONAS DESPORTIVAS Fornecimento e aplicação de rede de proteção / vedação / topo de espaços desportivos malha 35x35mm; Fio Entrançado de Polipropileno de 3 mm: Garantindo uma alta resistência à abrasão e ao impacto, aumenta a vida útil da rede, suportando condições climáticas adversas e uso intensivo; KITs de montagem para a fixação de redes compostos por poleias, serra-cabos, esticadores, mosquetões, parafusos, buchas, abracadeiras e todos os acessórios que se verifiquem necessários à aplicação no local.
- Preparação de Obra e Planificação dos tramos de cortina a aplicar e definição de cenários de abertura.
- Todos os trabalhos e materiais necessários para a execução de acordo com as indicações do fabricante, com os desenhos de pormenor, mapa de acabamentos e caderno de encargos.</t>
  </si>
  <si>
    <t xml:space="preserve">3.17.2.1</t>
  </si>
  <si>
    <t xml:space="preserve">Setor A</t>
  </si>
  <si>
    <t xml:space="preserve">3.17.3</t>
  </si>
  <si>
    <t xml:space="preserve">BANCADAS RETRÁTEIS
Fornecimento e aplicação de Bancada Retrátil com uma altura de 2,95m, 7 patamares e um desenvolvimento linear de 18,50m. Os patamares e as testas de degraus devem ser revestidos a soalho de madeira de carvalho.
Incluí: Todos os trabalhos e materiais necessários para a execução de acordo com as indicações do fabricante, com os desenhos de pormenor, mapa de acabamentos e caderno de encargos.</t>
  </si>
  <si>
    <t xml:space="preserve">3.17.4</t>
  </si>
  <si>
    <t xml:space="preserve">BANCOS PARA BANCADAS
Fornecimento e aplicação de Bancos para aplicar em degraus de Bancadas de betão préfabricado, tipo "Sports Partner SYMI" ou equivalente em cor a definir em obra.
Incluí: Todos os trabalhos e materiais necessários para a execução de acordo com as indicações do fabricante, com os desenhos de pormenor, mapa de acabamentos e caderno de encargos.</t>
  </si>
  <si>
    <t xml:space="preserve">3.17.4.1</t>
  </si>
  <si>
    <t xml:space="preserve">Bancada 01</t>
  </si>
  <si>
    <t xml:space="preserve">3.17.5</t>
  </si>
  <si>
    <t xml:space="preserve">BANCO CORRIDO PARA BANCADAS Fornecimento e aplicação de banco corrido em madeira maciça de carvalho conforme projeto de arquitectura, composto por 10 tábuas maciças de madeira de carvalho, cada uma com uma secção de 45x4cm e de comprimento 165cm, prefazendo um total de 16.50m. Todas as fixações à base deverão ser invisíveis, e o acabamento deverá ser em verniz de elevada resistência em Poliuretano mate aplicado num mínimo de 3 demãos.
Incluí: Todos os trabalhos e materiais necessários para a execução de acordo com as indicações do fabricante, com os desenhos de pormenor, mapa de acabamentos e caderno de encargos.</t>
  </si>
  <si>
    <t xml:space="preserve">3.17.5.1</t>
  </si>
  <si>
    <t xml:space="preserve">Bancada 02</t>
  </si>
  <si>
    <t xml:space="preserve">3.17.6</t>
  </si>
  <si>
    <t xml:space="preserve">SINALÉTICA</t>
  </si>
  <si>
    <t xml:space="preserve">3.17.6.1</t>
  </si>
  <si>
    <t xml:space="preserve">Fornecimento e assentamento de sinalética, em chapa de aço inox de 2mm de espessura cortada a laser, na cor a definir em obra, com desenho e descrição do compartimento em vinílico termocolado, a cores, nos diversos compartimentos, incluindo fixação e todos os trabalhos e acessórios necessários a um perfeito acabamento, de acordo com o projeto tipo "Pictograma JNF IN.26.700" ou equiv. Confirmar em obra as denominações e pictograma dos espaços a identificar.</t>
  </si>
  <si>
    <t xml:space="preserve">Sinalética só de compartimentos. A de segurança está em 9.2.</t>
  </si>
  <si>
    <t xml:space="preserve">3.17.6.1.1</t>
  </si>
  <si>
    <t xml:space="preserve">Setor A - Gimanodesportivo</t>
  </si>
  <si>
    <t xml:space="preserve">3.17.6.1.2</t>
  </si>
  <si>
    <t xml:space="preserve">Setor A - Sala de Ginástica</t>
  </si>
  <si>
    <t xml:space="preserve">3.17.6.1.3</t>
  </si>
  <si>
    <t xml:space="preserve">Setor A - Ginásio</t>
  </si>
  <si>
    <t xml:space="preserve">3.17.6.1.4</t>
  </si>
  <si>
    <t xml:space="preserve">Setor A - Administração</t>
  </si>
  <si>
    <t xml:space="preserve">3.17.6.1.5</t>
  </si>
  <si>
    <t xml:space="preserve">Setor A - Balneário Feminino</t>
  </si>
  <si>
    <t xml:space="preserve">3.17.6.1.6</t>
  </si>
  <si>
    <t xml:space="preserve">Setor A - Balneário Masculino</t>
  </si>
  <si>
    <t xml:space="preserve">3.17.6.1.7</t>
  </si>
  <si>
    <t xml:space="preserve">Setor A - Arrecadação</t>
  </si>
  <si>
    <t xml:space="preserve">3.17.6.1.8</t>
  </si>
  <si>
    <t xml:space="preserve">Setor A - Gab. Médico</t>
  </si>
  <si>
    <t xml:space="preserve">3.17.6.1.9</t>
  </si>
  <si>
    <t xml:space="preserve">Setor A - Sanitários Alunos</t>
  </si>
  <si>
    <t xml:space="preserve">3.17.6.1.10</t>
  </si>
  <si>
    <t xml:space="preserve">Setor A - Zona de Professores</t>
  </si>
  <si>
    <t xml:space="preserve">3.17.6.1.11</t>
  </si>
  <si>
    <t xml:space="preserve">Setor A - Sala Formação</t>
  </si>
  <si>
    <t xml:space="preserve">3.17.6.1.12</t>
  </si>
  <si>
    <t xml:space="preserve">Setor A - Visitantes I.S. Feminino</t>
  </si>
  <si>
    <t xml:space="preserve">3.17.6.1.13</t>
  </si>
  <si>
    <t xml:space="preserve">Setor A - Visitantes I.S. Masculino</t>
  </si>
  <si>
    <t xml:space="preserve">3.17.6.1.14</t>
  </si>
  <si>
    <t xml:space="preserve">Setor A' - Arrumos</t>
  </si>
  <si>
    <t xml:space="preserve">3.17.6.1.15</t>
  </si>
  <si>
    <t xml:space="preserve">Setor A' - Visitantes I.S. Feminino</t>
  </si>
  <si>
    <t xml:space="preserve">3.17.6.1.16</t>
  </si>
  <si>
    <t xml:space="preserve">Setor A' - Visitantes I.S. Masculino</t>
  </si>
  <si>
    <t xml:space="preserve">3.17.6.1.17</t>
  </si>
  <si>
    <t xml:space="preserve">Setor A' - Atendimento</t>
  </si>
  <si>
    <t xml:space="preserve">3.17.7</t>
  </si>
  <si>
    <t xml:space="preserve">CORTINAS ÁREA DE JOGO
Fornecimento e aplicação de cortina cor e material a aprovar em obra, adequada à separação das áreas de desporto por tramos com altura aprox de 4m; Sistema tipo ou equiv.: "Cortina Divisória tipo AFFSPORTS" composição de tela PVC até 4m e rede até à asna de suporte; fixação à asna de suporte.
Incluí:
- Preparação de Obra e Planificação dos tramos de cortina a aplicar e definição de cenários de abertura.
- Sistema de Correr e Suspensão (a aprovar pelo D.O.)
- Todos os trabalhos e materiais necessários para a execução de acordo com as indicações do fabricante, com os desenhos de pormenor, mapa de acabamentos e caderno de encargos.</t>
  </si>
  <si>
    <t xml:space="preserve">3.17.7.1</t>
  </si>
  <si>
    <t xml:space="preserve">3.17.8</t>
  </si>
  <si>
    <t xml:space="preserve">ESTORES DE ROLO MOTORIZADOS aprox. 2.60 h
Fornecimento e aplicação de estore de rolo motorizado tipo ct 110 caixa cilíndrica cor a definir em obra, tipo brasolar ou equivalente, em tecido de poliéster retardador ao fogo cor a definir em obra (screen 5500 3% 600gr) Incluí:
- Preparação de Obra e Planificação dos tramos a aplicar e definição de cenários de abertura.
- Sistema; eletrificação (a aprovar pelo D.O.)
- Todos os trabalhos e materiais necessários para a execução de acordo com as indicações do fabricante, com os desenhos de pormenor, mapa de acabamentos e caderno de encargos.</t>
  </si>
  <si>
    <t xml:space="preserve">3.17.8.1</t>
  </si>
  <si>
    <t xml:space="preserve">3.17.8.2</t>
  </si>
  <si>
    <t xml:space="preserve">Sala Gimnodesportivo</t>
  </si>
  <si>
    <t xml:space="preserve">3.17.9</t>
  </si>
  <si>
    <t xml:space="preserve">CONSOLIDAÇÃO E REPOSIÇÃO DE GRELHA DE DRENAGEM
Incluí: Todos os trabalhos e materiais necessários para a execução de acordo com as indicações do fabricante, com os desenhos de pormenor, mapa de acabamentos e caderno de encargos.</t>
  </si>
  <si>
    <t xml:space="preserve">3.17.10</t>
  </si>
  <si>
    <t xml:space="preserve">LIMPEZA FINAL DE OBRA</t>
  </si>
  <si>
    <t xml:space="preserve">3.17.11</t>
  </si>
  <si>
    <t xml:space="preserve">FORNECIMENTO DE TELAS FINAIS GERAIS</t>
  </si>
  <si>
    <t xml:space="preserve">4</t>
  </si>
  <si>
    <t xml:space="preserve">REDE DE ABASTECIMENTO DE ÁGUA</t>
  </si>
  <si>
    <t xml:space="preserve">4.1</t>
  </si>
  <si>
    <t xml:space="preserve">MOVIMENTOS DE TERRAS</t>
  </si>
  <si>
    <t xml:space="preserve">4.1.1</t>
  </si>
  <si>
    <t xml:space="preserve">ABERTURA DE VALA
Abertura de vala em terreno de classe C, para instalação de tubagem de rede de abastecimento de água , com recurso a escoramento incluindo baldeação, regularização do fundo, fita de sinalização e todos os trabalhos necessários, de acordo com os desenhos de pormenor e condições técnicas, remoção, transporte e espalhamento em vazadouro ou depósito provisório, e eventual indemnização por depósito.</t>
  </si>
  <si>
    <t xml:space="preserve">Vala com escoramento a 5,5 €/m3 (ref. 12–18 €/m3).</t>
  </si>
  <si>
    <t xml:space="preserve">4.1.2</t>
  </si>
  <si>
    <t xml:space="preserve">REGULARIZAÇÃO DE VALA
Regularização com camada de areia de 0,15m de espessura, do fundo da vala da rede de abastecimento de acordo os desenhos de pormenor e condições técnicas.</t>
  </si>
  <si>
    <t xml:space="preserve">4.1.3</t>
  </si>
  <si>
    <t xml:space="preserve">ENCHIMENTO DE VALA
Enchimento de vala com materiais resultantes da escavação e/ou de empréstimo, incluindo cirandagem de terras para o envolvimento das tubagens da rede de abastecimento  e compactação, de acordo com as condições técnicas.</t>
  </si>
  <si>
    <t xml:space="preserve">4.2</t>
  </si>
  <si>
    <t xml:space="preserve">TUBAGEM E ACESSÓRIOS</t>
  </si>
  <si>
    <t xml:space="preserve">4.2.1</t>
  </si>
  <si>
    <t xml:space="preserve">TUBAGEM EM MULTICAMADA PARA ÁGUA FRIA EMBUTIDA
Fornecimento e assentamento de tubagem de multicamada do tipo de pontas lisas, para uma pressão de serviço 10 [bar], e respectivos acessórios, destinada à rede de distribuição de água fria embutida. Incluindo abertura e tapamento de roço e execução das ligações por acessórios de compressão, de acordo com as peças desenhadas e condições técnicas, com o(s)diâmetro(s):</t>
  </si>
  <si>
    <t xml:space="preserve">4.2.1.1</t>
  </si>
  <si>
    <t xml:space="preserve">DN 16</t>
  </si>
  <si>
    <t xml:space="preserve">m</t>
  </si>
  <si>
    <t xml:space="preserve">4.2.1.2</t>
  </si>
  <si>
    <t xml:space="preserve">DN 20</t>
  </si>
  <si>
    <t xml:space="preserve">4.2.1.3</t>
  </si>
  <si>
    <t xml:space="preserve">DN 26</t>
  </si>
  <si>
    <t xml:space="preserve">4.2.1.4</t>
  </si>
  <si>
    <t xml:space="preserve">DN 32</t>
  </si>
  <si>
    <t xml:space="preserve">4.2.1.5</t>
  </si>
  <si>
    <t xml:space="preserve">DN 40</t>
  </si>
  <si>
    <t xml:space="preserve">4.2.1.6</t>
  </si>
  <si>
    <t xml:space="preserve">DN 75</t>
  </si>
  <si>
    <t xml:space="preserve">4.2.1.7</t>
  </si>
  <si>
    <t xml:space="preserve">DN 90</t>
  </si>
  <si>
    <t xml:space="preserve">4.2.2</t>
  </si>
  <si>
    <t xml:space="preserve">TUBAGEM EM MULTICAMADA PARA ÁGUA FRIA SUSPENSA
Fornecimento e assentamento de tubagem de multicamada do tipo de pontas lisas, para uma pressão de serviço 10 [bar], e respectivos acessórios, destinada à rede de distribuição de água fria instalada à vista. Incluindo elementos de fixação [abraçadeiras], pintura a tinta adequada e execução das ligações por acessórios de compressão, de acordo com as peças desenhadas e condições técnicas, com o(s) diâmetro(s):</t>
  </si>
  <si>
    <t xml:space="preserve">4.2.2.1</t>
  </si>
  <si>
    <t xml:space="preserve">4.2.2.2</t>
  </si>
  <si>
    <t xml:space="preserve">4.2.2.3</t>
  </si>
  <si>
    <t xml:space="preserve">4.2.2.4</t>
  </si>
  <si>
    <t xml:space="preserve">4.2.2.5</t>
  </si>
  <si>
    <t xml:space="preserve">4.2.2.6</t>
  </si>
  <si>
    <t xml:space="preserve">DN 63</t>
  </si>
  <si>
    <t xml:space="preserve">4.2.2.7</t>
  </si>
  <si>
    <t xml:space="preserve">4.2.2.8</t>
  </si>
  <si>
    <t xml:space="preserve">Multicamada DN90 a 178,38 €/m (73 m). Avaliar PP-R/PEAD/inox, mais económicos neste diâmetro.</t>
  </si>
  <si>
    <t xml:space="preserve">4.2.3</t>
  </si>
  <si>
    <t xml:space="preserve">TUBAGEM EM MULTICAMADA PARA A ÁGUA QUENTE EMBUTIDA
Fornecimento e assentamento de tubagem de multicamada do tipo de pontas lisas, para uma classe de aplicação de 2 e uma pressão de serviço 10 [bar], manga de isolamento de borracha esponjosa com espessura mínima de 20 [mm] e respectivos acessórios, destinada à rede de distribuição de água quente embutida. Incluindo abertura e tapamento de roço com travessias por mangas preenchidas com material isolante e elástico e execução das ligações por acessórios de compressão, de acordo com as peças desenhadas e condições técnicas, com o(s) diâmetro(s):</t>
  </si>
  <si>
    <t xml:space="preserve">4.2.3.1</t>
  </si>
  <si>
    <t xml:space="preserve">4.2.3.2</t>
  </si>
  <si>
    <t xml:space="preserve">4.2.3.3</t>
  </si>
  <si>
    <t xml:space="preserve">4.2.3.4</t>
  </si>
  <si>
    <t xml:space="preserve">4.2.3.5</t>
  </si>
  <si>
    <t xml:space="preserve">4.2.3.6</t>
  </si>
  <si>
    <t xml:space="preserve">4.2.4</t>
  </si>
  <si>
    <t xml:space="preserve">TUBAGEM EM MULTICAMADA PARA A ÁGUA QUENTE SUSPENSA
Fornecimento e assentamento de tubagem de multicama do tipo de pontas lisas, para uma classe de aplicação de 2 e para uma pressão de serviço 10 [bar], manga de isolamento de borracha esponjosa com espessura mínima de 20 [mm] e respectivos acessórios, destinada à rede de distribuição de água quente instalada à vista. Incluindo elementos de fixação [abraçadeiras] e pintura a tinta adequada e execução das ligações por acessórios de compressão, de acordo com as peças desenhadas e condições técnicas, com o(s) diâmetro(s):</t>
  </si>
  <si>
    <t xml:space="preserve">4.2.4.1</t>
  </si>
  <si>
    <t xml:space="preserve">4.2.4.2</t>
  </si>
  <si>
    <t xml:space="preserve">4.2.4.3</t>
  </si>
  <si>
    <t xml:space="preserve">4.2.4.4</t>
  </si>
  <si>
    <t xml:space="preserve">4.2.4.5</t>
  </si>
  <si>
    <t xml:space="preserve">4.2.4.6</t>
  </si>
  <si>
    <t xml:space="preserve">4.2.5</t>
  </si>
  <si>
    <t xml:space="preserve">TUBAGEM EM MC PARA REDE DE RETORNO Fornecimento e assentamento de tubagem de multicama do tipo de pontas lisas, para uma classe de aplicação de 2 e para uma pressão de serviço 10 [bar], manga de isolamento térmico flexível de espuma elastomérica e estrutura celular fechada com espessura de nominal de 20 [mm] e respectivos acessórios, destinada à rede de distribuição de retorno de água quente. Incluindo carotagem de elementos estruturais, abertura e tapamento de roço e furos em paredes, tectos e pavimentos, suportes de fixação por braçadeiras aos tectos e paredes, juntas de dilatação ou compensadores e execução das ligações por acessórios de compressão e ramais pressurizados, de acordo com as peças desenhadas e condições técnicas, com o(s) diâmetro(s):</t>
  </si>
  <si>
    <t xml:space="preserve">4.2.5.1</t>
  </si>
  <si>
    <t xml:space="preserve">4.2.5.2</t>
  </si>
  <si>
    <t xml:space="preserve">4.2.6</t>
  </si>
  <si>
    <t xml:space="preserve">TUBAGEM EM AÇO GALVANIZADO
Fornecimento e assentamento de tubagem aço galvanizado, série média, (NP EN 10255) e respetivos acessórios, destinada ao sistema do combate a incêndios com água, com instalação à vista, incluindo elementos de fixação [abraçadeiras], pintura a tinta adequada e execução das ligações por acessórios roscados (NP EN 10242), de acordo com os desenhos de pormenor e condições técnicas, com o(s) diâmetro(s):</t>
  </si>
  <si>
    <t xml:space="preserve">4.2.6.1</t>
  </si>
  <si>
    <t xml:space="preserve">DN 50</t>
  </si>
  <si>
    <t xml:space="preserve">4.2.6.2</t>
  </si>
  <si>
    <t xml:space="preserve">DN 65</t>
  </si>
  <si>
    <t xml:space="preserve">4.2.6.3</t>
  </si>
  <si>
    <t xml:space="preserve">DN 80</t>
  </si>
  <si>
    <t xml:space="preserve">4.2.6.4</t>
  </si>
  <si>
    <t xml:space="preserve">DN 100</t>
  </si>
  <si>
    <t xml:space="preserve">4.2.7</t>
  </si>
  <si>
    <t xml:space="preserve">TUBAGEM EM PEAD PARA ÁGUA FRIA Fornecimento e assentamento de tubagem de PEAD do tipo de pontas lisas, série de PE80 SDR 13.6, para uma pressão nominal de PN10 bar e respectivos acessórios, destinada à rede de distribuição de água exterior enterrada. Incluindo execução das ligações por soldadura topo-a-topo ou electrossoldáveis, e todos os trabalhos e acessórios necessários, de acordo peças desenhadas e condições técnicas, com os diâmetros:</t>
  </si>
  <si>
    <t xml:space="preserve">4.2.7.1</t>
  </si>
  <si>
    <t xml:space="preserve">4.2.7.2</t>
  </si>
  <si>
    <t xml:space="preserve">4.2.7.3</t>
  </si>
  <si>
    <t xml:space="preserve">4.2.7.4</t>
  </si>
  <si>
    <t xml:space="preserve">DN 110</t>
  </si>
  <si>
    <t xml:space="preserve">4.3</t>
  </si>
  <si>
    <t xml:space="preserve">ACESSÓRIOS</t>
  </si>
  <si>
    <t xml:space="preserve">4.3.1</t>
  </si>
  <si>
    <t xml:space="preserve">VÁLVULAS DE SECCIONAMENTO NAS BACIAS DE RETRETE
Fornecimento e montagem de válvula de passagem de bronze com pressão nominal PN 10,0 [bar], a aplicar no seccionamento de cada ramal de água fria das bacias de retrete. Incluindo todos os pertences e trabalhos necessários, aplicados de acordo com os desenhos de pormenor e as condições técnicas, com o(s) diâmetro(s):</t>
  </si>
  <si>
    <t xml:space="preserve">4.3.1.1</t>
  </si>
  <si>
    <t xml:space="preserve">4.3.2</t>
  </si>
  <si>
    <t xml:space="preserve">VÁLVULAS DE SECCIONAMENTO
Fornecimento e montagem de válvula de passagem de bronze com pressão nominal PN 10,0[bar], a aplicar no seccionamento de cada ramal de água fria e quente. Incluindo todos os pertences e trabalhos necessários, aplicados de acordo com os desenhos de pormenor e as condições técnicas, com o(s) diâmetro(s):</t>
  </si>
  <si>
    <t xml:space="preserve">4.3.2.1</t>
  </si>
  <si>
    <t xml:space="preserve">4.3.2.2</t>
  </si>
  <si>
    <t xml:space="preserve">4.3.2.3</t>
  </si>
  <si>
    <t xml:space="preserve">4.3.2.4</t>
  </si>
  <si>
    <t xml:space="preserve">4.3.2.5</t>
  </si>
  <si>
    <t xml:space="preserve">4.3.2.6</t>
  </si>
  <si>
    <t xml:space="preserve">4.3.3</t>
  </si>
  <si>
    <t xml:space="preserve">VÁLVULAS DE RETENÇÃO
Fornecimento e montagem de válvula de retenção em bronze com pressão nominal PN 10,0[bar], a aplicar na rede de água fria e retorno, incluindo todos os pertences e trabalhos necessários, aplicados de acordo com os desenhos de pormenor e as condições técnicas, com o(s) diâmetro(s):</t>
  </si>
  <si>
    <t xml:space="preserve">4.3.3.1</t>
  </si>
  <si>
    <t xml:space="preserve">4.3.3.2</t>
  </si>
  <si>
    <t xml:space="preserve">4.3.3.3</t>
  </si>
  <si>
    <t xml:space="preserve">4.3.4</t>
  </si>
  <si>
    <t xml:space="preserve">TORNEIRAS DE SERVIÇO
Fornecimento e montagem de torneira de serviço de latão cromado, do tipo boca roscada, em parede para ligação de mangueira para lavagem de pavimento. Incluindo todos os pertences, acessórios e trabalhos necessários, aplicados de acordo com os desenhos de pormenor e as condições técnicas, com o(s) diâmetro(s):</t>
  </si>
  <si>
    <t xml:space="preserve">4.3.4.1</t>
  </si>
  <si>
    <t xml:space="preserve">4.3.5</t>
  </si>
  <si>
    <t xml:space="preserve">FILTRO
Fornecimento e montagem filtro em ferro fundido, protegida contra a corrosão, a colocar na tubagem de abastecimento do reservatório, com pressão nominal PN10 bar. Incluindo todos os pertences e trabalhos necessários, aplicados de acordo com os desenhos de pormenor e condições técnicas, com o diâmetro:</t>
  </si>
  <si>
    <t xml:space="preserve">4.3.5.1</t>
  </si>
  <si>
    <t xml:space="preserve">4.3.6</t>
  </si>
  <si>
    <t xml:space="preserve">VÁLVULA ANTI-POLUIÇÃO
Fornecimento e montagem válvula anti-poluição em ferro fundido, protegida contra a corrosão, a colocar na tubagem de abastecimento do reservatório de água, com pressão nominal PN10 bar. Incluindo todos os pertences e trabalhos necessários, aplicados de acordo com os desenhos de pormenor e condições técnicas, com o diâmetro:</t>
  </si>
  <si>
    <t xml:space="preserve">Já incluída em 11.2.1 ('válvula antipoluição tipo CA'). Refere um 'reservatório' que não existe no MQT: verificar se é preciso reservatório ou central de bombagem para a RIA.</t>
  </si>
  <si>
    <t xml:space="preserve">4.3.6.1</t>
  </si>
  <si>
    <t xml:space="preserve">4.3.7</t>
  </si>
  <si>
    <t xml:space="preserve">VÁLVULA REGULADORA TERMOSTÁTICA Fornecimento e montagem de válvula reguladora termostática para circuitos de recirculo de água quente sanitária, preparado para a função de desinfeção térmica, de corpo em liga antidezincificação, EN10226-1. Incluindo cartucho regulável em PSU, vedações hidráulicas em EPDM, bainha porta-termómetro/sonda DN10, pressão máxima de funcionamento de 16bar, pressão máxima do diferencial de 1 bar, campo de temperatura de regulação de 35 a 60ºC e todos os pertences e trabalhos necessários, aplicados de acordo com os desenhos de pormenor e as condições técnicas, com o(s) diâmetro(s):</t>
  </si>
  <si>
    <t xml:space="preserve">4.3.7.1</t>
  </si>
  <si>
    <t xml:space="preserve">4.3.7.2</t>
  </si>
  <si>
    <t xml:space="preserve">4.3.8</t>
  </si>
  <si>
    <t xml:space="preserve">VÁLVULAS DE SEGURANÇA
Fornecimento e montagem de válvula de segurança, em bronze, de pressão nominal PN 10,0[bar], a instalar a montante dos equipamentos produtores e acumuladores de águas quentes sanitárias, incluindo todos os pertences e trabalhos necessários, aplicados de acordo com os desenhos de pormenor e as condições técnicas, com o(s) diâmetro(s):</t>
  </si>
  <si>
    <t xml:space="preserve">Válvula de segurança DN75 é atípica para AQS. Duplica os grupos de segurança de 11.2.1/11.3.3.</t>
  </si>
  <si>
    <t xml:space="preserve">4.3.8.1</t>
  </si>
  <si>
    <t xml:space="preserve">4.3.9</t>
  </si>
  <si>
    <t xml:space="preserve">CONTADOR ABASTECIMENTO DE ÁGUA PARA CONSUMO
Fornecimento e montagem de caixa de contador totalizador para instalação de contadores, em alvenaria de tijolo maciços, incluindo contador de abastecimento de água para consumo, válvula de segurança, válvula de seccionamento, porta em ferro fundido, e todos os trabalhos e acessórios necessários ao seu correcto funcionamento, de acordo com peças desenhadas.</t>
  </si>
  <si>
    <t xml:space="preserve">4.3.9.1</t>
  </si>
  <si>
    <t xml:space="preserve">Núcleo A</t>
  </si>
  <si>
    <t xml:space="preserve">4.3.10</t>
  </si>
  <si>
    <t xml:space="preserve">CONTADOR REDE DE REGA
Fornecimento e montagem de caixa de contador totalizador para instalação de contadores, em alvenaria de tijolo maciços, incluindo contador de abastecimento para a rede de rega, válvula de segurança, válvula de seccionamento, porta em ferro fundido, e todos os trabalhos e acessórios necessários ao seu correcto funcionamento, de acordo com peças desenhadas.</t>
  </si>
  <si>
    <t xml:space="preserve">4.3.11</t>
  </si>
  <si>
    <t xml:space="preserve">CARRETEL
Fornecimento e colocação de boca de incêndio do tipo carretel. Inclui um carretel pintado em  RAL 3002  com sistema rebativel 180º, uma mangueira em PVC reforçada em poliéster de 25mm de diâmetro e 30 metros de comprimento,
 válvula de seccionamento selada, com saida a 110º de roscas de 1" para acopolamento do manómetro, quando indicado nas peças desenhadas, agulheta de 25mm e de tripla posição (jato, pulverização cónica e fecho), inserida em armário próprio ou complementar a extintor, de chapa de aço zincor de 0.9mm, pintada com RAL a definir em obra, com fechaduras antipânico ABS. Armário saliente na parede. Bocas de Incêndio do tipo carretel em conformidade com EN 691. Todos os acessórios e trabalhos necessários e em conformidade com as condições técnicas e peças desenhadas.</t>
  </si>
  <si>
    <t xml:space="preserve">10 carretéis: confirmar pressão e caudal da rede pública no ponto mais desfavorável. Não há reservatório nem grupo sobrepressor no MQT.</t>
  </si>
  <si>
    <t xml:space="preserve">4.3.12</t>
  </si>
  <si>
    <t xml:space="preserve">MANÓMETRO
Fornecimento e montagem de manómetros imersos em glicerina, com escala a variar entre 0 a 16bar, respetivo equipamento de protecção e válvula de corte. Manómetros a colocar nas bocas-de-incêndio do tipo carretel. Em conformidade com peças desenhadas e condições técnicas</t>
  </si>
  <si>
    <t xml:space="preserve">4.3.13</t>
  </si>
  <si>
    <t xml:space="preserve">PURGADOR
Fornecimento e montagem de purgadores de ar, a aplicar no indicado nas peças desenhadas, incluído todos os trabalhos e acessórios necessários.</t>
  </si>
  <si>
    <t xml:space="preserve">4.3.14</t>
  </si>
  <si>
    <t xml:space="preserve">MARCO DE INCÊNDIO
Fornecimento e montagem de marcos de incêndio em ferro fundido dúctil (FFD), com saídas de encaixe storz, incluindo escavação, todos trabalhos e acessórios - tê, válvulas, tubagem, juntas/adaptadores de flange de larga tolerância multimateriais necessários à sua ligação, interligação à rede e todos os trabalhos e acessórios necessários à sua correta execução. De acordo com os desenhos de pormenor e indicações da Entidade Gestora.</t>
  </si>
  <si>
    <t xml:space="preserve">4.3.15</t>
  </si>
  <si>
    <t xml:space="preserve">CONTADOR REDE DE INCÊNDIO ARMADA Fornecimento e montagem de caixa de contador totalizador para instalação de contadores, em alvenaria de tijolo maciços, incluindo contador de abastecimento de da rede de incêndio armada, válvula de segurança, válvula de seccionamento, porta em ferro fundido, e todos os trabalhos e acessórios necessários ao seu correcto funcionamento, de acordo com peças desenhadas.</t>
  </si>
  <si>
    <t xml:space="preserve">4.3.16</t>
  </si>
  <si>
    <t xml:space="preserve">CONTADOR MARCOS DE INCÊNDIO Fornecimento e montagem de caixa de contador totalizador para instalação de contadores, em alvenaria de tijolo maciços, incluindo contador de abastecimento para marco de incêndio, válvula de segurança, válvula de seccionamento, porta em ferro fundido, e todos os trabalhos e acessórios necessários ao seu correcto funcionamento, de acordo com peças desenhadas.</t>
  </si>
  <si>
    <t xml:space="preserve">4.4</t>
  </si>
  <si>
    <t xml:space="preserve">4.4.1</t>
  </si>
  <si>
    <t xml:space="preserve">CENTRAL DE RECIRCULAÇÃO
Fornecimento e montagem de bomba de recirculação de água quente, do tipo Efaflu CDT SMART 25/120-180. Incluindo quadro eléctrico, ligações aos colectores de água quente e acumuladores, válvulas de seccionamento e retenção, e todos os trabalhos e acessórios necessários à sua correcta instalação e funcionamento, em conformidade com peças desenhadas e peças escritas.</t>
  </si>
  <si>
    <t xml:space="preserve">Retirado após verificação independente: a bomba de recirculação de AQS (rede de distribuição) não duplica a bomba secundária de AVAC (circuito fechado de serpentina). Sem ação.</t>
  </si>
  <si>
    <t xml:space="preserve">4.4.1.1</t>
  </si>
  <si>
    <t xml:space="preserve">Q=7,12 l/min e H=3,40 m.c.a.</t>
  </si>
  <si>
    <t xml:space="preserve">4.5</t>
  </si>
  <si>
    <t xml:space="preserve">TRABALHOS DE CONSTRUÇÃO CIVIL E DE APOIO E OUTROS</t>
  </si>
  <si>
    <t xml:space="preserve">4.5.1</t>
  </si>
  <si>
    <t xml:space="preserve">LIGAÇÃO À REDE PÚBLICA
Execução de ramal de ligação à Rede Pública, incluindo tubagem PEAD PN 10 Kgf/cm2, levantamento e reposição de pavimentos, abertura e tapamento de vala, transporte para vazadouro de excedentes, assentamento em almofada de areia, recobrimento da tubagem em camada de terra cirandada até 0,20 m, aterro do restante volume da vala com produtos da escavação isento de pedras, incluindo remoção a depósito de rejeitados de 0,05 m, e todos os trabalhos e acessórios necessários a uma correcta execução de acordo com os desenhos de pormenor e condições técnicas.</t>
  </si>
  <si>
    <t xml:space="preserve">Ramal de ligação a 750 €/UN. Taxas da entidade gestora não incluídas.</t>
  </si>
  <si>
    <t xml:space="preserve">4.5.1.1</t>
  </si>
  <si>
    <t xml:space="preserve">4.5.2</t>
  </si>
  <si>
    <t xml:space="preserve">LIGAÇÃO À REDE REGA
Execução de ramal de ligação à rede de rega, incluindo tubagem PEAD PN 10 Kgf/cm2 DN40, levantamento e reposição de pavimentos, abertura e tapamento de vala, transporte para vazadouro de excedentes, assentamento em almofada de areia, recobrimento da tubagem em camada de terra cirandada até 0,15 m, aterro do restante volume da vala com produtos da escavação isento de pedras, incluindo remoção a depósito de rejeitados de 0,05 m, fornecimento e montagem de  válvula de retenção em ferro fundido com pressão nominal PN10 [bar], fornecimento e montagem de válvula de passagem de bronze com pressão nominal PN 10,0[bar] e fornecimento e montagem de caixa em Poliéster reforçado com fibra de vidro para instalação dos diversos acessórios, todos os trabalhos e acessórios necessários a uma correcta execução de acordo com as demais peças do projeto.</t>
  </si>
  <si>
    <t xml:space="preserve">4.5.3</t>
  </si>
  <si>
    <t xml:space="preserve">LIGAÇÃO AO SISTEMA DE PRODUTOR DE ÁGUA QUENTE
Execução da ligação das redes de água fria e quente ao sistema de produtor de água quente, incluindo todos os acessórios e trabalhos necessários ao correcto funcionamento.</t>
  </si>
  <si>
    <t xml:space="preserve">4.5.4</t>
  </si>
  <si>
    <t xml:space="preserve">PINTURA DA REDE DE ABASTECIMENTO Pintura da rede á vista e acessórios de água quente e fria com as cores normalizadas de sinalização (de acordo com a norma NP - 182) , com tintas baças semibrilhantes do tipo retardador ao fogo, de acordo com os desenhos de pormenor e as condições técnicas.</t>
  </si>
  <si>
    <t xml:space="preserve">4.5.5</t>
  </si>
  <si>
    <t xml:space="preserve">PINTURA DA REDE DE INCÊNDIOS
Pintura da rede de incêndio e acessórios com as cores normalizadas de sinalização (de acordo com a norma NP-182), com tintas baças semibrilhantes do tipo retardador ao fogo( - cor adicional: -cor vermelha de segurança)( - aparelhos e acessórios: vermelha de segurança)( - identificação: "rede de incêndios" em cor de contrarte preto ou branco)( - sentido do fluído : flecha a cor contraste preto ou branco.)</t>
  </si>
  <si>
    <t xml:space="preserve">4.5.6</t>
  </si>
  <si>
    <t xml:space="preserve">DESINFECÇÃO DA REDE
Lavagem e desinfecção dos sistemas, de acordo com os requisitos regulamentares aplicáveis.</t>
  </si>
  <si>
    <t xml:space="preserve">4.5.7</t>
  </si>
  <si>
    <t xml:space="preserve">VERIFICAÇÕES, ENSAIOS E MANUTENÇÃO Verificações, ensaios e manutenção de todas as condutas de água, antes de entrarem em serviço, com o objectivo de assegurar a qualidade da execução e o seu funcionamento hidráulico. Incluindo todos os materiais e equipamentos necessários às operações.</t>
  </si>
  <si>
    <t xml:space="preserve">Ensaios das redes a 595 €: curto.</t>
  </si>
  <si>
    <t xml:space="preserve">4.5.8</t>
  </si>
  <si>
    <t xml:space="preserve">LEVANTAMENTO CADASTRAL
Levantamento cadastral das redes executadas e elaboração das telas finais para entegra ao promotor e á entidade Gestora da Rede Pública.</t>
  </si>
  <si>
    <t xml:space="preserve">5</t>
  </si>
  <si>
    <t xml:space="preserve">REDE DE DRENAGEM DE ÁGUAS RESIDUAIS</t>
  </si>
  <si>
    <t xml:space="preserve">5.1</t>
  </si>
  <si>
    <t xml:space="preserve">5.1.1</t>
  </si>
  <si>
    <t xml:space="preserve">ESCAVAÇÃO
Abertura de vala em terreno de qualquer natureza para instalação de tubagem com recurso a escoramento incluindo enchimento incluindo baldeação, regularização do fundo, sinalização fita e todos os trabalhos necessários, de acordo com os desenhos de pormenor e o condições técnicas, remoção, transporte e espalhamento em vazadouro ou depósito provisório, e eventual indemnização por depósito.</t>
  </si>
  <si>
    <t xml:space="preserve">Vala com escoramento a 5,5 €/m3. A descrição diz 'incluindo enchimento', mas o enchimento é pago à parte em 5.1.3.</t>
  </si>
  <si>
    <t xml:space="preserve">5.1.2</t>
  </si>
  <si>
    <t xml:space="preserve">REGULARIZAÇÃO DE FUNDO DE VALA Regularização com camada material de granulometria fina (areia, saibro, pó de pedra, lamas secas, etc) de 0,30m de espessura, do fundo da vala para assentamento e envolvimento da tubagem de acordo com os desenhos de pormenor e condições técnicas, para todos os diâmetros.</t>
  </si>
  <si>
    <t xml:space="preserve">5.1.3</t>
  </si>
  <si>
    <t xml:space="preserve">ENCHIMENTO DE VALA
Enchimento de vala com materiais resultantes da escavação e/ou de empréstimo, incluindo cirandagem de terras para o envolvimento das tubagens e compactação, incluindo remoção a depósito de rejeitados 0,05 m, de acordo com os desenhos de pormenor e condições técnicas.</t>
  </si>
  <si>
    <t xml:space="preserve">5.2</t>
  </si>
  <si>
    <t xml:space="preserve">TUBAGEM</t>
  </si>
  <si>
    <t xml:space="preserve">5.2.1</t>
  </si>
  <si>
    <t xml:space="preserve">RAMAIS DE DESCARGA
Fornecimento e assentamento de tubagem de PVC-U de parede compacta, com método de união por boca com anel elastomérico (O-ring labial em TPE), série B, SN4, EN1329-1, destinada aos ramais de descarga embutidos na rede de águas residuais, e execução das ligações com o mesmo método de união, com anel de estanquidade, incluindo, abertura e tapamento de roço, incluindo carotagem de elementos estruturais, elementos de fixação [abraçadeiras], pintura a tinta adequada, membrana de polietileno reticular de célula fechada [e=10mm, tipo "IMPACTODAN 10" ou equivalente], incluindo todos os trabalhos e restantes pertences necessários ao seu perfeito funcionamento, de acordo com peças desenhadas e das condições técnicas, com os diâmetros:</t>
  </si>
  <si>
    <t xml:space="preserve">5.2.1.1</t>
  </si>
  <si>
    <t xml:space="preserve">5.2.1.2</t>
  </si>
  <si>
    <t xml:space="preserve">5.2.1.3</t>
  </si>
  <si>
    <t xml:space="preserve">5.2.1.4</t>
  </si>
  <si>
    <t xml:space="preserve">5.2.2</t>
  </si>
  <si>
    <t xml:space="preserve">RAMAIS DE DESCARGA SUSPENSOS Fornecimento e assentamento de tubagem de PVC-U de parede compacta, com método de união por boca com anel elastomérico (O-ring labial em TPE), série B, SN4, EN1329-1, destinada aos ramais de descarga suspensos na rede de águas residuais, e execução das ligações com o mesmo método de união, com anel de estanquidade, incluindo a fixação pontual dos tubos às paredes e/ou estrutura deverá ser efetuada através de braçadeiras de fixação,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e pintura a tinta adequada e execução das ligações por abocardamento com anel de estanquidade. As tubagens suspensas nos pisos habitacionais e comércio/serviço deverão ser envolvidas primeiramente em lã de rocha [e=30mm, 40 kg/m3] revestida exteriormente com folha de alumínio, sendo de seguida envolvidas com duas camadas de membrana elastómera auto-adesiva [tipo TECSOUND SY50], incluindo fornecimento e montagens de golas intumescentes para protecção corta fogo em atravessamentyo em material combustivel, incluindo carotagem de elementos estruturais, de acordo com os desenhos de pormenor e as condições técnicas, com o(s) diâmetro(s):</t>
  </si>
  <si>
    <t xml:space="preserve">5.2.2.1</t>
  </si>
  <si>
    <t xml:space="preserve">5.2.2.2</t>
  </si>
  <si>
    <t xml:space="preserve">5.2.3</t>
  </si>
  <si>
    <t xml:space="preserve">COLECTORES SUSPENSOS
Fornecimento e assentamento de tubagem de PVC-U do tipo abocardamento e ponta lisa , série B , para uma pressão nominal de 6 [bar] , referenciada pela norma NP EN 1329 e respectivos acessórios, destinada aos colectores prediais suspensos da rede residual, incluindo a fixação pontual dos tubos às paredes e/ou estrutura deverá ser efetuada através de braçadeiras de fixação,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e pintura a tinta adequada e execução das ligações por abocardamento com anel de estanquidade, as tubagens suspensas nos pisos habitacionais e comércio/serviço deverão ser envolvidas primeiramente em lã de rocha [e=30mm, 40 kg/m3] revestida exteriormente com folha de alumínio, sendo de seguida envolvidas com duas camadas de membrana elastómera auto-adesiva [tipo TECSOUND SY50], incluindo fornecimento e montagens de golas intumescentes para protecção corta fogo em atravessamentyo em material combustivel, incluindo carotagem de elementos estruturais,  de acordo com os desenhos de pormenor e condições técnicas, com o(s) diâmetro(s):</t>
  </si>
  <si>
    <t xml:space="preserve">5.2.3.1</t>
  </si>
  <si>
    <t xml:space="preserve">5.2.4</t>
  </si>
  <si>
    <t xml:space="preserve">COLECTORES ENTERRADOS
Fornecimento e assentamento de tubagem de PVC-U de parede compacta, com método de união por boca com anel elastomérico (O-ring labial em TPE), série UD, SN4/PN6, NP EN1401-1, destinada a coletores enterrados, e execução das ligações com o mesmo método de união, com anel de estanquidade, incluindo todos os trabalhos e restantes pertences necessários ao seu perfeito funcionamento, de acordo com peças desenhadas e das condições técnicas, com os diâmetros:</t>
  </si>
  <si>
    <t xml:space="preserve">5.2.4.1</t>
  </si>
  <si>
    <t xml:space="preserve">5.2.4.2</t>
  </si>
  <si>
    <t xml:space="preserve">DN 125</t>
  </si>
  <si>
    <t xml:space="preserve">5.2.4.3</t>
  </si>
  <si>
    <t xml:space="preserve">DN 160</t>
  </si>
  <si>
    <t xml:space="preserve">5.2.5</t>
  </si>
  <si>
    <t xml:space="preserve">TUBOS DE VENTILAÇÃO
Fornecimento e assentamento de tubagem de PVC-U de parede compacta, com método de união por boca com anel elastomérico (O-ring labial em TPE), série B, SN4/PN6, EN1329-1, e respetivos acessórios, destinada a tubo de ventilação, incluindo ligações e prolongamento à cobertura para ventilação primária, incluindo elementos de fixação [abraçadeiras], execução das ligações pelo mesmo método de união com anel de estanquidade, incluindo fornecimento e montagens de golas intumescentes para protecção corta fogo em atravessamentyo em material combustivel, e fornecimento e aplicação de poste de ventilação tipo "cavan" ou equivalente, em Aço Inox e respetivas ligações, incluindo carotagem de elementos estruturais, de acordo com as peças desenhadas e condições técnicas, com o(s) diâmetro(s):</t>
  </si>
  <si>
    <t xml:space="preserve">5.2.5.1</t>
  </si>
  <si>
    <t xml:space="preserve">5.2.6</t>
  </si>
  <si>
    <t xml:space="preserve">TUBOS DE QUEDA
Fornecimento e assentamento de tubagem de PVC-U de parede compacta, com método de união por boca com anel elastomérico (O-ring labial em TPE), série B, SN4, EN1329-1, e respetivos acessórios, destinada aos tubos de queda da rede de águas residuais, incluindo ligações e prolongamento à cobertura para ventilação primária, incluindo a fixação pontual dos tubos às paredes e/ou estrutura deverá ser efetuada através de braçadeiras de fixação,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bocas de limpeza de 3 em 3 pisos, curva de redução de velocidade de 4 em 4 pisos, execução das ligações pelo mesmo método de união com anel de estanquidade, as tubagens deverão ser envolvidas com membrana de polietileno reticular de célula fechada com 10 mm de espessura, incluindo fornecimento e montagens de golas intumescentes para protecção corta fogo em atravessamentyo em material combustivel, incluindo carotagem de elementos estruturais, de acordo com as peças desenhadas e condições técnicas, com o(s) diâmetro(s):.</t>
  </si>
  <si>
    <t xml:space="preserve">5.2.6.1</t>
  </si>
  <si>
    <t xml:space="preserve">5.2.6.2</t>
  </si>
  <si>
    <t xml:space="preserve">5.3</t>
  </si>
  <si>
    <t xml:space="preserve">ACESSÓRIOS E EQUIPAMENTOS</t>
  </si>
  <si>
    <t xml:space="preserve">5.3.1</t>
  </si>
  <si>
    <t xml:space="preserve">SIFÕES LAVATÓRIOS
Fornecimento e assentamento de sifões tipo garrafa, ou S de latão cromado a aplicar em lavatórios. Em conformidade com as peças desenhadas, incluindo todos os acessórios e trabalhos necessários.</t>
  </si>
  <si>
    <t xml:space="preserve">Sifões já incluídos nos lavatórios (3.16.1.3).</t>
  </si>
  <si>
    <t xml:space="preserve">5.3.1.1</t>
  </si>
  <si>
    <t xml:space="preserve">5.3.2</t>
  </si>
  <si>
    <t xml:space="preserve">SIFÕES MICTÓRIOS
Fornecimento e assentamento de sifões a aplicar em mictórios. Em conformidade com as peças desenhadas, incluindo todos os acessórios e trabalhos necessários.</t>
  </si>
  <si>
    <t xml:space="preserve">Sifões já incluídos nos urinóis (3.16.1.4). E são 7 para 6 urinóis.</t>
  </si>
  <si>
    <t xml:space="preserve">5.3.2.1</t>
  </si>
  <si>
    <t xml:space="preserve">5.3.3</t>
  </si>
  <si>
    <t xml:space="preserve">SIFÕES CHUVEIROS
Fornecimento e assentamento de sifões a aplicar em chuveiros em aço inox. Em conformidade com as peças desenhadas, incluindo todos os acessórios e trabalhos necessários.</t>
  </si>
  <si>
    <t xml:space="preserve">5.3.3.1</t>
  </si>
  <si>
    <t xml:space="preserve">5.3.4</t>
  </si>
  <si>
    <t xml:space="preserve">RALOS DE PAVIMENTO
Fornecimento e assentamento de ralos de pavimento sifonados, em ferro fundido dúctil. Incluindo ligação ao esgoto, todos os trabalhos e acessórios necessários, em conformidade com as peças desenhadas.</t>
  </si>
  <si>
    <t xml:space="preserve">5.3.4.1</t>
  </si>
  <si>
    <t xml:space="preserve">5.3.5</t>
  </si>
  <si>
    <t xml:space="preserve">CÂMARAS DE VISITA QUADRADAS Fornecimento e aplicação de caixa de visita rectangulares,  em betão pré-fabricado com 0,10m  de espessura e soleira em betão simples de 250 Kg de cimento por m3. Aro e tampa com dimensões 0.60x0.60m, em ferro fundido, rebaixado, com vedação hidráulica, enchimento igual ao do pavimento adjacente e com classe de resistência adequada ao local onde se insere e de acordo com a NP EN 124/1995. Inclui a instalação de degraus em varão de aço, revestidos a polipropileno, se aplicável, exceução de queda guiada nas caixas indicadas e todos os acessórios e trabalhos necessários em conformidade com as condições técnicas e os desenhos de pormenor.</t>
  </si>
  <si>
    <t xml:space="preserve">5.3.5.1</t>
  </si>
  <si>
    <t xml:space="preserve">Cx. Simples - rect. (1,00x1,00), 1,10&gt;h&gt;1,58</t>
  </si>
  <si>
    <t xml:space="preserve">5.3.6</t>
  </si>
  <si>
    <t xml:space="preserve">CÂMARA DE VISITA CIRCULAR
Execução de câmaras de visita simples ou de passagem em anéis pré-fabricados de betão com 0,10 de espessura, soleira em betão simples com acabamento a pó de cimento, afagado à colher, rebocadas interiormente a argamassa de cimento e areia, incluindo escavação e transporte a vazadouro dos materiais sobrantes, incluindo juntas de estanqueidade em anéis de borracha e degraus em aço DN12 revestidos a polipropileno, fundo em declive, tampa dotada de fecho hidráulico, em ferro fundido dúctil, com 0.60m de abertura útil, classe D400 (NP EN 124),  de acordo com as peças desenhadas e condições técnicas.</t>
  </si>
  <si>
    <t xml:space="preserve">5.3.6.1</t>
  </si>
  <si>
    <t xml:space="preserve">DN1,00; 1,40&lt;h&lt;2,50</t>
  </si>
  <si>
    <t xml:space="preserve">CV DN1000 até 2,5 m, D400, com escavação, a 520,82 €. Mesmo preço da CV de 1,0–1,5 m em 6.2.12.1.</t>
  </si>
  <si>
    <t xml:space="preserve">5.3.7</t>
  </si>
  <si>
    <t xml:space="preserve">CANAL COM GRELHA CHUVEIROS
Fornecimento e assentamento de caleiras de pavimento em ferro fundido, com grelha em ferro fundido, incluindo o sinfão a instalar e  todos os acessorios necessários, indicações do fabricante, incluindo aro, tampa e ligações, aplicar nas cozinhas, e instalações sanitárias. Em conformidade com as condições técnicas e as peças desenhadas, com as seguintes dimensões:</t>
  </si>
  <si>
    <t xml:space="preserve">Duplica 3.16.1.18. Texto refere 'cozinhas', que não existem no programa.</t>
  </si>
  <si>
    <t xml:space="preserve">5.3.8</t>
  </si>
  <si>
    <t xml:space="preserve">CAIXAS DE PAVIMENTO
Fornecimento e assentamento de caixas de reunião de pavimento, tipo sifão universal, em PVC rígido, com tampa metálica cromada, com um tubo de ligação e florão, incluindo a ligação ao esgoto e aos dispositivos, curvas de sifonagem, cortes e remates necessários, tampas de varejamento e curvas de sifonagem de acordo com as peças desenhadas e as condições técnica, para todos os diâmetros.</t>
  </si>
  <si>
    <t xml:space="preserve">5.3.9</t>
  </si>
  <si>
    <t xml:space="preserve">BOCAS DE LIMPEZA
Fornecimento e assentamento de bocas de limpeza, PVC-U de parede compacta, com método de união por boca com anel elastomérico (O-ring labial em TPE), série B, SN4, EN1329-1, a aplicar em coletores suspensos e tubos de queda, incluindo todos os acessórios e trabalhos necessários, de acordo com as peças desenhadas e condições técnicas, com o(s) diâmetro(s):</t>
  </si>
  <si>
    <t xml:space="preserve">5.3.9.1</t>
  </si>
  <si>
    <t xml:space="preserve">5.3.9.2</t>
  </si>
  <si>
    <t xml:space="preserve">5.3.9.3</t>
  </si>
  <si>
    <t xml:space="preserve">5.3.10</t>
  </si>
  <si>
    <t xml:space="preserve">CAPACETES
Fornecimento e assentamento de capacete em PVC-U de parede compacta, com método de união por boca com anel elastomérico (O-ring labial em TPE), série B, SN4, EN1329-1, e respetivos acessórios, destinada a rede de ventilação primária e secundária, incluindo elementos de fixação [abraçadeiras], pintura a tinta adequada das ligações com o mesmo método de união com anel de estanquidade , de acordo com as peças desenhadas e condições técnicas, com o(s) diâmetro(s):</t>
  </si>
  <si>
    <t xml:space="preserve">5.3.10.1</t>
  </si>
  <si>
    <t xml:space="preserve">DN90</t>
  </si>
  <si>
    <t xml:space="preserve">5.3.10.2</t>
  </si>
  <si>
    <t xml:space="preserve">DN110</t>
  </si>
  <si>
    <t xml:space="preserve">5.3.10.3</t>
  </si>
  <si>
    <t xml:space="preserve">5.4</t>
  </si>
  <si>
    <t xml:space="preserve">TRABALHOS DE CONSTRUÇÃO CIVIL DE APOIO E OUTROS</t>
  </si>
  <si>
    <t xml:space="preserve">5.4.1</t>
  </si>
  <si>
    <t xml:space="preserve">LIGAÇÃO À CAIXA DE VISITA EXISTENTE Execução da ligação à caixa de visita existente, incluindo fornecimento e assentamento de tubagem de PVC-U, SN4, EN 1401-1, do tipo abocardamento e ponta lisa com os respectivos acessórios, execução das ligações por abocardamento com anel de estanquidade de diâmetro indicado nas peças desenhadas, levantamento e reposição de pavimentos, abertura e tapamento de vala, transporte para vazadouro de expedentes, assentamento em almofada de material de granulometria fina (areia, saibro, pó de pedra, lamas secas, etc) com 0,30m de espessura, aterro do restante com materiais resultantes da escavação e/ou de empréstimo com cirandagem de terras para o envolvimento das tubagens, trabalhos de reparação e substituição, cortes e remates e todos os trabalhos e acessórios necessários a uma correcta execução em conformidade com as condições técnicas, peças desenhadas e indicações da Entidade Gestora.</t>
  </si>
  <si>
    <t xml:space="preserve">5.4.2</t>
  </si>
  <si>
    <t xml:space="preserve">DESVIO PROVISÓRIO DA REDE
Execução de um sistema de bombagem provisório da rede durante a fase de construção, incluindo a execução de um poço de bombagem em manilhas de betão pré-fabricadas, o fornecimento e instalação de um grupo de bombagem com características adequadas, tubagem em PVC-U PN10 e todos os acessórios, equipamentos e trabalhos complementares necessários ao seu correto e pleno funcionamento.</t>
  </si>
  <si>
    <t xml:space="preserve">5.4.3</t>
  </si>
  <si>
    <t xml:space="preserve">DESATIVAÇÃO DO DESVIO DA REDE Desativação do desvio provisório da rede, incluindo a remoção do grupo de bombagem, das tubagens e dos restantes acessórios, bem como a adaptação do poço de bombagem para caixa de visita, com enchimento em betão até à cota de soleira definida em projeto, de forma a permitir a ligação desta à restante rede. Inclui ainda todos os trabalhos, materiais e acessórios necessários à sua correta execução e ao seu perfeito funcionamento.</t>
  </si>
  <si>
    <t xml:space="preserve">5.4.4</t>
  </si>
  <si>
    <t xml:space="preserve">PINTURA DE REDE
Pintura da rede á vista e acessórios com as cores normalizadas de sinalização (de acordo com a norma NP - 182), com tintas baças semi brilhantes do tipo retardador ao fogo, de acordo com os desenhos de pormenor e as condições técnicas.</t>
  </si>
  <si>
    <t xml:space="preserve">VG</t>
  </si>
  <si>
    <t xml:space="preserve">5.4.5</t>
  </si>
  <si>
    <t xml:space="preserve">VERIFICAÇÕES, ENSAIOS E MANUTENÇÃO Verificações, ensaios e manutenção de todas as condutas de água, antes de entrarem em serviço, com o objetivo de assegurar a qualidade da execução e o seu funcionamento hidráulico, incluindo todos os materiais e equipamentos necessários às operações.</t>
  </si>
  <si>
    <t xml:space="preserve">100 € para ensaios. O texto fala de 'condutas de água' numa rede de residuais.</t>
  </si>
  <si>
    <t xml:space="preserve">5.4.6</t>
  </si>
  <si>
    <t xml:space="preserve">LEVANTAMENTO CADASTRAL
Levantamento cadastral das redes executadas elaboração das telas finais para entrega ao promotor e á entidade Gestora da Rede Pública.</t>
  </si>
  <si>
    <t xml:space="preserve">6</t>
  </si>
  <si>
    <t xml:space="preserve">REDE DE DRENAGEM DE ÁGUAS PLUVIAIS</t>
  </si>
  <si>
    <t xml:space="preserve">6.1</t>
  </si>
  <si>
    <t xml:space="preserve">6.1.1</t>
  </si>
  <si>
    <t xml:space="preserve">ESCAVAÇÃO
Abertura de vala em terreno de qualquer natureza para instalação de tubagem e equipamentos da Rede de Águas Residuais Pluviais, incluindo baldeação, regularização do fundo, sinalização com fita, remoção, transporte e espalhamento em vazadouro ou depósito provisório, e eventual indemnização por depósito, entivações e escoramento das valas com estacas prancha ou paineis metálicos a fornecer pelo empreiteiro, nos troços com profundidade de 1,20m. Iinclui montagem e desmontagem e todos os trabalhos e fornecimentos inerentes a uma perfeita estabilização das valas</t>
  </si>
  <si>
    <t xml:space="preserve">Inclui entivação com estacas-prancha/painéis metálicos a 5,5 €/m3. Irrealista.</t>
  </si>
  <si>
    <t xml:space="preserve">6.1.2</t>
  </si>
  <si>
    <t xml:space="preserve">REGULARIZAÇÃO DE FUNDO DE VALA Regularização com camada material de granulometria fina (areia, saibro, pó de pedra, lamas secas, etc)  de 0,20m de espessura, do fundo da vala para assentamento e envolvimento da tubagem de acordo com os desenhos de pormenor e do condições técnicas, para todos os diâmetros.</t>
  </si>
  <si>
    <t xml:space="preserve">6.1.3</t>
  </si>
  <si>
    <t xml:space="preserve">6.2</t>
  </si>
  <si>
    <t xml:space="preserve">6.2.1</t>
  </si>
  <si>
    <t xml:space="preserve">RAMAIS DE DESCARGA SUSPENSOS Fornecimento e assentamento de tubagem de PVC-U de parede compacta, com método de união por boca com anel elastomérico (O-ring labial em TPE), série B, SN4, EN1329-1, destinada aos ramais de descarga suspensos na rede de águas pluviais, e execução das ligações com o mesmo método de união, com anel de estanquidade, incluindo a fixação pontual dos tubos às paredes e/ou estrutura deverá ser efetuada através de braçadeiras de fixação,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e pintura a tinta adequada e execução das ligações por abocardamento com anel de estanquidade. As tubagens suspensas nos pisos habitacionais e comércio/serviço deverão ser envolvidas primeiramente em lã de rocha [e=30mm, 40 kg/m3] revestida exteriormente com folha de alumínio, sendo de seguida envolvidas com duas camadas de membrana elastómera auto-adesiva [tipo TECSOUND SY50], incluindo fornecimento e montagens de golas intumescentes para protecção corta fogo em atravessamentyo em material combustivel, incluindo carotagem de elementos estruturais, de acordo com os desenhos de pormenor e as condições técnicas, com o(s) diâmetro(s):</t>
  </si>
  <si>
    <t xml:space="preserve">6.2.1.1</t>
  </si>
  <si>
    <t xml:space="preserve">6.2.1.2</t>
  </si>
  <si>
    <t xml:space="preserve">6.2.1.3</t>
  </si>
  <si>
    <t xml:space="preserve">6.2.2</t>
  </si>
  <si>
    <t xml:space="preserve">TUBOS DE QUEDA INTERIORES EM PVC Fornecimento e assentamento de tubagem de PVC de parede compacta, com método de união por boca com anel elastomérico (O-ring labial em TPE), EN1329, série B e diâmetro de 400 série UD e respetivos acessórios, destinada aos tubos de queda da rede de águas residuais pluviais. Incluindo elementos de fixação [abraçadeiras], bocas de limpeza de 3 em 3 pisos, caso aplicável, curva de redução de velocidade de 4 em 4 pisos, caso aplicável, método de união por boca com anel elastomérico, carotagem de elementos estruturais, incluindo a fixação pontual dos tubos às paredes e/ou estrutura deverá ser efetuada através de braçadeiras de fixação de ferro galvanizado,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todas as ligações, acessórios e juntas de neoprene, na instalação de tubos de queda, as tubagens deverão ser envolvidas com membrana de polietileno reticular de célula fechada com 10 mm de espessura, incluindo tampa de varejamento, ligação aos restantes elementos da rede de Águas Residuais Pluviais e todos os acessórios e trabalhos necessários ao seu correto funcionamento, de acordo com as peças desenhadas e condições técnicas, com o(s) diâmetro(s):.</t>
  </si>
  <si>
    <t xml:space="preserve">'Diâmetro de 400 série UD' em tubos de queda DN110–160.</t>
  </si>
  <si>
    <t xml:space="preserve">6.2.2.1</t>
  </si>
  <si>
    <t xml:space="preserve">6.2.2.2</t>
  </si>
  <si>
    <t xml:space="preserve">6.2.2.3</t>
  </si>
  <si>
    <t xml:space="preserve">6.2.3</t>
  </si>
  <si>
    <t xml:space="preserve">TUBOS DE QUEDA EXTERIORES EM AÇO GALVANIZADO
Fornecimento e assentamento de tubagem em aço galvanizado série média e respetivos acessórios, destinada aos tubos de queda da rede de águas residuais pluviais exterior. Incluindo elementos de fixação [abraçadeiras], carotagem de elementos estruturais, incluindo a fixação pontual dos tubos às paredes e/ou estrutura deverá ser efetuada através de braçadeiras de fixação de ferro galvanizado,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todas as ligações, acessórios e juntas de neoprene, na instalação de tubos de queda, as tubagens deverão ser envolvidas com membrana de polietileno reticular de célula fechada com 10 mm de espessura, incluindo tampa de varejamento, ligação aos restantes elementos da rede de Águas Residuais Pluviais e todos os acessórios e trabalhos necessários ao seu correto funcionamento, de acordo com as peças desenhadas e condições técnicas, com o(s) diâmetro(s):.</t>
  </si>
  <si>
    <t xml:space="preserve">6.2.3.1</t>
  </si>
  <si>
    <t xml:space="preserve">6.2.3.2</t>
  </si>
  <si>
    <t xml:space="preserve">6.2.3.3</t>
  </si>
  <si>
    <t xml:space="preserve">6.2.3.4</t>
  </si>
  <si>
    <t xml:space="preserve">6.2.3.5</t>
  </si>
  <si>
    <t xml:space="preserve">DN 150</t>
  </si>
  <si>
    <t xml:space="preserve">6.2.3.6</t>
  </si>
  <si>
    <t xml:space="preserve">DN 200</t>
  </si>
  <si>
    <t xml:space="preserve">6.2.4</t>
  </si>
  <si>
    <t xml:space="preserve">COLECTORES SUSPENSOS
Fornecimento e assentamento de tubagem de PVC-U do tipo abocardamento e ponta lisa , série B , para uma pressão nominal de 6 [bar] , referenciada pela norma NP EN 1329-1 e respectivos acessórios, destinada aos colectores prediais suspensos da rede pluvial, incluindo a fixação pontual dos tubos às paredes e/ou estrutura deverá ser efetuada através de braçadeiras de fixação, com a zona de aperto no tubo revestida com faixa de membrana de aglomerado de borracha com 10 mm de espessura, do tipo "CDM-MTA-10" ou equivalente, (faixa com cerca de 10 cm de largura a envolver o tubo na zona de fixação do tubo à braçadeira, de forma a minimizar a transmissão de vibrações do tubo para o elemento de fixação às paredes e/ou estrutura do edifício) e pintura a tinta adequada e execução das ligações por abocardamento com anel de estanquidade, as tubagens suspensas nos pisos habitacionais e comércio/serviço deverão ser envolvidas primeiramente em lã de rocha [e=30mm, 40 kg/m3] revestida exteriormente com folha de alumínio, sendo de seguida envolvidas com duas camadas de membrana elastómera auto-adesiva [tipo RECSOUND SY50], incluindo carotagem de elementos estruturais,  selagem das aberturas em paredes corta-fogo, com golas intumescentes do tipo Flamocol da Tria, ou equivalente, de acordo com os desenhos de pormenor e condições técnicas, com o(s) diâmetro(s):</t>
  </si>
  <si>
    <t xml:space="preserve">6.2.4.1</t>
  </si>
  <si>
    <t xml:space="preserve">6.2.4.2</t>
  </si>
  <si>
    <t xml:space="preserve">6.2.5</t>
  </si>
  <si>
    <t xml:space="preserve">COLETORES ENTERRADOS EM PVC Fornecimento e assentamento de tubagem PVC-U Série UD, EN 1401, da classe SN4, do tipo abocardamento e ponta lisa, para zona de aplicação exterior, e respectivos acessórios, destinada à rede de coletores enterrada. Execução das ligações por abocardamento com anel de estanquidade, de acordo com os desenhos de pormenor e condições técnicas, com os diâmetros:</t>
  </si>
  <si>
    <t xml:space="preserve">6.2.5.1</t>
  </si>
  <si>
    <t xml:space="preserve">6.2.5.2</t>
  </si>
  <si>
    <t xml:space="preserve">6.2.5.3</t>
  </si>
  <si>
    <t xml:space="preserve">6.2.5.4</t>
  </si>
  <si>
    <t xml:space="preserve">6.2.5.5</t>
  </si>
  <si>
    <t xml:space="preserve">DN 250</t>
  </si>
  <si>
    <t xml:space="preserve">6.2.5.6</t>
  </si>
  <si>
    <t xml:space="preserve">DN 315</t>
  </si>
  <si>
    <t xml:space="preserve">6.2.5.7</t>
  </si>
  <si>
    <t xml:space="preserve">DN 400</t>
  </si>
  <si>
    <t xml:space="preserve">PVC DN400 a 45,24 €/m, mais barato que DN315 (63,38 €/m).</t>
  </si>
  <si>
    <t xml:space="preserve">6.2.6</t>
  </si>
  <si>
    <t xml:space="preserve">CANAL EM BETÃO POLIMERO GRELHADO Fornecimento e assentamento de canal pavimento  em betão polimero, com grelha integrada em aço galvanizado, de classe de resistência adequada ao local onde se insere e de acordo com a NP EN 124,  incluindo a execução da fundação, cortes, remates necessários no pavimento térreo, e todos os acessórios necessários. Em conformidade com as condições técnicas, as peças desenhadas e as indicações do fabricante com as seguintes dimensões:</t>
  </si>
  <si>
    <t xml:space="preserve">6.2.6.1</t>
  </si>
  <si>
    <t xml:space="preserve">100x150mm</t>
  </si>
  <si>
    <t xml:space="preserve">6.2.6.2</t>
  </si>
  <si>
    <t xml:space="preserve">200x150mm</t>
  </si>
  <si>
    <t xml:space="preserve">6.2.6.3</t>
  </si>
  <si>
    <t xml:space="preserve">200x300mm</t>
  </si>
  <si>
    <t xml:space="preserve">6.2.7</t>
  </si>
  <si>
    <t xml:space="preserve">CANAL EM BETÃO
Fornecimento e assentamento de canal pavimento  em em betão pré-fabricado, de classe de resistência adequada ao local onde se insere e de acordo com a NP EN 124,  incluindo a execução da fundação, cortes, remates necessários no pavimento térreo, e todos os acessórios necessários. Em conformidade com as condições técnicas, as peças desenhadas e as indicações do fabricante com as seguintes dimensões:</t>
  </si>
  <si>
    <t xml:space="preserve">6.2.7.1</t>
  </si>
  <si>
    <t xml:space="preserve">200x100mm</t>
  </si>
  <si>
    <t xml:space="preserve">6.2.7.2</t>
  </si>
  <si>
    <t xml:space="preserve">300x200mm</t>
  </si>
  <si>
    <t xml:space="preserve">6.2.8</t>
  </si>
  <si>
    <t xml:space="preserve">GEODRENO
Fornecimento e assentamento de Geodreno em PVC Corrugado Perfurado de dupla parede, segundo a EN 13476-1, incluindo o fornecimento de  brita 25/40mm envolvida em geotextil, incluindo levantamento e reposição de pavimentos, abertura e tapamento de vala, transporte para vazadouro de expedentes, aterro do restante com materiais resultantes da escavação e/ou de empréstimo com cirandagem de terras para o envolvimento das tubagens e todos os trabalhos e acessórios necessários a uma correcta execução em conformidade com as peças desenhadas e condições técnicas, com os seguintes diâmetros:</t>
  </si>
  <si>
    <t xml:space="preserve">Geodreno com brita, geotêxtil, vala e reposição de pavimentos a 3,56–10,60 €/m (ref. 22–35 €/m; 2.6.5 custa 20,32 €/m sem vala).</t>
  </si>
  <si>
    <t xml:space="preserve">6.2.8.1</t>
  </si>
  <si>
    <t xml:space="preserve">6.2.8.2</t>
  </si>
  <si>
    <t xml:space="preserve">6.2.8.3</t>
  </si>
  <si>
    <t xml:space="preserve">6.2.9</t>
  </si>
  <si>
    <t xml:space="preserve">GEODRENO BANCOS
Fornecimento e assentamento de Geodreno em PVC Corrugado Perfurado de dupla parede, segundo a EN 13476-1, incluindo o fornecimento de  brita 25/40mm envolvida em geotextil, incluindo levantamento e reposição de pavimentos, abertura e tapamento de vala, transporte para vazadouro de expedentes, aterro do restante com materiais resultantes da escavação e/ou de empréstimo com cirandagem de terras para o envolvimento das tubagens e todos os trabalhos e acessórios necessários a uma correcta execução em conformidade com as peças desenhadas e condições técnicas, com os seguintes diâmetros:</t>
  </si>
  <si>
    <t xml:space="preserve">Mesmo problema de 6.2.8 (7,65 €/m).</t>
  </si>
  <si>
    <t xml:space="preserve">6.2.9.1</t>
  </si>
  <si>
    <t xml:space="preserve">6.2.10</t>
  </si>
  <si>
    <t xml:space="preserve">RALOS DE PINHA
Fornecimento e assentamento de ralos de pinha em polietileno do tipo universal, para escoamento de águas pluviais de cobertura e palas incluindo remates, bocas de recolha e ligações aos tubos de queda. Em conformidade com as condições técnicas e as peças desenhadas.</t>
  </si>
  <si>
    <t xml:space="preserve">6.2.10.1</t>
  </si>
  <si>
    <t xml:space="preserve">6.2.10.2</t>
  </si>
  <si>
    <t xml:space="preserve">6.2.10.3</t>
  </si>
  <si>
    <t xml:space="preserve">6.2.11</t>
  </si>
  <si>
    <t xml:space="preserve">CÂMARAS DE VISITA RECTANGULARES Execução de caixa de visita rectangulares, em alvenaria de blocos maciços de betão com 0,10m  de espessura e soleira em betão simples de 250 Kg de cimento por m3. Aro e tampa com dimensões 0.60x0.60m, em ferro fundido, rebaixado, com vedação hidráulica, enchimento igual ao do pavimento adjacente e com classe de resistência adequada ao local onde se insere e de acordo com a NP EN 124/1995. Inclui a instalação de degraus em varão de aço, revestidos a polipropileno, se aplicável, execução de fundo roto e/ou queda guiada nas caixas, caso aplicável,  e todos os acessórios e trabalhos necessários em conformidade com as condições técnicas e os desenhos de pormenor.</t>
  </si>
  <si>
    <t xml:space="preserve">6.2.11.1</t>
  </si>
  <si>
    <t xml:space="preserve">Cx. Simples - rect. (0,60x0,60)</t>
  </si>
  <si>
    <t xml:space="preserve">6.2.11.2</t>
  </si>
  <si>
    <t xml:space="preserve">Cx. Fundo Roto - rect. (0,60x0,60)</t>
  </si>
  <si>
    <t xml:space="preserve">6.2.11.3</t>
  </si>
  <si>
    <t xml:space="preserve">Cx. Simples - rect. (0,80x0,80)</t>
  </si>
  <si>
    <t xml:space="preserve">6.2.11.4</t>
  </si>
  <si>
    <t xml:space="preserve">Cx. Simples - rect. (1.00x1.00), CRL H=2,80m</t>
  </si>
  <si>
    <t xml:space="preserve">Caixa 1,00x1,00 com H=2,80 m ao mesmo preço da caixa 0,80x0,80.</t>
  </si>
  <si>
    <t xml:space="preserve">6.2.11.5</t>
  </si>
  <si>
    <t xml:space="preserve">Cx. Simples - rect. (0,80x0,80), grelha quadrada</t>
  </si>
  <si>
    <t xml:space="preserve">6.2.11.6</t>
  </si>
  <si>
    <t xml:space="preserve">Cx. Simples - rect. (0,80x0,80), grelha circular</t>
  </si>
  <si>
    <t xml:space="preserve">6.2.12</t>
  </si>
  <si>
    <t xml:space="preserve">CÂMARA DE VISITA CIRCULAR
Fornecimento e montagem de câmaras de visita simples em anéis pré-fabricados de betão com 0,10m de espessura, soleira em betão simples com acabamento a pó de cimento, afagado à colher, rebocadas interiormente a argamassa de cimento e areia. Instalação de degraus em varão de aço, revestidos a polipropileno, tampa circular, com 0,60m de diâmetro, e aro em ferro fundido com classe de resistência adequada ao local onde se insere e de acordo com a NP EN 124/1995. Rebaixamento das tampas e enchimento igual ao do pavimento adjacente, aquando em percursos pedonais.  De acordo com as peças desenhadas e condições técnicas.</t>
  </si>
  <si>
    <t xml:space="preserve">6.2.12.1</t>
  </si>
  <si>
    <t xml:space="preserve">DN 1.00, 1,00&lt;h&lt;1,50m</t>
  </si>
  <si>
    <t xml:space="preserve">6.2.12.2</t>
  </si>
  <si>
    <t xml:space="preserve">DN 1.00, 1,50&lt;h&lt;2,50m</t>
  </si>
  <si>
    <t xml:space="preserve">6.2.12.3</t>
  </si>
  <si>
    <t xml:space="preserve">DN 1.25, h&gt;2,50m</t>
  </si>
  <si>
    <t xml:space="preserve">6.2.13</t>
  </si>
  <si>
    <t xml:space="preserve">CÂMARA DE VISITA NA LIGAÇÃO À TUBAGEM DE 500mm
Execução de câmaras de visita simples ou de passagem em anéis pré-fabricados de betão com 0,10 de espessura, até altura de 3,00m, e restante caixa com dimensões em planta de 1,50x1,50m2 quadrada em betão armado com 0,2 m de espessura,  soleira em betão simples com acabamento a pó de cimento, afagado à colher, rebocadas interiormente a argamassa de cimento e areia, incluindo escavação e transporte a vazadouro dos materiais sobrantes, degraus em varão de aço 12mm revestidos a polopropileno chumbados à parede, tampa circular com 0,60m de diâmetro e aro em ferro fundido reforçada da classe de resistência D400, incluindo execução de queda quiada ou simples, incluindo envolvimento da tubagem de entrada na caixa de visita em betão armado C35/45 XA3, aço S400 DN6//0,15 (helicoidal), com espessura de 0,20m e 0,5m de comprimento, de acordo com as peças desenhadas e condições técnicas.</t>
  </si>
  <si>
    <t xml:space="preserve">CV especial (caixa BA 1,5x1,5, D400, envolvimento C35/45) a 545,62 € (ref. 2,5–5 k€). Refere tubagem de 500 mm que não existe no MQT.</t>
  </si>
  <si>
    <t xml:space="preserve">6.2.13.1</t>
  </si>
  <si>
    <t xml:space="preserve">DN 1.25 e 1,50x1,50mm</t>
  </si>
  <si>
    <t xml:space="preserve">6.2.14</t>
  </si>
  <si>
    <t xml:space="preserve">SUMIDOURO
Fornecimento e montagem de sumidouro devidamente sifonado, em betão simples que se destinam à recolha de águas da zona de resíduos, constituído por elementos em conformidade com os requisitos dos seguintes documentos: NP EN 206-1, LNEC E464, NP EN 13369. Incluindo grelha em ferro fundido dúctil, EN-GJS-500, sistema antirroubo, segundo a norma DIN EN 1563, com as dimensões de 800x550 e classe de resistência C250 segundo a norma EN NP 124 e todos os trabalhos necessários ao seu correcto assentamento e funcionamento..</t>
  </si>
  <si>
    <t xml:space="preserve">6.2.15</t>
  </si>
  <si>
    <t xml:space="preserve">BOCAS DE LIMPEZA
Fornecimento e assentamento de bocas de limpeza, PVC-U de parede compacta, com método de união por boca com anel elastomérico (O-ring labial em TPE), série B, EN1329-1, a aplicar em ramais e coletores suspensos, envolvimento primeiramente em lã de rocha [e=30mm, 40 kg/m3] revestida exteriormente com folha de alumínio, sendo de seguida envolvidas com duas camadas de membrana elastómera auto-adesiva [tipo TECSOUND SY50]. As braçadeiras deverão apertar por fora ou sobre uma faixa de membrana de aglomerado de borracha [e=10mm, tipo "CDM-MTA-10" ou equivalente] e  todos os acessórios e trabalhos necessários, de acordo com as peças desenhadas e condições técnicas, com o(s) diâmetro(s):</t>
  </si>
  <si>
    <t xml:space="preserve">6.2.15.1</t>
  </si>
  <si>
    <t xml:space="preserve">6.2.15.2</t>
  </si>
  <si>
    <t xml:space="preserve">6.2.16</t>
  </si>
  <si>
    <t xml:space="preserve">CALEIRA COM RASGO
Fornecimento e assentamento de caleira com ranhura de 8mm, em aço inoxidável AISI304, do tipo ACO Modular 64 ou equivalente, incluindo quatro saidas horizontais. Incluindo ligação à rede de Águas Pluviais e compatibilização com terreno adjacente e todos os trabalhos e acessórios necessários, em conformidade com as peças desenhadas.</t>
  </si>
  <si>
    <t xml:space="preserve">6.2.16.1</t>
  </si>
  <si>
    <t xml:space="preserve">6.2.17</t>
  </si>
  <si>
    <t xml:space="preserve">SINALIZADOR DE CHEIA
Fornecimento e montagem de sinalizador de cheia para prevenir contra eventuais entupimentos nas entradas dos ramais de descarga, incluindo a ligação aos restantes elementos da rede de Águas Pluviais, aplicação de Espuma Elastométrica e execução da Masticagem e todos os acessórios e trabalhos necessários ao seu perfeito funcionamento. De acordo com os desenhos de pormenor.</t>
  </si>
  <si>
    <t xml:space="preserve">6.2.17.1</t>
  </si>
  <si>
    <t xml:space="preserve">6.2.18</t>
  </si>
  <si>
    <t xml:space="preserve">CALEIRA
Fornecimento e modelação de caleiras de recolha de águas de coberturas, em folha de zinco nº 12, incluindo quinagem, soldaduras a estanho, em conformidade com as peças desenhadas.</t>
  </si>
  <si>
    <t xml:space="preserve">Caleiras de zinco (196,6 m) já incluídas nos artigos de cobertura 3.3.1/3.3.2/3.3.5 e na nota 02. Zinco junto ao sistema FTB: verificar compatibilidade.</t>
  </si>
  <si>
    <t xml:space="preserve">6.2.18.1</t>
  </si>
  <si>
    <t xml:space="preserve">200x100 mm</t>
  </si>
  <si>
    <t xml:space="preserve">6.3</t>
  </si>
  <si>
    <t xml:space="preserve">TRABALHOS DE CONSTRUÇÃO CIVIL E DE APOIO</t>
  </si>
  <si>
    <t xml:space="preserve">6.3.1</t>
  </si>
  <si>
    <t xml:space="preserve">LIGAÇÃO Á CAIXA DE VISITA EXISTENTE Execução das ligações da nova rede à Caixa Existente, incluindo intersecções, verificação do estado de conservação das caixas de visita existentes, incluindo todos os trabalhos de reparação e/ou substituição se necessário.  incluindo todos os trabalhos e acessórios necessários a uma correcta execução em conformidade com as condições técnicas e peças desenhadas.</t>
  </si>
  <si>
    <t xml:space="preserve">6.3.2</t>
  </si>
  <si>
    <t xml:space="preserve">6.3.3</t>
  </si>
  <si>
    <t xml:space="preserve">6.3.4</t>
  </si>
  <si>
    <t xml:space="preserve">ENSAIOS, VERIFICAÇÕES E MANUTENÇÃO Execução de ensaios,verificações e manutenção de todas as condutas de água, antes de entrarem em serviço, com o objectivo de assegurar a qualidade da execução e o seu funcionamento hidráulico,incluindo todos os materiais e equipamentos necessários às operações de acordo com os requesitos regulamentos aplicaveis.</t>
  </si>
  <si>
    <t xml:space="preserve">200 € para ensaios da rede pluvial.</t>
  </si>
  <si>
    <t xml:space="preserve">6.3.5</t>
  </si>
  <si>
    <t xml:space="preserve">LEVANTAMENTO CADASTRAL
Levantamento cadastral das redes executadas elaboração das telas finais para entrega ao promotor e à entidade Gestora da Rede Pública.</t>
  </si>
  <si>
    <t xml:space="preserve">7</t>
  </si>
  <si>
    <t xml:space="preserve">INSTALAÇÕES ELÉTRICAS</t>
  </si>
  <si>
    <t xml:space="preserve">Artigos sem descrição técnica ('Q.G.P.', 'Tipo L1', 'Inversor Solar', 'Paineis Solares'). Impossível validar preço ou exigir conformidade: risco contratual.</t>
  </si>
  <si>
    <t xml:space="preserve">7.1</t>
  </si>
  <si>
    <t xml:space="preserve">ALIMENTAÇÃO DA ENERGIA E CORTE GERAL</t>
  </si>
  <si>
    <t xml:space="preserve">7.1.1</t>
  </si>
  <si>
    <t xml:space="preserve">Intervenção no QG Existente</t>
  </si>
  <si>
    <t xml:space="preserve">Intervenção no QG existente a 1.313,81 €. Confirmar potência disponível e eventual aumento de potência (E-Redes), não orçamentado.</t>
  </si>
  <si>
    <t xml:space="preserve">7.1.2</t>
  </si>
  <si>
    <t xml:space="preserve">Entrada de Energia</t>
  </si>
  <si>
    <t xml:space="preserve">7.1.2.1</t>
  </si>
  <si>
    <t xml:space="preserve">XV(0,6-1kV) - R4x1x185+G95</t>
  </si>
  <si>
    <t xml:space="preserve">7.1.2.2</t>
  </si>
  <si>
    <t xml:space="preserve">PEAD 110</t>
  </si>
  <si>
    <t xml:space="preserve">7.1.3</t>
  </si>
  <si>
    <t xml:space="preserve">Botoneira de corte geral dupla sinalização</t>
  </si>
  <si>
    <t xml:space="preserve">7.1.4</t>
  </si>
  <si>
    <t xml:space="preserve">Circuito para Botoneiras de corte Geral</t>
  </si>
  <si>
    <t xml:space="preserve">7.1.4.1</t>
  </si>
  <si>
    <t xml:space="preserve">XZ1(zh,frs)-U3G1,5 (alimentaçãp Q.G.P.)</t>
  </si>
  <si>
    <t xml:space="preserve">7.1.4.2</t>
  </si>
  <si>
    <t xml:space="preserve">XZ1(zh,frs)-U4x1,5</t>
  </si>
  <si>
    <t xml:space="preserve">7.1.4.3</t>
  </si>
  <si>
    <t xml:space="preserve">VD25 (zh)</t>
  </si>
  <si>
    <t xml:space="preserve">7.2</t>
  </si>
  <si>
    <t xml:space="preserve">CAMINHOS DE CABOS, CALHAS TÉCNICAS, CAIXAS E INFRAESTRUTURAS</t>
  </si>
  <si>
    <t xml:space="preserve">7.2.1</t>
  </si>
  <si>
    <t xml:space="preserve">Caminho de Cabos em chapa de aço macio (Instalações Elétricas)</t>
  </si>
  <si>
    <t xml:space="preserve">7.2.1.1</t>
  </si>
  <si>
    <t xml:space="preserve">500x60mm</t>
  </si>
  <si>
    <t xml:space="preserve">7.2.1.2</t>
  </si>
  <si>
    <t xml:space="preserve">300x60mm</t>
  </si>
  <si>
    <t xml:space="preserve">7.2.1.3</t>
  </si>
  <si>
    <t xml:space="preserve">200x60mm</t>
  </si>
  <si>
    <t xml:space="preserve">7.2.1.4</t>
  </si>
  <si>
    <t xml:space="preserve">100x60mm</t>
  </si>
  <si>
    <t xml:space="preserve">7.2.2</t>
  </si>
  <si>
    <t xml:space="preserve">Caminho de Cabos em chapa de aço macio com tampa (Instalações Elétricas)</t>
  </si>
  <si>
    <t xml:space="preserve">7.2.2.1</t>
  </si>
  <si>
    <t xml:space="preserve">7.2.3</t>
  </si>
  <si>
    <t xml:space="preserve">Caminho de Cabos em chapa de aço macio (Instalações de Telecomunicações e de Segurança - correntes fracas)</t>
  </si>
  <si>
    <t xml:space="preserve">7.2.3.1</t>
  </si>
  <si>
    <t xml:space="preserve">7.2.3.2</t>
  </si>
  <si>
    <t xml:space="preserve">7.2.3.3</t>
  </si>
  <si>
    <t xml:space="preserve">7.2.4</t>
  </si>
  <si>
    <t xml:space="preserve">Caminho de Cabos em chapa de aço macio (Instalações de Telecomunicações e de Segurança - correntes fracas) com tampa</t>
  </si>
  <si>
    <t xml:space="preserve">7.2.4.1</t>
  </si>
  <si>
    <t xml:space="preserve">7.2.5</t>
  </si>
  <si>
    <t xml:space="preserve">Caminho de Cabos em chapa de aço macio (Instalações exteriores - cobertura)</t>
  </si>
  <si>
    <t xml:space="preserve">7.2.5.1</t>
  </si>
  <si>
    <t xml:space="preserve">7.2.5.2</t>
  </si>
  <si>
    <t xml:space="preserve">7.2.6</t>
  </si>
  <si>
    <t xml:space="preserve">Calha Técnica PVC de dimensões:</t>
  </si>
  <si>
    <t xml:space="preserve">7.2.6.1</t>
  </si>
  <si>
    <t xml:space="preserve">110x50mm com tampa, separadores, e molduras</t>
  </si>
  <si>
    <t xml:space="preserve">7.2.7</t>
  </si>
  <si>
    <t xml:space="preserve">Tubos e caixas</t>
  </si>
  <si>
    <t xml:space="preserve">7.2.7.1</t>
  </si>
  <si>
    <t xml:space="preserve">Ø50</t>
  </si>
  <si>
    <t xml:space="preserve">7.2.7.2</t>
  </si>
  <si>
    <t xml:space="preserve">Caixa Passagem I3</t>
  </si>
  <si>
    <t xml:space="preserve">7.2.8</t>
  </si>
  <si>
    <t xml:space="preserve">Infraestruturas exteriores</t>
  </si>
  <si>
    <t xml:space="preserve">7.2.8.1</t>
  </si>
  <si>
    <t xml:space="preserve">Valas (incluindo abertura e fecho de vala, colocação dos tubos e compactação inertes)</t>
  </si>
  <si>
    <t xml:space="preserve">7.2.8.2</t>
  </si>
  <si>
    <t xml:space="preserve">Caixa de visita CVE, dimensões mínimas 600x600x800 mm</t>
  </si>
  <si>
    <t xml:space="preserve">7.2.8.3</t>
  </si>
  <si>
    <t xml:space="preserve">Tampa para caixa de visita CVE de passagem 400x400, com as inscrições Eletricidade</t>
  </si>
  <si>
    <t xml:space="preserve">Tampa de 400x400 para caixa de 600x600.</t>
  </si>
  <si>
    <t xml:space="preserve">7.2.8.4</t>
  </si>
  <si>
    <t xml:space="preserve">Tubagem enterrada</t>
  </si>
  <si>
    <t xml:space="preserve">7.2.8.4.1</t>
  </si>
  <si>
    <t xml:space="preserve">PEADØ110</t>
  </si>
  <si>
    <t xml:space="preserve">PEAD Ø110 com 155 m: igual a 7.1.2.2 (mesma quantidade e preço).</t>
  </si>
  <si>
    <t xml:space="preserve">7.2.8.4.2</t>
  </si>
  <si>
    <t xml:space="preserve">PEADØ63</t>
  </si>
  <si>
    <t xml:space="preserve">7.3</t>
  </si>
  <si>
    <t xml:space="preserve">REDE TERRA</t>
  </si>
  <si>
    <t xml:space="preserve">7.3.1</t>
  </si>
  <si>
    <t xml:space="preserve">Barras Colectoras de terra 8 ligações instalado em caixa CLE</t>
  </si>
  <si>
    <t xml:space="preserve">7.3.2</t>
  </si>
  <si>
    <t xml:space="preserve">Barras coletoras de terra 6 ligações instalados em Caixa CLE</t>
  </si>
  <si>
    <t xml:space="preserve">7.3.3</t>
  </si>
  <si>
    <t xml:space="preserve">Caixa PVC para alojamento de ligações de terra</t>
  </si>
  <si>
    <t xml:space="preserve">7.3.4</t>
  </si>
  <si>
    <t xml:space="preserve">Piquet de terra, ligação equipotencial dos postes de iluminação</t>
  </si>
  <si>
    <t xml:space="preserve">7.3.5</t>
  </si>
  <si>
    <t xml:space="preserve">Cabos</t>
  </si>
  <si>
    <t xml:space="preserve">7.3.5.1</t>
  </si>
  <si>
    <t xml:space="preserve">XZ1(zh)(frt)(0,6-1kV) - RG95</t>
  </si>
  <si>
    <t xml:space="preserve">7.3.5.2</t>
  </si>
  <si>
    <t xml:space="preserve">XZ1(zh)(frt)(0,6-1kV) - RG25</t>
  </si>
  <si>
    <t xml:space="preserve">7.3.5.3</t>
  </si>
  <si>
    <t xml:space="preserve">XZ1(zh)(frt)(0,6-1kV) - RG16</t>
  </si>
  <si>
    <t xml:space="preserve">7.3.5.4</t>
  </si>
  <si>
    <t xml:space="preserve">XZ1(zh)(frt)(0,6-1kV) - UG6</t>
  </si>
  <si>
    <t xml:space="preserve">7.3.5.5</t>
  </si>
  <si>
    <t xml:space="preserve">XV(0,6-1kV) - RG16</t>
  </si>
  <si>
    <t xml:space="preserve">7.3.5.6</t>
  </si>
  <si>
    <t xml:space="preserve">XV(0,6-1kV) - UG6</t>
  </si>
  <si>
    <t xml:space="preserve">7.3.5.7</t>
  </si>
  <si>
    <t xml:space="preserve">XZ1(zh)(frt)(0,6-1kV) - UG2,5</t>
  </si>
  <si>
    <t xml:space="preserve">7.3.6</t>
  </si>
  <si>
    <t xml:space="preserve">Tubagem Termoplástica</t>
  </si>
  <si>
    <t xml:space="preserve">7.3.6.1</t>
  </si>
  <si>
    <t xml:space="preserve">Ø63</t>
  </si>
  <si>
    <t xml:space="preserve">7.3.6.2</t>
  </si>
  <si>
    <t xml:space="preserve">Ø40</t>
  </si>
  <si>
    <t xml:space="preserve">7.3.6.3</t>
  </si>
  <si>
    <t xml:space="preserve">Ø25</t>
  </si>
  <si>
    <t xml:space="preserve">7.3.7</t>
  </si>
  <si>
    <t xml:space="preserve">Diversos</t>
  </si>
  <si>
    <t xml:space="preserve">7.3.7.1</t>
  </si>
  <si>
    <t xml:space="preserve">Trabalhos de melhoria da rede de terra, medições, e outros se verifiquem necessários para um bom sistema terra e demais trabalhos conforme descrito no caderno de encargos.</t>
  </si>
  <si>
    <t xml:space="preserve">7.4</t>
  </si>
  <si>
    <t xml:space="preserve">QUADROS ELÉTRICOS</t>
  </si>
  <si>
    <t xml:space="preserve">7.4.1</t>
  </si>
  <si>
    <t xml:space="preserve">Q.G.P.</t>
  </si>
  <si>
    <t xml:space="preserve">QGP a 2.648,86 € para uma entrada de 4x185 mm2 (~250–315 A). Ordem de grandeza: 8–13 k€.</t>
  </si>
  <si>
    <t xml:space="preserve">7.4.2</t>
  </si>
  <si>
    <t xml:space="preserve">Q.P.C.I.G.</t>
  </si>
  <si>
    <t xml:space="preserve">7.4.3</t>
  </si>
  <si>
    <t xml:space="preserve">Q.P.Pav.</t>
  </si>
  <si>
    <t xml:space="preserve">7.4.4</t>
  </si>
  <si>
    <t xml:space="preserve">Q.P.C.I.P.</t>
  </si>
  <si>
    <t xml:space="preserve">7.4.5</t>
  </si>
  <si>
    <t xml:space="preserve">Q.PV.AC</t>
  </si>
  <si>
    <t xml:space="preserve">7.5</t>
  </si>
  <si>
    <t xml:space="preserve">UNIDADES DE PRODUÇÃO DE ENERGIA PARA AUTO CONSUMO</t>
  </si>
  <si>
    <t xml:space="preserve">7.5.1</t>
  </si>
  <si>
    <t xml:space="preserve">Inversor Solar</t>
  </si>
  <si>
    <t xml:space="preserve">INCOMPATIBILIDADE</t>
  </si>
  <si>
    <t xml:space="preserve">3 inversores a 1.699,55 € (gama ~10–15 kW) para 192 painéis (~85–105 kWp com 450–550 Wp). Rácio DC/AC incoerente. Potências não especificadas.</t>
  </si>
  <si>
    <t xml:space="preserve">7.5.2</t>
  </si>
  <si>
    <t xml:space="preserve">Sistema Monitorização Remota</t>
  </si>
  <si>
    <t xml:space="preserve">7.5.3</t>
  </si>
  <si>
    <t xml:space="preserve">Paineis Solares</t>
  </si>
  <si>
    <t xml:space="preserve">Potência, tecnologia e garantia dos painéis não especificadas. Faltam proteções DC/AC e descarregadores, registo da UPAC (DL 15/2022) e verificação estrutural da cobertura.</t>
  </si>
  <si>
    <t xml:space="preserve">7.5.4</t>
  </si>
  <si>
    <t xml:space="preserve">Estrutura de suporte dos painéis</t>
  </si>
  <si>
    <t xml:space="preserve">7.5.5</t>
  </si>
  <si>
    <t xml:space="preserve">Instalação Elétrica, parametrização e configuração do sistema, testes e colocação em serviço.</t>
  </si>
  <si>
    <t xml:space="preserve">7.6</t>
  </si>
  <si>
    <t xml:space="preserve">CIRCUITOS PRINCIPAIS</t>
  </si>
  <si>
    <t xml:space="preserve">7.6.1</t>
  </si>
  <si>
    <t xml:space="preserve">7.6.1.1</t>
  </si>
  <si>
    <t xml:space="preserve">XZ1(zh)(frt)(0,6-1kV) - R5G70</t>
  </si>
  <si>
    <t xml:space="preserve">7.6.1.2</t>
  </si>
  <si>
    <t xml:space="preserve">XZ1(zh)(frt)(0,6-1kV) - R5G50</t>
  </si>
  <si>
    <t xml:space="preserve">7.6.1.3</t>
  </si>
  <si>
    <t xml:space="preserve">XZ1(zh)(frt)(0,6-1kV) - R5G16</t>
  </si>
  <si>
    <t xml:space="preserve">7.6.1.4</t>
  </si>
  <si>
    <t xml:space="preserve">XZ1(zh)(frt)(0,6-1kV) - U5G4</t>
  </si>
  <si>
    <t xml:space="preserve">7.6.1.5</t>
  </si>
  <si>
    <t xml:space="preserve">OFLEX SOLAR XLWP 2x6 + T</t>
  </si>
  <si>
    <t xml:space="preserve">7.6.1.6</t>
  </si>
  <si>
    <t xml:space="preserve">7.6.2</t>
  </si>
  <si>
    <t xml:space="preserve">VD90</t>
  </si>
  <si>
    <t xml:space="preserve">Numeração: título 7.6.1.6 'Tubagem' com itens em 7.6.2/7.6.2.x.</t>
  </si>
  <si>
    <t xml:space="preserve">7.6.2.1</t>
  </si>
  <si>
    <t xml:space="preserve">VD63</t>
  </si>
  <si>
    <t xml:space="preserve">7.6.2.2</t>
  </si>
  <si>
    <t xml:space="preserve">VD40</t>
  </si>
  <si>
    <t xml:space="preserve">7.7</t>
  </si>
  <si>
    <t xml:space="preserve">ILUMINAÇÃO NORMAL E DE SEGURANÇA</t>
  </si>
  <si>
    <t xml:space="preserve">7.7.1</t>
  </si>
  <si>
    <t xml:space="preserve">Redes</t>
  </si>
  <si>
    <t xml:space="preserve">7.7.1.1</t>
  </si>
  <si>
    <t xml:space="preserve">Cabos e Condutores</t>
  </si>
  <si>
    <t xml:space="preserve">7.7.1.1.1</t>
  </si>
  <si>
    <t xml:space="preserve">.XZ1(zh)(frt)(0,6-1kV) - U4G1,5</t>
  </si>
  <si>
    <t xml:space="preserve">7.7.1.1.2</t>
  </si>
  <si>
    <t xml:space="preserve">.XZ1(zh)(frt)(0,6-1kV) - U3G1,5</t>
  </si>
  <si>
    <t xml:space="preserve">Retirado após verificação independente: cabo total de iluminação 3.855 m para 311 pontos (224 luminárias + 87 blocos) ≈ 12,4 m/ponto, rácio habitual. Sem ação.</t>
  </si>
  <si>
    <t xml:space="preserve">7.7.1.1.3</t>
  </si>
  <si>
    <t xml:space="preserve">.XZ1(zh)(frt)(0,6-1kV) - U3x1,5</t>
  </si>
  <si>
    <t xml:space="preserve">7.7.1.1.4</t>
  </si>
  <si>
    <t xml:space="preserve">.XZ1(zh)(frt)(0,6-1kV) - U2x1,5
(Inclui ligação dos blocos autónomos ao telecomando)</t>
  </si>
  <si>
    <t xml:space="preserve">7.7.1.1.5</t>
  </si>
  <si>
    <t xml:space="preserve">.XZ1(zh)(frt)(0,6-1kV) - U3G2,5</t>
  </si>
  <si>
    <t xml:space="preserve">7.7.1.1.6</t>
  </si>
  <si>
    <t xml:space="preserve">.XV (0,6-1kV) - U5G4</t>
  </si>
  <si>
    <t xml:space="preserve">7.7.1.2</t>
  </si>
  <si>
    <t xml:space="preserve">Tubagem</t>
  </si>
  <si>
    <t xml:space="preserve">7.7.1.2.1</t>
  </si>
  <si>
    <t xml:space="preserve">. VD 20</t>
  </si>
  <si>
    <t xml:space="preserve">7.7.1.2.2</t>
  </si>
  <si>
    <t xml:space="preserve">. Inox 1</t>
  </si>
  <si>
    <t xml:space="preserve">7.7.1.3</t>
  </si>
  <si>
    <t xml:space="preserve">Caixas de Derivação em PVC</t>
  </si>
  <si>
    <t xml:space="preserve">7.7.1.3.1</t>
  </si>
  <si>
    <t xml:space="preserve">.Montagem saliente</t>
  </si>
  <si>
    <t xml:space="preserve">7.7.2</t>
  </si>
  <si>
    <t xml:space="preserve">Aparelhagem
(incluindo caixa de aparelhagem funda quando encastrada)</t>
  </si>
  <si>
    <t xml:space="preserve">7.7.2.1</t>
  </si>
  <si>
    <t xml:space="preserve">Interruptor monofásico</t>
  </si>
  <si>
    <t xml:space="preserve">7.7.2.1.1</t>
  </si>
  <si>
    <t xml:space="preserve">.Montagem Saliente</t>
  </si>
  <si>
    <t xml:space="preserve">7.7.2.2</t>
  </si>
  <si>
    <t xml:space="preserve">Comutador de lustre</t>
  </si>
  <si>
    <t xml:space="preserve">7.7.2.2.1</t>
  </si>
  <si>
    <t xml:space="preserve">7.7.3</t>
  </si>
  <si>
    <t xml:space="preserve">Aparelhos de Iluminação e Equipamento Complementar</t>
  </si>
  <si>
    <t xml:space="preserve">7.7.3.1</t>
  </si>
  <si>
    <t xml:space="preserve">Iluminação Normal</t>
  </si>
  <si>
    <t xml:space="preserve">7.7.3.1.1</t>
  </si>
  <si>
    <t xml:space="preserve">.Tipo L1</t>
  </si>
  <si>
    <t xml:space="preserve">7.7.3.1.2</t>
  </si>
  <si>
    <t xml:space="preserve">.Tipo L2</t>
  </si>
  <si>
    <t xml:space="preserve">7.7.3.1.3</t>
  </si>
  <si>
    <t xml:space="preserve">.Tipo L3</t>
  </si>
  <si>
    <t xml:space="preserve">7.7.3.1.4</t>
  </si>
  <si>
    <t xml:space="preserve">.Tipo L4</t>
  </si>
  <si>
    <t xml:space="preserve">7.7.3.1.5</t>
  </si>
  <si>
    <t xml:space="preserve">.Tipo L5</t>
  </si>
  <si>
    <t xml:space="preserve">7.7.3.1.6</t>
  </si>
  <si>
    <t xml:space="preserve">.Tipo P1</t>
  </si>
  <si>
    <t xml:space="preserve">7.7.3.1.7</t>
  </si>
  <si>
    <t xml:space="preserve">.Tipo P2</t>
  </si>
  <si>
    <t xml:space="preserve">Luminárias do pavilhão sem requisito de resistência ao impacto de bola nem classe de iluminação EN 12193.</t>
  </si>
  <si>
    <t xml:space="preserve">7.7.3.1.8</t>
  </si>
  <si>
    <t xml:space="preserve">.Tipo P3</t>
  </si>
  <si>
    <t xml:space="preserve">7.7.3.1.9</t>
  </si>
  <si>
    <t xml:space="preserve">.Postes 12m para luminárias P3</t>
  </si>
  <si>
    <t xml:space="preserve">Poste de 12 m a 570,65 €, sem maciço de fundação.</t>
  </si>
  <si>
    <t xml:space="preserve">7.7.3.1.10</t>
  </si>
  <si>
    <t xml:space="preserve">.Tipo E1 (incluindo poste de 3,5m)</t>
  </si>
  <si>
    <t xml:space="preserve">7.7.3.2</t>
  </si>
  <si>
    <t xml:space="preserve">Iluminação Segurança (Blocos Autónomos)</t>
  </si>
  <si>
    <t xml:space="preserve">7.7.3.2.1</t>
  </si>
  <si>
    <t xml:space="preserve">. Tipo S1</t>
  </si>
  <si>
    <t xml:space="preserve">7.7.3.2.2</t>
  </si>
  <si>
    <t xml:space="preserve">. Tipo S2</t>
  </si>
  <si>
    <t xml:space="preserve">7.7.3.2.3</t>
  </si>
  <si>
    <t xml:space="preserve">. Grelhas de proteção para blocos S2</t>
  </si>
  <si>
    <t xml:space="preserve">7.7.3.2.4</t>
  </si>
  <si>
    <t xml:space="preserve">. Tipo S3</t>
  </si>
  <si>
    <t xml:space="preserve">7.7.4</t>
  </si>
  <si>
    <t xml:space="preserve">Detetores de Movimento</t>
  </si>
  <si>
    <t xml:space="preserve">7.7.4.1</t>
  </si>
  <si>
    <t xml:space="preserve">.Montagem saliente (360º)</t>
  </si>
  <si>
    <t xml:space="preserve">7.7.5</t>
  </si>
  <si>
    <t xml:space="preserve">Telecomando</t>
  </si>
  <si>
    <t xml:space="preserve">7.7.5.1</t>
  </si>
  <si>
    <t xml:space="preserve">.Equipamento de Telecomando de Iluminação de Segurança</t>
  </si>
  <si>
    <t xml:space="preserve">7.8</t>
  </si>
  <si>
    <t xml:space="preserve">TOMADAS E ALIMENTAÇÃO DE EQUIPAMENTOS</t>
  </si>
  <si>
    <t xml:space="preserve">7.8.1</t>
  </si>
  <si>
    <t xml:space="preserve">7.8.1.1</t>
  </si>
  <si>
    <t xml:space="preserve">7.8.1.1.1</t>
  </si>
  <si>
    <t xml:space="preserve">XZ1(zh)(frt)(0,6-1kV) - U3G2,5</t>
  </si>
  <si>
    <t xml:space="preserve">7.8.1.2</t>
  </si>
  <si>
    <t xml:space="preserve">7.8.1.2.1</t>
  </si>
  <si>
    <t xml:space="preserve">à vista</t>
  </si>
  <si>
    <t xml:space="preserve">7.8.1.2.1.1</t>
  </si>
  <si>
    <t xml:space="preserve">VD 25</t>
  </si>
  <si>
    <t xml:space="preserve">7.8.1.2.1.2</t>
  </si>
  <si>
    <t xml:space="preserve">Inox Ø25 Metálico</t>
  </si>
  <si>
    <t xml:space="preserve">7.8.1.2.2</t>
  </si>
  <si>
    <t xml:space="preserve">embedida</t>
  </si>
  <si>
    <t xml:space="preserve">7.8.1.2.2.1</t>
  </si>
  <si>
    <t xml:space="preserve">Ø 20</t>
  </si>
  <si>
    <t xml:space="preserve">7.8.1.3</t>
  </si>
  <si>
    <t xml:space="preserve">Caixas</t>
  </si>
  <si>
    <t xml:space="preserve">7.8.1.3.1</t>
  </si>
  <si>
    <t xml:space="preserve">Derivação salientes</t>
  </si>
  <si>
    <t xml:space="preserve">7.8.1.3.2</t>
  </si>
  <si>
    <t xml:space="preserve">Terminais de equipamentos com bornes ligação</t>
  </si>
  <si>
    <t xml:space="preserve">Alimentações dedicadas não identificadas: 16 secadores de mãos (~1,5–2,5 kW cada), estores, cortina CF, bancada, portões, 2.ª central de desenfumagem, ascensor.</t>
  </si>
  <si>
    <t xml:space="preserve">7.8.2</t>
  </si>
  <si>
    <t xml:space="preserve">Aparelhagem (incluindo caixa de aparelhagem funda)</t>
  </si>
  <si>
    <t xml:space="preserve">7.8.2.1</t>
  </si>
  <si>
    <t xml:space="preserve">Tomadas Monofásicas</t>
  </si>
  <si>
    <t xml:space="preserve">7.8.2.1.1</t>
  </si>
  <si>
    <t xml:space="preserve">.T1 (embebida)</t>
  </si>
  <si>
    <t xml:space="preserve">7.8.2.1.2</t>
  </si>
  <si>
    <t xml:space="preserve">.T3 (Saliente IP55)</t>
  </si>
  <si>
    <t xml:space="preserve">7.8.2.1.3</t>
  </si>
  <si>
    <t xml:space="preserve">.T4 (em calha)</t>
  </si>
  <si>
    <t xml:space="preserve">7.8.3</t>
  </si>
  <si>
    <t xml:space="preserve">Audiovisuais Sala Multiusos</t>
  </si>
  <si>
    <t xml:space="preserve">7.8.3.1</t>
  </si>
  <si>
    <t xml:space="preserve">Tomada HDMI (T3)</t>
  </si>
  <si>
    <t xml:space="preserve">7.8.3.2</t>
  </si>
  <si>
    <t xml:space="preserve">Tomadas USB (T3)</t>
  </si>
  <si>
    <t xml:space="preserve">7.8.3.3</t>
  </si>
  <si>
    <t xml:space="preserve">HDMI Cord</t>
  </si>
  <si>
    <t xml:space="preserve">7.8.3.4</t>
  </si>
  <si>
    <t xml:space="preserve">Cabo USB tipo A</t>
  </si>
  <si>
    <t xml:space="preserve">Cabo USB de 10 m (USB passivo não passa de ~5 m).</t>
  </si>
  <si>
    <t xml:space="preserve">7.9</t>
  </si>
  <si>
    <t xml:space="preserve">SISTEMA DE CHAMADA DE EMERGÊNCIA</t>
  </si>
  <si>
    <t xml:space="preserve">7.9.1</t>
  </si>
  <si>
    <t xml:space="preserve">Consola</t>
  </si>
  <si>
    <t xml:space="preserve">7.9.2</t>
  </si>
  <si>
    <t xml:space="preserve">Botão de cancelamento para WC tipo IO</t>
  </si>
  <si>
    <t xml:space="preserve">7.9.3</t>
  </si>
  <si>
    <t xml:space="preserve">Cordão de chamada para WC tipo IO</t>
  </si>
  <si>
    <t xml:space="preserve">7.9.4</t>
  </si>
  <si>
    <t xml:space="preserve">Sinalizador luminoso tipo IO</t>
  </si>
  <si>
    <t xml:space="preserve">7.9.5</t>
  </si>
  <si>
    <t xml:space="preserve">Switch dedicado</t>
  </si>
  <si>
    <t xml:space="preserve">7.9.6</t>
  </si>
  <si>
    <t xml:space="preserve">Fontes de alimentação 24V/5A</t>
  </si>
  <si>
    <t xml:space="preserve">7.9.7</t>
  </si>
  <si>
    <t xml:space="preserve">Servidor</t>
  </si>
  <si>
    <t xml:space="preserve">7.9.8</t>
  </si>
  <si>
    <t xml:space="preserve">Tubos, Cabos e Condutores</t>
  </si>
  <si>
    <t xml:space="preserve">7.9.8.1</t>
  </si>
  <si>
    <t xml:space="preserve">Patch Cord RJ45 cat 6</t>
  </si>
  <si>
    <t xml:space="preserve">7.9.8.2</t>
  </si>
  <si>
    <t xml:space="preserve">Cabo FVV 24VDC 2x1,5</t>
  </si>
  <si>
    <t xml:space="preserve">7.9.8.3</t>
  </si>
  <si>
    <t xml:space="preserve">Cabo F/UTP Cet 5E AWG24</t>
  </si>
  <si>
    <t xml:space="preserve">7.9.8.4</t>
  </si>
  <si>
    <t xml:space="preserve">.Ø20</t>
  </si>
  <si>
    <t xml:space="preserve">7.9.9</t>
  </si>
  <si>
    <t xml:space="preserve">Configuração, ensaios, colocação em serviço e formação</t>
  </si>
  <si>
    <t xml:space="preserve">7.10</t>
  </si>
  <si>
    <t xml:space="preserve">INFRAESTRUTURAS ELECTRICAS PARA INSTALAÇÕES DE SEGURANÇA ATIVA</t>
  </si>
  <si>
    <t xml:space="preserve">7.10.1</t>
  </si>
  <si>
    <t xml:space="preserve">7.10.1.1</t>
  </si>
  <si>
    <t xml:space="preserve">7.10.1.2</t>
  </si>
  <si>
    <t xml:space="preserve">. VD 25</t>
  </si>
  <si>
    <t xml:space="preserve">7.10.1.3</t>
  </si>
  <si>
    <t xml:space="preserve">7.11</t>
  </si>
  <si>
    <t xml:space="preserve">COMPARTIMENTAÇÃO CORTA-FOGO (COLMATAGENS)</t>
  </si>
  <si>
    <t xml:space="preserve">7.11.1</t>
  </si>
  <si>
    <t xml:space="preserve">Seccionamento dos ductos técnicos</t>
  </si>
  <si>
    <t xml:space="preserve">7.11.2</t>
  </si>
  <si>
    <t xml:space="preserve">Atravessamentos</t>
  </si>
  <si>
    <t xml:space="preserve">7.12</t>
  </si>
  <si>
    <t xml:space="preserve">Verificações e Ensaios
Conforme especificado em C.E.</t>
  </si>
  <si>
    <t xml:space="preserve">7.12.1</t>
  </si>
  <si>
    <t xml:space="preserve">Verificações Conforme especificado em C.E.</t>
  </si>
  <si>
    <t xml:space="preserve">Verificações e ensaios a 200 € no total. Certificação por entidade inspetora não incluída.</t>
  </si>
  <si>
    <t xml:space="preserve">7.12.2</t>
  </si>
  <si>
    <t xml:space="preserve">Ensaios Conforme especificado em C.E.</t>
  </si>
  <si>
    <t xml:space="preserve">7.13</t>
  </si>
  <si>
    <t xml:space="preserve">Estudos e Desenhos para a Execução da Obra. Desenhos da Obra Executada</t>
  </si>
  <si>
    <t xml:space="preserve">7.13.1</t>
  </si>
  <si>
    <t xml:space="preserve">Estudos e Desenhos para a Execução da Obra</t>
  </si>
  <si>
    <t xml:space="preserve">Estudos e desenhos de execução a 100 €.</t>
  </si>
  <si>
    <t xml:space="preserve">7.13.2</t>
  </si>
  <si>
    <t xml:space="preserve">Desenhos Finais da Obra Executada (Telas Finais)</t>
  </si>
  <si>
    <t xml:space="preserve">8</t>
  </si>
  <si>
    <t xml:space="preserve">INSTALAÇÕES DE TELECOMUNICAÇÕES</t>
  </si>
  <si>
    <t xml:space="preserve">Capítulo de 9.864 € (0,22%): sem ativos de rede/Wi-Fi e sem ensaios/certificação ITED.</t>
  </si>
  <si>
    <t xml:space="preserve">8.1</t>
  </si>
  <si>
    <t xml:space="preserve">LIGAÇÃO COM REDE EXISTENTE E REDE EXTERIOR</t>
  </si>
  <si>
    <t xml:space="preserve">8.1.1</t>
  </si>
  <si>
    <t xml:space="preserve">Caixas de Visita</t>
  </si>
  <si>
    <t xml:space="preserve">8.1.1.1</t>
  </si>
  <si>
    <t xml:space="preserve">Caixas de Visita CVR 1</t>
  </si>
  <si>
    <t xml:space="preserve">8.1.1.2</t>
  </si>
  <si>
    <t xml:space="preserve">Caixas de Visita CVR 2</t>
  </si>
  <si>
    <t xml:space="preserve">8.1.2</t>
  </si>
  <si>
    <t xml:space="preserve">Tampa das caixas de visita</t>
  </si>
  <si>
    <t xml:space="preserve">8.1.3</t>
  </si>
  <si>
    <t xml:space="preserve">Tubos</t>
  </si>
  <si>
    <t xml:space="preserve">8.1.3.1</t>
  </si>
  <si>
    <t xml:space="preserve">.PEAD 40</t>
  </si>
  <si>
    <t xml:space="preserve">8.2</t>
  </si>
  <si>
    <t xml:space="preserve">REDE DE TUBOS E CAIXAS</t>
  </si>
  <si>
    <t xml:space="preserve">8.2.1</t>
  </si>
  <si>
    <t xml:space="preserve">Rede de Tubagem e Caixas</t>
  </si>
  <si>
    <t xml:space="preserve">8.2.1.1</t>
  </si>
  <si>
    <t xml:space="preserve">. Tubo Ø25</t>
  </si>
  <si>
    <t xml:space="preserve">8.3</t>
  </si>
  <si>
    <t xml:space="preserve">ARMÁRIOS DE TELECOMUNICAÇÕES (Equipado de acordo com o descrito no Caderno de Encargos e com espaço para equipamentos ativos)</t>
  </si>
  <si>
    <t xml:space="preserve">8.3.1</t>
  </si>
  <si>
    <t xml:space="preserve">Pontos de Distribuição Rede Estruturada de Cablagem</t>
  </si>
  <si>
    <t xml:space="preserve">8.3.1.1</t>
  </si>
  <si>
    <t xml:space="preserve">PD Pav</t>
  </si>
  <si>
    <t xml:space="preserve">8.3.1.2</t>
  </si>
  <si>
    <t xml:space="preserve">Intervenção do PD Principal</t>
  </si>
  <si>
    <t xml:space="preserve">8.4</t>
  </si>
  <si>
    <t xml:space="preserve">REDE DE CABOS</t>
  </si>
  <si>
    <t xml:space="preserve">8.4.1</t>
  </si>
  <si>
    <t xml:space="preserve">Rede de Cabos de Pares de Cobre F/UTP 4/ Cat.6a</t>
  </si>
  <si>
    <t xml:space="preserve">8.4.2</t>
  </si>
  <si>
    <t xml:space="preserve">Cabo fibra óptica multimodo OM4</t>
  </si>
  <si>
    <t xml:space="preserve">8.5</t>
  </si>
  <si>
    <t xml:space="preserve">Conetores, tomadas e Ativos</t>
  </si>
  <si>
    <t xml:space="preserve">8.5.1</t>
  </si>
  <si>
    <t xml:space="preserve">Tomadas pares de cobre</t>
  </si>
  <si>
    <t xml:space="preserve">8.5.1.1</t>
  </si>
  <si>
    <t xml:space="preserve">.T3</t>
  </si>
  <si>
    <t xml:space="preserve">8.5.2</t>
  </si>
  <si>
    <t xml:space="preserve">Tomadas duplas pares de cobre</t>
  </si>
  <si>
    <t xml:space="preserve">8.5.2.1</t>
  </si>
  <si>
    <t xml:space="preserve">8.5.2.2</t>
  </si>
  <si>
    <t xml:space="preserve">.T4</t>
  </si>
  <si>
    <t xml:space="preserve">8.6</t>
  </si>
  <si>
    <t xml:space="preserve">Rede de terra</t>
  </si>
  <si>
    <t xml:space="preserve">8.6.1</t>
  </si>
  <si>
    <t xml:space="preserve">Fio H07V - U1G6mm</t>
  </si>
  <si>
    <t xml:space="preserve">8.6.2</t>
  </si>
  <si>
    <t xml:space="preserve">Fio H07V - U1G2,5mm</t>
  </si>
  <si>
    <t xml:space="preserve">8.6.3</t>
  </si>
  <si>
    <t xml:space="preserve">Fio H07V - U1G1,5mm</t>
  </si>
  <si>
    <t xml:space="preserve">8.6.4</t>
  </si>
  <si>
    <t xml:space="preserve">8.6.5</t>
  </si>
  <si>
    <t xml:space="preserve">Ø32</t>
  </si>
  <si>
    <t xml:space="preserve">9</t>
  </si>
  <si>
    <t xml:space="preserve">SEGURANÇA CONTRA INCÊNDIO</t>
  </si>
  <si>
    <t xml:space="preserve">Sem plantas de emergência. Só 1 extintor CO2 para vários quadros (QGP, QPPav, QPCIG, QPV.AC, QEAC, inversores).</t>
  </si>
  <si>
    <t xml:space="preserve">9.1</t>
  </si>
  <si>
    <t xml:space="preserve">EXTINTORES</t>
  </si>
  <si>
    <t xml:space="preserve">9.1.1</t>
  </si>
  <si>
    <t xml:space="preserve">Extintor de Água AFFF:</t>
  </si>
  <si>
    <t xml:space="preserve">9.1.1.1</t>
  </si>
  <si>
    <t xml:space="preserve">6 L</t>
  </si>
  <si>
    <t xml:space="preserve">9.1.2</t>
  </si>
  <si>
    <t xml:space="preserve">Extintor de Anidrido Carbónico (CO2):</t>
  </si>
  <si>
    <t xml:space="preserve">9.1.2.1</t>
  </si>
  <si>
    <t xml:space="preserve">5 Kg</t>
  </si>
  <si>
    <t xml:space="preserve">9.2</t>
  </si>
  <si>
    <t xml:space="preserve">SINALIZAÇÃO DE SEGURANÇA</t>
  </si>
  <si>
    <t xml:space="preserve">9.2.1</t>
  </si>
  <si>
    <t xml:space="preserve">Dístico fotoluminescente de sinalização dos equipamentos de segurança e elevadores:</t>
  </si>
  <si>
    <t xml:space="preserve">9.2.1.1</t>
  </si>
  <si>
    <t xml:space="preserve">S296 (200 x 200 mm)</t>
  </si>
  <si>
    <t xml:space="preserve">9.2.1.2</t>
  </si>
  <si>
    <t xml:space="preserve">S297 (200 x 200 mm)</t>
  </si>
  <si>
    <t xml:space="preserve">9.2.1.3</t>
  </si>
  <si>
    <t xml:space="preserve">S307 (200 x 200 mm)</t>
  </si>
  <si>
    <t xml:space="preserve">9.2.1.4</t>
  </si>
  <si>
    <t xml:space="preserve">S902 (400 x 200 mm)</t>
  </si>
  <si>
    <t xml:space="preserve">9.2.1.5</t>
  </si>
  <si>
    <t xml:space="preserve">S0803 (400 x 200 mm)</t>
  </si>
  <si>
    <t xml:space="preserve">9.2.1.6</t>
  </si>
  <si>
    <t xml:space="preserve">S0896 (400 x 200 mm)</t>
  </si>
  <si>
    <t xml:space="preserve">9.2.1.7</t>
  </si>
  <si>
    <t xml:space="preserve">S392 (400 x 200 mm)</t>
  </si>
  <si>
    <t xml:space="preserve">9.2.1.8</t>
  </si>
  <si>
    <t xml:space="preserve">S0622 (100 x 200 mm)</t>
  </si>
  <si>
    <t xml:space="preserve">9.2.1.9</t>
  </si>
  <si>
    <t xml:space="preserve">S321 (200 x 200 mm)</t>
  </si>
  <si>
    <t xml:space="preserve">9.2.1.10</t>
  </si>
  <si>
    <t xml:space="preserve">S0361 (400 x 200 mm)</t>
  </si>
  <si>
    <t xml:space="preserve">9.2.2</t>
  </si>
  <si>
    <t xml:space="preserve">Placas de evacuação:</t>
  </si>
  <si>
    <t xml:space="preserve">9.2.2.1</t>
  </si>
  <si>
    <t xml:space="preserve">S009 (400 x 200 mm)</t>
  </si>
  <si>
    <t xml:space="preserve">9.2.2.2</t>
  </si>
  <si>
    <t xml:space="preserve">S014 (400 x 200 mm)</t>
  </si>
  <si>
    <t xml:space="preserve">9.2.2.3</t>
  </si>
  <si>
    <t xml:space="preserve">S015 (400 x 200 mm)</t>
  </si>
  <si>
    <t xml:space="preserve">9.2.2.4</t>
  </si>
  <si>
    <t xml:space="preserve">S016 (400 x 200 mm)</t>
  </si>
  <si>
    <t xml:space="preserve">10</t>
  </si>
  <si>
    <t xml:space="preserve">SEGURANÇA ATIVA</t>
  </si>
  <si>
    <t xml:space="preserve">10.1</t>
  </si>
  <si>
    <t xml:space="preserve">SISTEMA AUTOMÁTICO DE DETEÇÃO DE INCÊNDIO</t>
  </si>
  <si>
    <t xml:space="preserve">10.1.1</t>
  </si>
  <si>
    <t xml:space="preserve">Central de Detecção de Incêndio
(c/ acessórios, fonte de alimentação, baterias, etc. conforme especificação nas peças escritas e desenhadas)</t>
  </si>
  <si>
    <t xml:space="preserve">Central de deteção de incêndio a 636,07 € (endereçável: 1,5–4 k€).</t>
  </si>
  <si>
    <t xml:space="preserve">10.1.2</t>
  </si>
  <si>
    <t xml:space="preserve">Central Repetidora da CDI
(c/ acessórios, fonte de alimentação, baterias, etc. conforme especificação nas peças escritas e desenhadas)</t>
  </si>
  <si>
    <t xml:space="preserve">10.1.3</t>
  </si>
  <si>
    <t xml:space="preserve">Detector Óptico de Fumos</t>
  </si>
  <si>
    <t xml:space="preserve">10.1.4</t>
  </si>
  <si>
    <t xml:space="preserve">Detector Óptico de Fumos e Temperatura</t>
  </si>
  <si>
    <t xml:space="preserve">10.1.5</t>
  </si>
  <si>
    <t xml:space="preserve">Detector Linear de Fumos (Conjunto Emissor-Receptor)</t>
  </si>
  <si>
    <t xml:space="preserve">10.1.6</t>
  </si>
  <si>
    <t xml:space="preserve">Botão de Alarme Manual</t>
  </si>
  <si>
    <t xml:space="preserve">10.1.7</t>
  </si>
  <si>
    <t xml:space="preserve">Sinalizador Acústico</t>
  </si>
  <si>
    <t xml:space="preserve">7 sinalizadores para pavilhão + ginásio + 2 pisos. Validar audibilidade.</t>
  </si>
  <si>
    <t xml:space="preserve">10.1.8</t>
  </si>
  <si>
    <t xml:space="preserve">Interfaces de Comando</t>
  </si>
  <si>
    <t xml:space="preserve">10.1.9</t>
  </si>
  <si>
    <t xml:space="preserve">Retentores Electromagnéticos</t>
  </si>
  <si>
    <t xml:space="preserve">Retentores já incluídos em 3.11.2.19.</t>
  </si>
  <si>
    <t xml:space="preserve">10.1.10</t>
  </si>
  <si>
    <t xml:space="preserve">Fonte de Alimentação Ventosas</t>
  </si>
  <si>
    <t xml:space="preserve">10.1.11</t>
  </si>
  <si>
    <t xml:space="preserve">10.1.11.1</t>
  </si>
  <si>
    <t xml:space="preserve">JE-H(st)H FE180 E90 1x2x1,5 mm2</t>
  </si>
  <si>
    <t xml:space="preserve">10.2</t>
  </si>
  <si>
    <t xml:space="preserve">CIRCUITO FECHADO DE TELEVISÃO - CCTV</t>
  </si>
  <si>
    <t xml:space="preserve">10.2.1</t>
  </si>
  <si>
    <t xml:space="preserve">Network Video Recorder
(Gravador de vídeo em rede para processamento das câmaras previstas e com capacidade de armazenamento conforme especificação nas peças escritas e desenhadas)</t>
  </si>
  <si>
    <t xml:space="preserve">10.2.2</t>
  </si>
  <si>
    <t xml:space="preserve">Câmaras</t>
  </si>
  <si>
    <t xml:space="preserve">102.2.1</t>
  </si>
  <si>
    <t xml:space="preserve">Câmara de Vídeo IP Fixa do Tipo Minidome Interior/Exterior</t>
  </si>
  <si>
    <t xml:space="preserve">Numeração errada (devia ser 10.2.2.1). O artigo fica fora da hierarquia do capítulo 10.</t>
  </si>
  <si>
    <t xml:space="preserve">10.2.3</t>
  </si>
  <si>
    <t xml:space="preserve">Periféricos</t>
  </si>
  <si>
    <t xml:space="preserve">10.2.3.1</t>
  </si>
  <si>
    <t xml:space="preserve">Computador</t>
  </si>
  <si>
    <t xml:space="preserve">10.2.3.2</t>
  </si>
  <si>
    <t xml:space="preserve">Monitor 24</t>
  </si>
  <si>
    <t xml:space="preserve">10.2.3.3</t>
  </si>
  <si>
    <t xml:space="preserve">Teclado, rato</t>
  </si>
  <si>
    <t xml:space="preserve">10.2.4</t>
  </si>
  <si>
    <t xml:space="preserve">Switch 24 portas PoE</t>
  </si>
  <si>
    <t xml:space="preserve">10.3</t>
  </si>
  <si>
    <t xml:space="preserve">SISTEMA AUTOMÁTICO DE DETEÇÃO DE INTRUSÃO</t>
  </si>
  <si>
    <t xml:space="preserve">10.3.1</t>
  </si>
  <si>
    <t xml:space="preserve">Central de Detecção de Intrusão
(c/ acessórios, fonte de alimentação, baterias, etc. conforme especificação nas peças escritas e desenhadas)</t>
  </si>
  <si>
    <t xml:space="preserve">10.3.2</t>
  </si>
  <si>
    <t xml:space="preserve">Módulos de Endereçamento</t>
  </si>
  <si>
    <t xml:space="preserve">10.3.3</t>
  </si>
  <si>
    <t xml:space="preserve">Painéis de Comando Remoto</t>
  </si>
  <si>
    <t xml:space="preserve">10.3.4</t>
  </si>
  <si>
    <t xml:space="preserve">Detectores Volumétricos</t>
  </si>
  <si>
    <t xml:space="preserve">10.3.5</t>
  </si>
  <si>
    <t xml:space="preserve">Contactos Magnéticos</t>
  </si>
  <si>
    <t xml:space="preserve">10.3.6</t>
  </si>
  <si>
    <t xml:space="preserve">Sirene óptico-acústica</t>
  </si>
  <si>
    <t xml:space="preserve">10.3.7</t>
  </si>
  <si>
    <t xml:space="preserve">10.3.7.1</t>
  </si>
  <si>
    <t xml:space="preserve">2x0,75+4x0,22</t>
  </si>
  <si>
    <t xml:space="preserve">10.3.7.2</t>
  </si>
  <si>
    <t xml:space="preserve">F/UTP 4 pares, Cat. 6A</t>
  </si>
  <si>
    <t xml:space="preserve">10.4</t>
  </si>
  <si>
    <t xml:space="preserve">10.4.1</t>
  </si>
  <si>
    <t xml:space="preserve">10.4.2</t>
  </si>
  <si>
    <t xml:space="preserve">10.5</t>
  </si>
  <si>
    <t xml:space="preserve">REDE DE TUBAGENS E CAIXAS</t>
  </si>
  <si>
    <t xml:space="preserve">10.5.1</t>
  </si>
  <si>
    <t xml:space="preserve">O fornecimento e montagem de toda a rede de caixas e tubagens necessária para a instalação dos equipamentos de segurança são para serem executados pela Empreitada de Instalações Eléctricas.</t>
  </si>
  <si>
    <t xml:space="preserve">O próprio texto diz que é trabalho da empreitada de instalações elétricas (7.10), mas é valorizado aqui também.</t>
  </si>
  <si>
    <t xml:space="preserve">10.5.2</t>
  </si>
  <si>
    <t xml:space="preserve">Verificações e Ensaios</t>
  </si>
  <si>
    <t xml:space="preserve">10.5.2.1</t>
  </si>
  <si>
    <t xml:space="preserve">10.5.2.2</t>
  </si>
  <si>
    <t xml:space="preserve">10.5.3</t>
  </si>
  <si>
    <t xml:space="preserve">10.5.3.1</t>
  </si>
  <si>
    <t xml:space="preserve">10.5.3.2</t>
  </si>
  <si>
    <t xml:space="preserve">11</t>
  </si>
  <si>
    <t xml:space="preserve">INSTALAÇÕES MECÂNICAS DE AVAC</t>
  </si>
  <si>
    <t xml:space="preserve">11.1</t>
  </si>
  <si>
    <t xml:space="preserve">Sistemas Climatização Split</t>
  </si>
  <si>
    <t xml:space="preserve">11.1.1</t>
  </si>
  <si>
    <t xml:space="preserve">. UI 1 / 5 / 6 UE 1 / 5 / 6: DAIKIN, FTXF25E / RXF25E
Fornecidas com: Interface Modubus RTD-RA</t>
  </si>
  <si>
    <t xml:space="preserve">11.1.2</t>
  </si>
  <si>
    <t xml:space="preserve">. UI 4 / UE 4: DAIKIN, FTXM35A / RZAG35A
Fornecidas com: Interface Modubus EKMBPP1A</t>
  </si>
  <si>
    <t xml:space="preserve">11.1.3</t>
  </si>
  <si>
    <t xml:space="preserve">. UI 2 / UE 2: DAIKIN, FBA140A / FBA140MY
Fornecidas com: Comando de parede BRC1H52,  Interface Modubus EKMBPP1A</t>
  </si>
  <si>
    <t xml:space="preserve">Unidade exterior 'FBA140MY' não existe (é o código da interior). Corrigir a referência.</t>
  </si>
  <si>
    <t xml:space="preserve">11.1.4</t>
  </si>
  <si>
    <t xml:space="preserve">. UI 3 / UE 3: DAIKIN, FBA125A / FBA125MY
Fornecidas com: Comando de parede BRC1H52, Interface Modubus EKMBPP1A</t>
  </si>
  <si>
    <t xml:space="preserve">Unidade exterior 'FBA125MY' não existe (é o código da interior). Corrigir a referência.</t>
  </si>
  <si>
    <t xml:space="preserve">11.2</t>
  </si>
  <si>
    <t xml:space="preserve">Bombas de Calor para AQS  (Unidades exteriores a Água)</t>
  </si>
  <si>
    <t xml:space="preserve">11.2.1</t>
  </si>
  <si>
    <t xml:space="preserve">. BC AQS 1 e 2:  ENERGIE, AquaPura X60 HT
Acessórios e válvulas: grupo hidraúlico de segurança, todas as válvulas e acessórios necessários, vaso de Expansão, válvula antipoluição tipo CA.</t>
  </si>
  <si>
    <t xml:space="preserve">Grupo de segurança e válvula antipoluição repetem 4.3.6/4.3.8.</t>
  </si>
  <si>
    <t xml:space="preserve">11.3</t>
  </si>
  <si>
    <t xml:space="preserve">Depósitos de AQS e de Inercia</t>
  </si>
  <si>
    <t xml:space="preserve">11.3.1</t>
  </si>
  <si>
    <t xml:space="preserve">. D.AQS 1 a 3 : ENERGIE, TERMO XL 2000 iX (1 serpentina), Isolamento 100mm Acessórios Incluidos: Kit Resistência elétrica 6 Kw - 400V, e vaso expansão 80 litros</t>
  </si>
  <si>
    <t xml:space="preserve">11.3.2</t>
  </si>
  <si>
    <t xml:space="preserve">. DI: ENERGIE, TERMO XL 1000, Isolamento 80mm</t>
  </si>
  <si>
    <t xml:space="preserve">11.3.3</t>
  </si>
  <si>
    <t xml:space="preserve">Acessórios e válvulas, Água Rede / Circuito AQS :
Grupo hidraúlico de segurança, grupo abastecimento AQS, válvula misturadora eletrónica com desinfeção térmica programável, válvula de Equilibrio, válvula 2 vias modulante e regulação caudal dinâmica, vávulas de corte, filtros (Ver desenho Esquema Principio)</t>
  </si>
  <si>
    <t xml:space="preserve">Só o grupo de segurança se sobrepõe a 4.3.8 (ver 11.2.1). A misturadora eletrónica não duplica as válvulas termostáticas de recirculação de 4.3.7.</t>
  </si>
  <si>
    <t xml:space="preserve">11.4</t>
  </si>
  <si>
    <t xml:space="preserve">Bombas Circuladoras</t>
  </si>
  <si>
    <t xml:space="preserve">11.4.1</t>
  </si>
  <si>
    <t xml:space="preserve">Bombas Primário AQS (Pavilhão A, A´)</t>
  </si>
  <si>
    <t xml:space="preserve">11.4.1.1</t>
  </si>
  <si>
    <t xml:space="preserve">. BP AQS 1 e 2: WILO, Stratos GIGA2.0-I 32/1-25/1,5
Fornecidas com: Módulo CIF Modbus RTU</t>
  </si>
  <si>
    <t xml:space="preserve">11.4.2</t>
  </si>
  <si>
    <t xml:space="preserve">Bombas Secundário AQS</t>
  </si>
  <si>
    <t xml:space="preserve">11.4.2.1</t>
  </si>
  <si>
    <t xml:space="preserve">. BS AQS 1: WILO, Stratos MAXO-D 40/0,5-16 PN6/10
Fornecidas com: Módulo CIF Modbus RTU</t>
  </si>
  <si>
    <t xml:space="preserve">11.5</t>
  </si>
  <si>
    <t xml:space="preserve">Sistema de Tratamento Químico da Água</t>
  </si>
  <si>
    <t xml:space="preserve">11.5.1</t>
  </si>
  <si>
    <t xml:space="preserve">Descalsificação: Descalsificador: Culligan, Medallist 910/30 TC, Filtro de Proteção: Pentek, Filtro de Proteção: Pentek, Produto Químico: Sal - regenerante para o arranque</t>
  </si>
  <si>
    <t xml:space="preserve">11.5.2</t>
  </si>
  <si>
    <t xml:space="preserve">Tratamento Químico
. Contador: Colberge, MTXK 20k025. Bomba Doseadora: Colberg, MP 653-422. Sondas de Nível MP: Colberg, 29900. Depósito 100: Colberge, DP100. Produto Químico: Kurillex MP704 - para o arranque</t>
  </si>
  <si>
    <t xml:space="preserve">11.5.3</t>
  </si>
  <si>
    <t xml:space="preserve">Kit´s Análise
. Teste kit de análise - Dureza: Hanna, Estojo de análises: Merck 7010049</t>
  </si>
  <si>
    <t xml:space="preserve">11.5.4</t>
  </si>
  <si>
    <t xml:space="preserve">Tubagem, Válvulas (incluir a válvula redutora de pressão) e acessórios</t>
  </si>
  <si>
    <t xml:space="preserve">11.6</t>
  </si>
  <si>
    <t xml:space="preserve">Unidades Tratamento de Ar Novo</t>
  </si>
  <si>
    <t xml:space="preserve">11.6.1</t>
  </si>
  <si>
    <t xml:space="preserve">. UTAN: DAIKIN, D-AHU MODULAR R Size 4 Fornecidas com: Modulo Bacnet / Mudbus (ITM/ GTC), Controlo integrado e bateria DX, Apoios antivibráticos, Bico de pato e rede anti-pássaro</t>
  </si>
  <si>
    <t xml:space="preserve">11.7</t>
  </si>
  <si>
    <t xml:space="preserve">Unidades Condensadoras DX</t>
  </si>
  <si>
    <t xml:space="preserve">11.7.1</t>
  </si>
  <si>
    <t xml:space="preserve">. UE UTAN: DAIKIN ERA200AYF
c/ Kit Expansão Direta EKEXVA200 + EKEQFCB</t>
  </si>
  <si>
    <t xml:space="preserve">11.8</t>
  </si>
  <si>
    <t xml:space="preserve">Unidade De Ventilação com Recuperação</t>
  </si>
  <si>
    <t xml:space="preserve">11.8.1</t>
  </si>
  <si>
    <t xml:space="preserve">. UVR 1: DAIKIN, 1000J
Fornecida com:  Interface Modubus EKMBPP1A</t>
  </si>
  <si>
    <t xml:space="preserve">11.8.2</t>
  </si>
  <si>
    <t xml:space="preserve">. UVR 2: ARFIT, ECOEVO 2 EC 13
Fornecida com: comando Smart</t>
  </si>
  <si>
    <t xml:space="preserve">11.9</t>
  </si>
  <si>
    <t xml:space="preserve">Ventiladores de Extração</t>
  </si>
  <si>
    <t xml:space="preserve">11.9.1</t>
  </si>
  <si>
    <t xml:space="preserve">. VE 1: SODECA, NEOLINEO/EW-125 Fornecidos com: Presostato Diferencial Ar, Regulador eletrónico de velocidade, Interrutor de segurança, Apoios antivibráticos,</t>
  </si>
  <si>
    <t xml:space="preserve">11.9.2</t>
  </si>
  <si>
    <t xml:space="preserve">. VE 2: SODECA, NEOLINEO/EW-200 Fornecidos com: Presostato Diferencial Ar, Regulador eletrónico de velocidade, Interrutor de segurança, Apoios antivibráticos</t>
  </si>
  <si>
    <t xml:space="preserve">11.9.3</t>
  </si>
  <si>
    <t xml:space="preserve">. VE 3: SODECA, CJK/EC-220
Fornecidos com: Presostato Diferencial Ar, Regulador eletrónico de velocidade, Interrutor de segurança, Apoios antivibráticos, Bico de pato e rede anti-pássaro</t>
  </si>
  <si>
    <t xml:space="preserve">11.9.4</t>
  </si>
  <si>
    <t xml:space="preserve">. VE 4: SODECA, CJK/EC-220
Fornecidos com: Presostato Diferencial Ar, Regulador eletrónico de velocidade, Interrutor de segurança, Apoios antivibráticos, Bico de pato e rede anti-pássaro</t>
  </si>
  <si>
    <t xml:space="preserve">11.9.5</t>
  </si>
  <si>
    <t xml:space="preserve">. VE IS 1: SODECA, CJK/EC-400 Fornecidos com: Presostato Diferencial Ar, Regulador eletrónico de velocidade, Interrutor de segurança, Apoios antivibráticos, Bico de pato e rede anti-pássaro</t>
  </si>
  <si>
    <t xml:space="preserve">11.9.6</t>
  </si>
  <si>
    <t xml:space="preserve">. VE IS 2: SODECA CJK/EC-400
Fornecidos com: Presostato Diferencial Ar, Regulador eletrónico de velocidade, Interrutor de segurança, Apoios antivibráticos, Bico de pato e rede anti-pássaro</t>
  </si>
  <si>
    <t xml:space="preserve">11.10</t>
  </si>
  <si>
    <t xml:space="preserve">Elementos de Difusão de Ar</t>
  </si>
  <si>
    <t xml:space="preserve">11.10.1</t>
  </si>
  <si>
    <t xml:space="preserve">Difusores Rotacionais:</t>
  </si>
  <si>
    <t xml:space="preserve">11.10.1.1</t>
  </si>
  <si>
    <t xml:space="preserve">. DR1: Difusor Rotacional Koolair Modelo DFRO/20+PLD-A com pleno isolado e registo</t>
  </si>
  <si>
    <t xml:space="preserve">11.10.1.2</t>
  </si>
  <si>
    <t xml:space="preserve">. DR2: Difusor Rotacional Koolair Modelo DFRO/24+PLD-A com pleno isolado e registo</t>
  </si>
  <si>
    <t xml:space="preserve">11.10.2</t>
  </si>
  <si>
    <t xml:space="preserve">Grelha de Insuflação:</t>
  </si>
  <si>
    <t xml:space="preserve">11.10.2.1</t>
  </si>
  <si>
    <t xml:space="preserve">. GI1: KOOLAIR, Modelo 20-DH/11-0 500x150</t>
  </si>
  <si>
    <t xml:space="preserve">11.10.3</t>
  </si>
  <si>
    <t xml:space="preserve">Grelha de Extração:</t>
  </si>
  <si>
    <t xml:space="preserve">11.10.3.1</t>
  </si>
  <si>
    <t xml:space="preserve">. GE1: KOOLAIR, Modelo 20-SH/11-0 300x100</t>
  </si>
  <si>
    <t xml:space="preserve">11.10.3.2</t>
  </si>
  <si>
    <t xml:space="preserve">. GE2: KOOLAIR, Modelo 20-SH/11-0 500x150</t>
  </si>
  <si>
    <t xml:space="preserve">11.10.3.3</t>
  </si>
  <si>
    <t xml:space="preserve">. GE3: KOOLAIR, Modelo 20-SH/11-0 600x200</t>
  </si>
  <si>
    <t xml:space="preserve">11.10.4</t>
  </si>
  <si>
    <t xml:space="preserve">Grelha de Retorno:</t>
  </si>
  <si>
    <t xml:space="preserve">11.10.4.1</t>
  </si>
  <si>
    <t xml:space="preserve">. GR1: KOOLAIR, Modelo 20-SH/11-0 600x250</t>
  </si>
  <si>
    <t xml:space="preserve">11.10.4.2</t>
  </si>
  <si>
    <t xml:space="preserve">. GR2: KOOLAIR, Modelo 20-SH/11-0 1000x300</t>
  </si>
  <si>
    <t xml:space="preserve">11.10.5</t>
  </si>
  <si>
    <t xml:space="preserve">Título 'Grelha de Retorno' repetido para grelhas de passagem. 11.10.6.1 e 11.10.6.2 ambos 'RA2'. Itens 11.10.4.10.x deviam ser 11.10.10.x.</t>
  </si>
  <si>
    <t xml:space="preserve">11.10.5.1</t>
  </si>
  <si>
    <t xml:space="preserve">. GP1: KOOLAIR, Modelo 20-SH/11-0 300x100</t>
  </si>
  <si>
    <t xml:space="preserve">11.10.5.2</t>
  </si>
  <si>
    <t xml:space="preserve">. GP2: KOOLAIR, Modelo 20-SH/11-0 400x200</t>
  </si>
  <si>
    <t xml:space="preserve">11.10.5.3</t>
  </si>
  <si>
    <t xml:space="preserve">. GP3: KOOLAIR, Modelo 20-SH/11-0 500x200</t>
  </si>
  <si>
    <t xml:space="preserve">11.10.6</t>
  </si>
  <si>
    <t xml:space="preserve">Registo Caudal Dinâmico:</t>
  </si>
  <si>
    <t xml:space="preserve">11.10.6.1</t>
  </si>
  <si>
    <t xml:space="preserve">. RA2: KOOLAIR, Modelo KCRK/150</t>
  </si>
  <si>
    <t xml:space="preserve">11.10.6.2</t>
  </si>
  <si>
    <t xml:space="preserve">. RA2: KOOLAIR, Modelo KCRK/200</t>
  </si>
  <si>
    <t xml:space="preserve">11.10.6.3</t>
  </si>
  <si>
    <t xml:space="preserve">. RA3: KOOLAIR, Modelo KCRK/250</t>
  </si>
  <si>
    <t xml:space="preserve">11.10.7</t>
  </si>
  <si>
    <t xml:space="preserve">Bocas de Extração:</t>
  </si>
  <si>
    <t xml:space="preserve">11.10.7.1</t>
  </si>
  <si>
    <t xml:space="preserve">. BE: KOOLAIR, Modelo GPD Ø150</t>
  </si>
  <si>
    <t xml:space="preserve">11.10.8</t>
  </si>
  <si>
    <t xml:space="preserve">Grelha Exterior:</t>
  </si>
  <si>
    <t xml:space="preserve">11.10.8.1</t>
  </si>
  <si>
    <t xml:space="preserve">. GEXT1: KOOLAIR, Modelo TAC-200 Ø250</t>
  </si>
  <si>
    <t xml:space="preserve">11.10.9</t>
  </si>
  <si>
    <t xml:space="preserve">Grelha Intumescente:</t>
  </si>
  <si>
    <t xml:space="preserve">11.10.9.1</t>
  </si>
  <si>
    <t xml:space="preserve">. GINT: KOOLAIR, Modelo LVV40 400x150</t>
  </si>
  <si>
    <t xml:space="preserve">11.10.10</t>
  </si>
  <si>
    <t xml:space="preserve">Registos Corta-fogo</t>
  </si>
  <si>
    <t xml:space="preserve">11.10.4.10.1</t>
  </si>
  <si>
    <t xml:space="preserve">. RCF1: KOOLAIR, Modelo FDR-3G TH 70+FCU Ø125
Com fusível térmico e fim de curso</t>
  </si>
  <si>
    <t xml:space="preserve">11.10.4.10.2</t>
  </si>
  <si>
    <t xml:space="preserve">. RCF2: KOOLAIR, Modelo FDR-3G TH 70+FCU Ø200
Com fusível térmico e fim de curso</t>
  </si>
  <si>
    <t xml:space="preserve">11.10.4.10.3</t>
  </si>
  <si>
    <t xml:space="preserve">. RCF3: KOOLAIR, Modelo FDR-3G TH 70+FCU Ø250
Com fusível térmico e fim de curso</t>
  </si>
  <si>
    <t xml:space="preserve">11.10.4.10.4</t>
  </si>
  <si>
    <t xml:space="preserve">. RCF4: KOOLAIR, Modelo FDR-3G TH 70+FCU Ø315
Com fusível térmico e fim de curso</t>
  </si>
  <si>
    <t xml:space="preserve">11.10.4.10.5</t>
  </si>
  <si>
    <t xml:space="preserve">. RCF5: KOOLAIR, Modelo FDR-3G TH 70+FCU Ø400
Com fusível térmico e fim de curso</t>
  </si>
  <si>
    <t xml:space="preserve">11.11</t>
  </si>
  <si>
    <t xml:space="preserve">Sistema de Desenfumagem</t>
  </si>
  <si>
    <t xml:space="preserve">11.11.1</t>
  </si>
  <si>
    <t xml:space="preserve">Ventiladores Estáticos:</t>
  </si>
  <si>
    <t xml:space="preserve">11.11.1.1</t>
  </si>
  <si>
    <t xml:space="preserve">Evacuação de fumo RD2</t>
  </si>
  <si>
    <t xml:space="preserve">11.11.1.1.1</t>
  </si>
  <si>
    <t xml:space="preserve">. Pavilhão: ENERGIMAC, SMOKEJET-JA08-2211-PCO-E24-F68-F4 / 2.226 x 1.104 (Área útil 1,59m2)</t>
  </si>
  <si>
    <t xml:space="preserve">11.11.1.1.2</t>
  </si>
  <si>
    <t xml:space="preserve">. Ginásio: ENERGIMAC, SMOKEJET-JJA08-2211-PCO-E24-F68-F4 / 2.226 x 1.104 (Área útil 1,59m2)</t>
  </si>
  <si>
    <t xml:space="preserve">11.11.1.2</t>
  </si>
  <si>
    <t xml:space="preserve">Admissão Natural de Ar RD1</t>
  </si>
  <si>
    <t xml:space="preserve">Admissão de ar da desenfumagem feita por exutores de cobertura. A admissão deve ficar na zona inferior/livre de fumo (RT-SCIE): confirmar com o projeto.</t>
  </si>
  <si>
    <t xml:space="preserve">11.11.1.2.1</t>
  </si>
  <si>
    <t xml:space="preserve">. Pavilhão: ENERGIMAC, SMOKEJET-JA11-1615-PCO-E24-F4 / 1.626 x 1.503 (Área útil 1,59m2)</t>
  </si>
  <si>
    <t xml:space="preserve">11.11.1.2.2</t>
  </si>
  <si>
    <t xml:space="preserve">. Ginásio: ENERGIMAC, SMOKEJET-JA11-1615-PCO-E24-F4 / 1.626 x 1.503 (Área útil 1,59m2)</t>
  </si>
  <si>
    <t xml:space="preserve">11.11.2</t>
  </si>
  <si>
    <t xml:space="preserve">Centrais de Desenfumagem:</t>
  </si>
  <si>
    <t xml:space="preserve">11.11.2.1</t>
  </si>
  <si>
    <t xml:space="preserve">. Pavilhão: ENERGIMAC-M-SHEV12</t>
  </si>
  <si>
    <t xml:space="preserve">11.11.2.2</t>
  </si>
  <si>
    <t xml:space="preserve">. Ginásio: ENERGIMAC, ENERGIMAC-SHEV6</t>
  </si>
  <si>
    <t xml:space="preserve">11.11.3</t>
  </si>
  <si>
    <t xml:space="preserve">Betoneiras de Emergência</t>
  </si>
  <si>
    <t xml:space="preserve">11.11.3.1</t>
  </si>
  <si>
    <t xml:space="preserve">. Pavilhão 1 e Gin.: ENERGIMAC-HE082</t>
  </si>
  <si>
    <t xml:space="preserve">'Betoneiras' em vez de 'Botoneiras'.</t>
  </si>
  <si>
    <t xml:space="preserve">11.11.4</t>
  </si>
  <si>
    <t xml:space="preserve">Equipamentos ventilação natural</t>
  </si>
  <si>
    <t xml:space="preserve">11.11.4.1</t>
  </si>
  <si>
    <t xml:space="preserve">. Botoneira Ventilação: ENERGIMAC BV</t>
  </si>
  <si>
    <t xml:space="preserve">11.11.4.2</t>
  </si>
  <si>
    <t xml:space="preserve">. Sensor Chuva: WS890</t>
  </si>
  <si>
    <t xml:space="preserve">11.12</t>
  </si>
  <si>
    <t xml:space="preserve">Rede de Condutas</t>
  </si>
  <si>
    <t xml:space="preserve">11.12.1</t>
  </si>
  <si>
    <t xml:space="preserve">Condutas Rectangulares</t>
  </si>
  <si>
    <t xml:space="preserve">11.12.1.1</t>
  </si>
  <si>
    <t xml:space="preserve">. Isoladas com Forra Mecânica</t>
  </si>
  <si>
    <t xml:space="preserve">11.12.1.2</t>
  </si>
  <si>
    <t xml:space="preserve">. Não Isoladas</t>
  </si>
  <si>
    <t xml:space="preserve">11.12.2</t>
  </si>
  <si>
    <t xml:space="preserve">Condutas Circulares</t>
  </si>
  <si>
    <t xml:space="preserve">11.12.2.1</t>
  </si>
  <si>
    <t xml:space="preserve">11.12.2.1.1</t>
  </si>
  <si>
    <t xml:space="preserve">Ø250</t>
  </si>
  <si>
    <t xml:space="preserve">11.12.2.1.2</t>
  </si>
  <si>
    <t xml:space="preserve">Ø300</t>
  </si>
  <si>
    <t xml:space="preserve">11.12.2.1.3</t>
  </si>
  <si>
    <t xml:space="preserve">Ø315</t>
  </si>
  <si>
    <t xml:space="preserve">11.12.2.1.4</t>
  </si>
  <si>
    <t xml:space="preserve">Ø400</t>
  </si>
  <si>
    <t xml:space="preserve">11.12.2.1.5</t>
  </si>
  <si>
    <t xml:space="preserve">Ø450</t>
  </si>
  <si>
    <t xml:space="preserve">11.12.2.1.6</t>
  </si>
  <si>
    <t xml:space="preserve">Ø560</t>
  </si>
  <si>
    <t xml:space="preserve">11.12.2.2</t>
  </si>
  <si>
    <t xml:space="preserve">11.12.2.2.1</t>
  </si>
  <si>
    <t xml:space="preserve">Ø125</t>
  </si>
  <si>
    <t xml:space="preserve">11.12.2.2.2</t>
  </si>
  <si>
    <t xml:space="preserve">Ø150</t>
  </si>
  <si>
    <t xml:space="preserve">11.12.2.2.3</t>
  </si>
  <si>
    <t xml:space="preserve">Ø200</t>
  </si>
  <si>
    <t xml:space="preserve">11.12.2.2.4</t>
  </si>
  <si>
    <t xml:space="preserve">11.12.2.2.5</t>
  </si>
  <si>
    <t xml:space="preserve">11.12.2.2.6</t>
  </si>
  <si>
    <t xml:space="preserve">11.12.2.2.7</t>
  </si>
  <si>
    <t xml:space="preserve">Ø355</t>
  </si>
  <si>
    <t xml:space="preserve">11.12.2.2.8</t>
  </si>
  <si>
    <t xml:space="preserve">11.12.2.2.9</t>
  </si>
  <si>
    <t xml:space="preserve">11.12.2.3</t>
  </si>
  <si>
    <t xml:space="preserve">. Com Isolamento Corta-fogo</t>
  </si>
  <si>
    <t xml:space="preserve">11.12.2.3.1</t>
  </si>
  <si>
    <t xml:space="preserve">11.12.2.3.2</t>
  </si>
  <si>
    <t xml:space="preserve">11.12.3</t>
  </si>
  <si>
    <t xml:space="preserve">Portinholas de Visita</t>
  </si>
  <si>
    <t xml:space="preserve">11.13</t>
  </si>
  <si>
    <t xml:space="preserve">Rede de Tubagens</t>
  </si>
  <si>
    <t xml:space="preserve">11.13.1</t>
  </si>
  <si>
    <t xml:space="preserve">Tubagem Frigorigéno com isolamento tipo DUOSPLIT/ARMAFLEX</t>
  </si>
  <si>
    <t xml:space="preserve">11.13.1.1</t>
  </si>
  <si>
    <t xml:space="preserve">Ø6.4</t>
  </si>
  <si>
    <t xml:space="preserve">11.13.1.2</t>
  </si>
  <si>
    <t xml:space="preserve">Ø9.52</t>
  </si>
  <si>
    <t xml:space="preserve">11.13.1.3</t>
  </si>
  <si>
    <t xml:space="preserve">Ø15.9</t>
  </si>
  <si>
    <t xml:space="preserve">11.13.1.4</t>
  </si>
  <si>
    <t xml:space="preserve">Ø19.1</t>
  </si>
  <si>
    <t xml:space="preserve">11.13.2</t>
  </si>
  <si>
    <t xml:space="preserve">Tubagem COPRAX PLUS S 3,2 Isolada</t>
  </si>
  <si>
    <t xml:space="preserve">11.13.2.1</t>
  </si>
  <si>
    <t xml:space="preserve">11.13.2.2</t>
  </si>
  <si>
    <t xml:space="preserve">11.13.2.3</t>
  </si>
  <si>
    <t xml:space="preserve">11.13.2.4</t>
  </si>
  <si>
    <t xml:space="preserve">Ø75</t>
  </si>
  <si>
    <t xml:space="preserve">11.13.2.5</t>
  </si>
  <si>
    <t xml:space="preserve">Ø90</t>
  </si>
  <si>
    <t xml:space="preserve">11.13.3</t>
  </si>
  <si>
    <t xml:space="preserve">Tubagem COPRAX PLUS S 3,2 Não Isolada</t>
  </si>
  <si>
    <t xml:space="preserve">11.13.3.1</t>
  </si>
  <si>
    <t xml:space="preserve">11.13.3.2</t>
  </si>
  <si>
    <t xml:space="preserve">11.13.3.3</t>
  </si>
  <si>
    <t xml:space="preserve">11.13.4</t>
  </si>
  <si>
    <t xml:space="preserve">Tubagem COPRAX PLUS S 3,2 Isolada com Forra Mecânica</t>
  </si>
  <si>
    <t xml:space="preserve">11.13.4.1</t>
  </si>
  <si>
    <t xml:space="preserve">11.13.5</t>
  </si>
  <si>
    <t xml:space="preserve">Tubagem para esgoto de condensados</t>
  </si>
  <si>
    <t xml:space="preserve">11.13.5.1</t>
  </si>
  <si>
    <t xml:space="preserve">11.13.5.2</t>
  </si>
  <si>
    <t xml:space="preserve">11.13.6</t>
  </si>
  <si>
    <t xml:space="preserve">Coletores em Ferro Preto (2 entradas, 1 saida, 1 reserva, ligação a esgoto. termometro e manometro)</t>
  </si>
  <si>
    <t xml:space="preserve">11.13.6.1</t>
  </si>
  <si>
    <t xml:space="preserve">DN100</t>
  </si>
  <si>
    <t xml:space="preserve">Coletor medido em 'm' a 1.897,94 €/m. A unidade deve ser UN.</t>
  </si>
  <si>
    <t xml:space="preserve">11.14</t>
  </si>
  <si>
    <t xml:space="preserve">Sistema de Controlo, Quadro Eléctrico e Cablagem</t>
  </si>
  <si>
    <t xml:space="preserve">Subtotal de 28.201,65 € contra soma de 24.260,22 €: a diferença de 3.941,43 € são os itens 11.15–11.17, somados indevidamente. O total do capítulo 11 está certo.</t>
  </si>
  <si>
    <t xml:space="preserve">11.14.1</t>
  </si>
  <si>
    <t xml:space="preserve">Quadro Eléctrico
com caracteristicas em conformidade com o definido no C.E. e esquemas definidos nas Peças Desenhadas</t>
  </si>
  <si>
    <t xml:space="preserve">11.14.1.1</t>
  </si>
  <si>
    <t xml:space="preserve">.QEAC</t>
  </si>
  <si>
    <t xml:space="preserve">11.14.1.2</t>
  </si>
  <si>
    <t xml:space="preserve">.Q. Informação dos RCF</t>
  </si>
  <si>
    <t xml:space="preserve">11.14.2</t>
  </si>
  <si>
    <t xml:space="preserve">Cablagem de Potência e Comando '.Cablagem de potência dos equipamentos
'Fornecimento e enfiamento de cabo em tubo, caminhos de cabos ou colocados á vista sobre braçadeiras, de condutores e cabos elétricos,</t>
  </si>
  <si>
    <t xml:space="preserve">11.14.2.1</t>
  </si>
  <si>
    <t xml:space="preserve">XZ1 (frt, Zh) U4x2,5mm2</t>
  </si>
  <si>
    <t xml:space="preserve">Cabos e tubos (11.14.2.x / 11.14.3.x) medidos em 'UN'. Devem ser 'm'.</t>
  </si>
  <si>
    <t xml:space="preserve">11.14.2.2</t>
  </si>
  <si>
    <t xml:space="preserve">XZ1 (frt, Zh) U3x2,5mm2</t>
  </si>
  <si>
    <t xml:space="preserve">11.14.2.3</t>
  </si>
  <si>
    <t xml:space="preserve">XZ1 (frt, Zh) U5G2,5mm2</t>
  </si>
  <si>
    <t xml:space="preserve">11.14.2.4</t>
  </si>
  <si>
    <t xml:space="preserve">XZ1 (frt, Zh) R5G10mm2</t>
  </si>
  <si>
    <t xml:space="preserve">11.14.2.5</t>
  </si>
  <si>
    <t xml:space="preserve">LIHCH 2x2x0.75</t>
  </si>
  <si>
    <t xml:space="preserve">11.14.3</t>
  </si>
  <si>
    <t xml:space="preserve">Tubo
Fornecimento e montagem, em paredes, pavimentos, tetos ou valas, de tubos, incluindo todos os acessórios, nos traçados definidos nas Peças Desenhadas e nas condições referidas no C.E.</t>
  </si>
  <si>
    <t xml:space="preserve">11.14.3.1</t>
  </si>
  <si>
    <t xml:space="preserve">VD/ERFE Ø 25 mm</t>
  </si>
  <si>
    <t xml:space="preserve">11.14.3.2</t>
  </si>
  <si>
    <t xml:space="preserve">VD/ERFE Ø 32 mm</t>
  </si>
  <si>
    <t xml:space="preserve">11.14.3.3</t>
  </si>
  <si>
    <t xml:space="preserve">VD/ERFE Ø 40 mm</t>
  </si>
  <si>
    <t xml:space="preserve">11.14.4</t>
  </si>
  <si>
    <t xml:space="preserve">Cablagem sistema de desenfumagem 'Fornecimento e enfiamento de cabo em tubo, caminhos de cabos ou colocados á vista sobre braçadeiras, de condutores e cabos elétricos, com caracteristicas em conformidade com o definido no C.E. e nos traçados definidos nas Peças Desenhadas, dos tipos seguintes:</t>
  </si>
  <si>
    <t xml:space="preserve">11.14.4.1</t>
  </si>
  <si>
    <t xml:space="preserve">XG(Zh) 3x1,5mm2 (Botoneiras Ventilação Natural)</t>
  </si>
  <si>
    <t xml:space="preserve">11.14.4.2</t>
  </si>
  <si>
    <t xml:space="preserve">VV - 4x1,5mm2 (Sensor chuva)</t>
  </si>
  <si>
    <t xml:space="preserve">11.14.4.3</t>
  </si>
  <si>
    <t xml:space="preserve">NHXH FE180/E90 7x1,5mm2 (Botoneiras de Desenfumagem)</t>
  </si>
  <si>
    <t xml:space="preserve">11.14.4.4</t>
  </si>
  <si>
    <t xml:space="preserve">NHXH FE180/E90 3x2,5mm2 (Ventiladores Estáticos - secção de cabo deve ser sempre ajustada ao consumo do atuador(es) que equipa a claraboia de desenfumagem)</t>
  </si>
  <si>
    <t xml:space="preserve">11.14.4.5</t>
  </si>
  <si>
    <t xml:space="preserve">NHXH FE180/E90 3x4,0mm2 (Ventiladores Estáticos - secção de cabo deve ser sempre ajustada ao consumo do atuador(es) que equipa a claraboia de desenfumagem)</t>
  </si>
  <si>
    <t xml:space="preserve">11.14.4.6</t>
  </si>
  <si>
    <t xml:space="preserve">Tubo VD Ø 25 mm
Fornecimento e montagem, em paredes, pavimentos, tetos ou valas, de tubos, incluindo todos os acessórios, nos traçados definidos nas Peças Desenhadas e nas condições referidas no C.E.</t>
  </si>
  <si>
    <t xml:space="preserve">11.14.4.7</t>
  </si>
  <si>
    <t xml:space="preserve">.Disjuntor 16Amp + cabo 3G2,5mm2 para alimentação elétrica à central desenfumagem de cada espaço.</t>
  </si>
  <si>
    <t xml:space="preserve">Quantidade 1 para 2 centrais de desenfumagem (o mesmo em 11.14.4.8).</t>
  </si>
  <si>
    <t xml:space="preserve">11.14.4.8</t>
  </si>
  <si>
    <t xml:space="preserve">.Contacto seco normalmente fechado proveniente da CDI por cada central, se for necessária a atuação automática.</t>
  </si>
  <si>
    <t xml:space="preserve">11.15</t>
  </si>
  <si>
    <t xml:space="preserve">Verificações e Ensaios
Conforme especificado em C.E.</t>
  </si>
  <si>
    <t xml:space="preserve">VG de 1.313,81 € sem conteúdo (também 11.16 e 11.17). Valor igual ao de 7.1.1 e 7.3.7.1: preço 'de enchimento'.</t>
  </si>
  <si>
    <t xml:space="preserve">11.16</t>
  </si>
  <si>
    <t xml:space="preserve">Fornecimentos e Trabalhos diversos Conforme especificado em C.E.</t>
  </si>
  <si>
    <t xml:space="preserve">11.17</t>
  </si>
  <si>
    <t xml:space="preserve">Disposições Complementares
Conforme especificado em C.E.</t>
  </si>
  <si>
    <t xml:space="preserve">12</t>
  </si>
  <si>
    <t xml:space="preserve">INSTALAÇÕES ELETROMECÂNICAS</t>
  </si>
  <si>
    <t xml:space="preserve">12.1</t>
  </si>
  <si>
    <t xml:space="preserve">.Ascensor Eléctrico sem casa de máquinas, 800 Kg/10 Pessoas; .Velocidade 1,0 m/s;
.Dimensão da cabine: 1400 x 1400 x 2050mm (L x P x H);
.Curso aproximado: 3630mm;
.Pisos servidos: 2, com acessos do mesmo lado.</t>
  </si>
  <si>
    <t xml:space="preserve">Faltam inspeção inicial (EIL), manutenção no período de garantia e trabalhos de construção civil de apoio (poço, gancho, iluminação da caixa).</t>
  </si>
  <si>
    <t xml:space="preserve">12.2</t>
  </si>
  <si>
    <t xml:space="preserve">12.2.1</t>
  </si>
  <si>
    <t xml:space="preserve">12.2.2</t>
  </si>
  <si>
    <t xml:space="preserve">12.3</t>
  </si>
  <si>
    <t xml:space="preserve">12.3.1</t>
  </si>
  <si>
    <t xml:space="preserve">12.3.2</t>
  </si>
  <si>
    <t xml:space="preserve">13</t>
  </si>
  <si>
    <t xml:space="preserve">ARQUITETURA PAISAGISTA</t>
  </si>
  <si>
    <t xml:space="preserve">Não há REDE DE REGA, embora exista contador e ramal de rega (4.3.10/4.5.2). Falta também a garantia/manutenção das plantações.</t>
  </si>
  <si>
    <t xml:space="preserve">13.1</t>
  </si>
  <si>
    <t xml:space="preserve">13.1.1</t>
  </si>
  <si>
    <t xml:space="preserve">PROTEÇÃO DE ÁRVORES A MANTER Aplicação de medidas cautelares de proteção de material vegetal existente,  árvores a manter, através de tapumes em madeira, metálicos ou em rede, e fita bicolor ( de sinalização), a delimitar a zona mínima de proteção  com um raio de acordo com as peças desenhadas e com altura mínima de dois metros. Devem ser colocadas antes do inicio de obra e mantidas até ao final desta.  De acordo com o Caderno de Encargos, Capitulo "Zona de Proteção ao sistema radicular".  Incluindo todos os trabalhos e materiais necessários a esta tarefa e transporte de resíduos de acordo com o PPGRCD e a legislação em vigor.</t>
  </si>
  <si>
    <t xml:space="preserve">13.1.2</t>
  </si>
  <si>
    <t xml:space="preserve">ABATES Abate de vegetação, de acordo com as peças desenhadas e caderno de encargos; inclui carga, transporte e descarga para vazadouro e "ou" de acordo com o plano de gestão de resíduos e ainda todos os trabalhos e materiais (acessórios) equipamentos necessários para o efeito.</t>
  </si>
  <si>
    <t xml:space="preserve">13.1.3</t>
  </si>
  <si>
    <t xml:space="preserve">TRANSPLANTES Remoção das árvores a serem transplantadas para posterior plantação em obra, de acordo com a localização definida nas peças desenhadas. Se necessário, deverá ser feita poda de compensação, limpeza, reequilíbrio de copa e redução de copa, incluindo o transporte de ramos cortados para vazadouro, de acordo com as peças desenhadas ecom as condições gerais e técnicas definidas pelo caderno de encargos.</t>
  </si>
  <si>
    <t xml:space="preserve">13.1.4</t>
  </si>
  <si>
    <t xml:space="preserve">PREPARAÇÃO E MODELAÇÃO DO TERRENO Limpeza e modelação de terreno de toda a área a plantar até à cota do substrato de base de terra vegetal, desmatação, despedrega do terreno incluíndo aplicação, se necessário, de herbicida biológico, dentro dos parâmetros legais, para limpeza e remoção de invasoras nos espaços verdes. Com recurso a meios mecânicos ou manuais ou qualquer outro para permitir  a obtenção dos objetivos do projeto. Inclui todos os trabalhos e materiais necessários a esta tarefa e transporte de resíduos de acordo com o PPGRCD e a legislação em vigor.</t>
  </si>
  <si>
    <t xml:space="preserve">13.2</t>
  </si>
  <si>
    <t xml:space="preserve">REVESTIMENTO VEGETAL E PREPARAÇÃO DO SOLO</t>
  </si>
  <si>
    <t xml:space="preserve">13.2.1</t>
  </si>
  <si>
    <t xml:space="preserve">TERRA VEGETAL Fornecimento e aplicação de terra vegetal fertilizada, para posterior aplicação de sementeira de prado e "ou" plantação de arbustos com 25cm de espessura, de acordo com as peças desenhadas e caderno de encargos; inclui regularização, modelação e acerto do terreno e ainda todos os trabalhos e materiais (acessórios), equipamentos necessários à sua boa execução, aplicação e acabamento.</t>
  </si>
  <si>
    <t xml:space="preserve">13.2.2</t>
  </si>
  <si>
    <t xml:space="preserve">TERRA VEGETAL Na zona de plantação de árvores, camada de terra vegetal com 60 a 90cm sobre camada de brita nº2 bem lavada com 25cm de espessura, assim como todos os trabalhos e materiais (acessórios), equipamentos necessários à sua boa execução, aplicação e acabamento.</t>
  </si>
  <si>
    <t xml:space="preserve">Inclui camada de brita de 25 cm ao mesmo preço da terra vegetal (16 €/m3).</t>
  </si>
  <si>
    <t xml:space="preserve">13.3</t>
  </si>
  <si>
    <t xml:space="preserve">ESTRATO ARBÓREO</t>
  </si>
  <si>
    <t xml:space="preserve">13.3.1</t>
  </si>
  <si>
    <t xml:space="preserve">Fornecimento e aplicação de árvore envazada (Ap - Acer pseudoplatanus "plátano-bastardo"), com P.A.P. d=16/18cm e com 4/4,50m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incluindo todos os trabalhos e materiais necessários a esta tarefa e transporte de resíduos de acordo com o PPGRCD e a legislação em vigor. Inclui todos os trabalhos e acessórios necessários à correta execução do trabalho..</t>
  </si>
  <si>
    <t xml:space="preserve">Árvore PAP 16/18, 4–4,5 m, com cova de 1,5x1,2 m, drenante e composto, a 110–150 € (ref. 250–450 €). 'P.A.P. d=' mistura perímetro com diâmetro.</t>
  </si>
  <si>
    <t xml:space="preserve">13.3.2</t>
  </si>
  <si>
    <t xml:space="preserve">Fornecimento e aplicação de árvore envazada (Bc - Betula celtiberica "bétula"), com P.A.P. d=16/18cm e com 4/4,50m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incluindo todos os trabalhos e materiais necessários a esta tarefa e transporte de resíduos de acordo com o PPGRCD e a legislação em vigor. Inclui todos os trabalhos e acessórios necessários à correta execução do trabalho..</t>
  </si>
  <si>
    <t xml:space="preserve">13.3.3</t>
  </si>
  <si>
    <t xml:space="preserve">Fornecimento e aplicação de árvore envazada (Bu - Betula utilis 'jacquemontii' "bétula-do-Himalaia"), com P.A.P. d=16/18cm e com 4/4,50m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incluindo todos os trabalhos e materiais necessários a esta tarefa e transporte de resíduos de acordo com o PPGRCD e a legislação em vigor. Inclui todos os trabalhos e acessórios necessários à correta execução do trabalho.</t>
  </si>
  <si>
    <t xml:space="preserve">13.3.4</t>
  </si>
  <si>
    <t xml:space="preserve">Fornecimento e aplicação de árvore envazada (Cb - Carpinus betulus 'fastigiata' "carpino"), com P.A.P. d=16/18cm e com 4/4,50m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incluindo todos os trabalhos e materiais necessários a esta tarefa e transporte de resíduos de acordo com o PPGRCD e a legislação em vigor. Inclui todos os trabalhos e acessórios necessários à correta execução do trabalho.</t>
  </si>
  <si>
    <t xml:space="preserve">13.3.5</t>
  </si>
  <si>
    <t xml:space="preserve">Fornecimento e aplicação de árvore envazada (Ia - Ilex aquifolium "azevinho"), com P.A.P. d=12/14cm e com 2/2,50m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 incluindo todos os trabalhos e materiais necessários a esta tarefa e transporte de resíduos de acordo com o PPGRCD e a legislação em vigor. Inclui todos os trabalhos e acessórios necessários à correta execução do trabalho.</t>
  </si>
  <si>
    <t xml:space="preserve">13.3.6</t>
  </si>
  <si>
    <t xml:space="preserve">Fornecimento e aplicação de árvore envazada (Pa - Prunus avium "cerejeira-brava"), com P.A.P. d=16/18cm e com 4/4,50m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incluindo todos os trabalhos e materiais necessários a esta tarefa e transporte de resíduos de acordo com o PPGRCD e a legislação em vigor. Inclui todos os trabalhos e acessórios necessários à correta execução do trabalho.</t>
  </si>
  <si>
    <t xml:space="preserve">13.3.7</t>
  </si>
  <si>
    <t xml:space="preserve">Fornecimento e aplicação de árvore envazada (Pl - Prunus laurocerasus "louro-cerejo"), com P.A.P. d=12/14cm e com 2/2,50m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 incluindo todos os trabalhos e materiais necessários a esta tarefa e transporte de resíduos de acordo com o PPGRCD e a legislação em vigor. Inclui todos os trabalhos e acessórios necessários à correta execução do trabalho.</t>
  </si>
  <si>
    <t xml:space="preserve">13.3.8</t>
  </si>
  <si>
    <t xml:space="preserve">Fornecimento e aplicação de árvore envazada (Ps - Prunus serrulata "cerejeira-do-japão"), com P.A.P. d=14/16cm e com 3/3,50m de altura, de acordo com as peças desenhadas e caderno de encargos;  inclui abertura de cova e todos os trabalhos inerentes, de acordo com as peças desenhadas, será realizado somente na zona indicada no projecto. Abertura das covas diâmetro mínimo de 1.50m, e profundidade de 1.20m,  remoção da terra de fundo da escavação, fornecimento de camada drenante com espessura de 0.20m de brita filtrante  para colocação no fundo da cova, fornecimento e envolvimento de composto de plantação, fertilizantes e corretivos para plantação, enchimento de covas de plantação, e primeira rega, , incluindo todos os trabalhos e materiais necessários a esta tarefa e transporte de resíduos de acordo com o PPGRCD e a legislação em vigor. Inclui todos os trabalhos e acessórios necessários à correta execução do trabalho.</t>
  </si>
  <si>
    <t xml:space="preserve">13.4</t>
  </si>
  <si>
    <t xml:space="preserve">ARBUSTOS</t>
  </si>
  <si>
    <t xml:space="preserve">13.4.1</t>
  </si>
  <si>
    <t xml:space="preserve">Fornecimento e aplicação de Arbusto  de porte arbóreo envazado V5L (Au - Arbutus unedo "medronheiro"), com 60/80cm de altura, de acordo com as peças desenhadas e caderno de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</si>
  <si>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13.4.2</t>
  </si>
  <si>
    <t xml:space="preserve">Fornecimento e aplicação de Arbusto  de porte arbóreo envazado V5L (Ca - Corylus avellana "aveleira"), com 60/80cm de altura, de acordo com as peças desenhadas e caderno de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</si>
  <si>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13.4.3</t>
  </si>
  <si>
    <t xml:space="preserve">Fornecimento e aplicação de Arbusto  de porte arbóreo envazado V2.5L (Cm - Crataegus monogyna "pilriteiro"), com 40/60cm de altura, de acordo com as peças desenhadas e caderno de encargos; inclui abertura de cabouco, aterro com terra vegetal fertilizada, remoção da terra excedente para vazadouro e "ou" de acordo com o plano de gestão de residuos e ainda todos os trabalhos e materiais (acessórios), equipamentos, necessários à sua boa execução, aplicação, funcionamento e acabamento.</t>
  </si>
  <si>
    <t xml:space="preserve">13.4.4</t>
  </si>
  <si>
    <t xml:space="preserve">Fornecimento e aplicação de Arbusto envazado V1,5L (Aa - Agapanthus africanus "agapanto"), com 20/30cm de altura e compasso de plantação 9un/m2,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</si>
  <si>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13.4.5</t>
  </si>
  <si>
    <t xml:space="preserve">Fornecimento e aplicação de Arbusto envazado V2,5L (Bt - Berberis thunbergii var. atropurpurea "bérberis"), com 30/40cm de altura e compasso de plantação 6un/m2,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</si>
  <si>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13.4.6</t>
  </si>
  <si>
    <t xml:space="preserve">Fornecimento e aplicação de Arbusto envazado V2,5L (Jh - Juniperus horizontalis "junipero"), com 30/40cm de altura e compasso de plantação 6un/m2,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</si>
  <si>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13.4.7</t>
  </si>
  <si>
    <t xml:space="preserve">Fornecimento e aplicação de Arbusto envazado V1,5L (La - Lavandula angustifolia "alfazema"), com 20/30cm de altura e compasso de plantação 9un/m2,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</si>
  <si>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13.4.8</t>
  </si>
  <si>
    <t xml:space="preserve">Fornecimento e aplicação de Arbusto envazado V1,5L (Ls - Lavandula stoechas "rosmaninho"), com 20/30cm de altura e compasso de plantação 9un/m2,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</si>
  <si>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13.4.9</t>
  </si>
  <si>
    <t xml:space="preserve">Fornecimento e aplicação de Arbusto envazado para reposição de sebe existente V2,5L (Pt - Pittosporum tobira  "pitósporo-da-China"), com 40/60cm de altura e compasso de plantação 4un/m2,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</si>
  <si>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13.4.10</t>
  </si>
  <si>
    <t xml:space="preserve">Fornecimento e aplicação de Arbusto envazado V2,5L (Ro - Rosmarinus officinalis  "alecrim"), com 30/40cm de altura e compasso de plantação 6un/m2,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</si>
  <si>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13.4.11</t>
  </si>
  <si>
    <t xml:space="preserve">Fornecimento e aplicação de Arbusto envazado V1,5L (Sr - Santolina rosmarinifolia "marcetão"), com 20/30cm de altura e compasso de plantação 9un/m2,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e aplicação.</t>
  </si>
  <si>
    <t xml:space="preserve">13.4.12</t>
  </si>
  <si>
    <t xml:space="preserve">Fornecimento e aplicação de trepadeiras V3L (Hh - Hedera helix "hera"), com 100/125cm de altura,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aplicação, funcionamento e acabamento.</t>
  </si>
  <si>
    <t xml:space="preserve">13.4.13</t>
  </si>
  <si>
    <t xml:space="preserve">Fornecimento e aplicação de
trepadeiras V3L (Jo - Jasminum officinalis "jasmim-branco"), com 100/125cm de altura,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aplicação, funcionamento e acabamento.</t>
  </si>
  <si>
    <t xml:space="preserve">13.4.14</t>
  </si>
  <si>
    <t xml:space="preserve">Fornecimento e aplicação de
trepadeiras V3L (Ptr - Parthenocissus tricuspidata "vinha-virgem"), com 100/125cm de altura, de acordo com as peças desenhadas e caderno dec encargos; inclui abertura de cabouco, aterro com terra vegetal fertilizada, remoção da terra excedente para vazadouro e "ou" de acordo com o plano de gestão de residuos e ainda todos os trabalhos e materiais (acessórios), equipamentos, necessários à sua boa execução, aplicação, funcionamento e acabamento.</t>
  </si>
  <si>
    <t xml:space="preserve">13.5</t>
  </si>
  <si>
    <t xml:space="preserve">SEMEMTEIRAS</t>
  </si>
  <si>
    <t xml:space="preserve">13.5.1</t>
  </si>
  <si>
    <t xml:space="preserve">PRADO HIDROSSEMENTEIRA P1 Ajardinamento com mistura de prado para hidrosementeira, composta por 44% Festuca arundinacea, Grande III;  40% Festuca arundinacea, Verstol;  10% Lolium perene, Tetragreen;  6% Medicago sativa "anã", Greenmed, com uma densidade de sementeira de 70gr/m2, de acordo com as peças desenhadas e caderno de encargos; inclui todos os trabalhos e materiais (acessórios), equipamentos necessários à sua boa execução, aplicação e acabamento.</t>
  </si>
  <si>
    <t xml:space="preserve">13.5.2</t>
  </si>
  <si>
    <t xml:space="preserve">PRADO FLORIDO P2 Ajardinamento com mistura de prado florido, composta por 20% Lolium perene; 30% Festuca rubra rubra;  30% Festuca ovina duriuscla; 20% Low Growin mix, com uma densidade de sementeira de 70gr/m2, de acordo com as peças desenhadas e caderno de encargos; inclui todos os trabalhos e materiais (acessórios), equipamentos necessários à sua boa execução, aplicação e acabamento.</t>
  </si>
  <si>
    <t xml:space="preserve">13.6</t>
  </si>
  <si>
    <t xml:space="preserve">13.6.1</t>
  </si>
  <si>
    <t xml:space="preserve">TUTORES Fornecimento e colocação de tutores tipo " Tosca" ou equivalente, deverão ser provenientes de plantas jovens de pinho, direitos, sãos, descascados e tratados em autoclave com impregnantes adequados. Duplos por árvore, na sua parte aérea, devem ser travados com duas réguas horizontais, nas quais se colocam as ligações em cintas de borracha, 1 por tutor, incluindo todos os trabalhos e materiais necessários a esta tarefa e transporte de resíduos de acordo com o PPGRCD e a legislação em vigor.
Tutores em postes de madeira de pinho nacional com tratamento de Autoclave classe de risco IV (injeção de agentes preservadores em profundidade até ao cerne), e cintas de borracha para amaração. Altura 3.00m; diâmetro 10 a 12cm.</t>
  </si>
  <si>
    <t xml:space="preserve">13.6.2</t>
  </si>
  <si>
    <t xml:space="preserve">ESTILHA Fornecimento e aplicação para canteiros e caldeiras de revestimento de estilha de madeira, com 10cm de espessura média, em lascas de madeira de pinho tratado com fungicidas, assim como todos os trabalhos e materiais necessários a esta tarefa e transporte de resíduos de acordo com o PPGRCD e a legislação em vigor.</t>
  </si>
  <si>
    <t xml:space="preserve">13.6.3</t>
  </si>
  <si>
    <t xml:space="preserve">DRENOS Fornecimento e colocação de drenagem para cova de plantação, através da instalação, simultânea à plantação, de 90 cm de tubo de drenagem de PVC corrugado, diâmetro nominal 75 mm, com perfurações em todo o seu desenvolvimento, preenchido com brita, protegido com tampa de polipropileno, para facilitar o fornecimento directo da água de rega à zona radicular. Inclui todos os trabalhos e acessórios necessários à correta execução dos trabalhos.</t>
  </si>
  <si>
    <t xml:space="preserve">13.6.4</t>
  </si>
  <si>
    <t xml:space="preserve">MANTA ANTI INFESTANTES Fornecimento e aplicação de malha orgânica anti infestantes, com gramagem de 300 g/m², para o controlo da erosão e função anti-ervas na realização de plantações, permeável à água, ao ar e aos nutrientes, fixada ao terreno onde se vai realizar a plantação com estaca de ancoragem de aço, em forma de L, de 6 mm de diâmetro. Inclui todos os trabalhos e acessórios necessários à correta execução dos trabalhos.</t>
  </si>
  <si>
    <t xml:space="preserve">14</t>
  </si>
  <si>
    <t xml:space="preserve">GESTÃO TÉCNICA CENTRALIZADA</t>
  </si>
  <si>
    <t xml:space="preserve">14.1</t>
  </si>
  <si>
    <t xml:space="preserve">Sistema de Controlo</t>
  </si>
  <si>
    <t xml:space="preserve">14.1.1</t>
  </si>
  <si>
    <t xml:space="preserve">controlador DDC, 16xEU, 4xED, 8xSA, 8xSD, 2xRS-485, 2xTCP/IP, 2xUSB, 1xHDMI, 1250 pontos proxy</t>
  </si>
  <si>
    <t xml:space="preserve">14.1.2</t>
  </si>
  <si>
    <t xml:space="preserve">módulo E/S, BACnet/IP e Modbus TCP/IP, gateway Modbus RS485 - 8xEU, 12xED, 6xSA, 12xSD; tipo: iSMA-B-MIX38-IP</t>
  </si>
  <si>
    <t xml:space="preserve">14.1.3</t>
  </si>
  <si>
    <t xml:space="preserve">módulo E/S, BACnet/IP e Modbus TCP/IP, gateway Modbus RS485 - 8xED; tipo: iSMA-B-8I-IP</t>
  </si>
  <si>
    <t xml:space="preserve">14.1.4</t>
  </si>
  <si>
    <t xml:space="preserve">gateway comunicação DALI / DALI2</t>
  </si>
  <si>
    <t xml:space="preserve">14.1.5</t>
  </si>
  <si>
    <t xml:space="preserve">unidade touchscreen 10,1" tipo: PA-LED10-B</t>
  </si>
  <si>
    <t xml:space="preserve">14.1.6</t>
  </si>
  <si>
    <t xml:space="preserve">caneta stylus para displays capacitivos, suporte magnético; tipo: PEN-ACC</t>
  </si>
  <si>
    <t xml:space="preserve">14.1.7</t>
  </si>
  <si>
    <t xml:space="preserve">licença para interface externa (30 pontos); tipo:device dataP-30</t>
  </si>
  <si>
    <t xml:space="preserve">14.1.8</t>
  </si>
  <si>
    <t xml:space="preserve">licença para interface externa (15 pontos); tipo: device dataP-15</t>
  </si>
  <si>
    <t xml:space="preserve">14.1.9</t>
  </si>
  <si>
    <t xml:space="preserve">licença para interface externa (5 pontos); tipo: device dataP-5</t>
  </si>
  <si>
    <t xml:space="preserve">14.1.10</t>
  </si>
  <si>
    <t xml:space="preserve">switch ethernet, 8-port 10/100 Mbps, calha DIN; tipo: TSW030</t>
  </si>
  <si>
    <t xml:space="preserve">14.2</t>
  </si>
  <si>
    <t xml:space="preserve">Centralização</t>
  </si>
  <si>
    <t xml:space="preserve">14.2.1</t>
  </si>
  <si>
    <t xml:space="preserve">módulo para gestão e roteamento de comunicações + ligação IKA; tipo:DaSSA</t>
  </si>
  <si>
    <t xml:space="preserve">14.2.2</t>
  </si>
  <si>
    <t xml:space="preserve">licença software Niagara 4 para sistema de supervisão, plataforma IKA Cloud, licença para 1x JACE8000 / EXOmaster; tipo: IKA Cloud N4 Supervisor-1</t>
  </si>
  <si>
    <t xml:space="preserve">14.2.3</t>
  </si>
  <si>
    <t xml:space="preserve">computador completo com monitor, teclado, rato e sistema operativo Windows para sistema de gestão técnica centralizada; tipo: IKA PC</t>
  </si>
  <si>
    <t xml:space="preserve">14.3</t>
  </si>
  <si>
    <t xml:space="preserve">Equipamento de Campo</t>
  </si>
  <si>
    <t xml:space="preserve">GTC com apenas 3 sondas. Sem contadores de energia/analisadores.</t>
  </si>
  <si>
    <t xml:space="preserve">14.3.1</t>
  </si>
  <si>
    <t xml:space="preserve">sensor de temperatura para imersão em líquidos, leitura -20..+120°C, elemento sensor Pt1000, sonda em aço inox, comprimento 310mm, diâmetro 5mm, IP65; tipo: TG-IH3/ PT1000-310</t>
  </si>
  <si>
    <t xml:space="preserve">14.3.2</t>
  </si>
  <si>
    <t xml:space="preserve">bainha para sensores de imersão, 310mm, R1/2", aço inox SUS304; tipo: DR-310S</t>
  </si>
  <si>
    <t xml:space="preserve">14.4</t>
  </si>
  <si>
    <t xml:space="preserve">Cablagem</t>
  </si>
  <si>
    <t xml:space="preserve">14.4.1</t>
  </si>
  <si>
    <t xml:space="preserve">UTP Cat6</t>
  </si>
  <si>
    <t xml:space="preserve">14.4.2</t>
  </si>
  <si>
    <t xml:space="preserve">14.4.3</t>
  </si>
  <si>
    <t xml:space="preserve">LIHCH 4x2x0.75</t>
  </si>
  <si>
    <t xml:space="preserve">14.4.4</t>
  </si>
  <si>
    <t xml:space="preserve">LIHCH 6x2x0.75</t>
  </si>
  <si>
    <t xml:space="preserve">LIHCH 6x2x0,75 a 120,76 €/m (ref. ~2–3,5 €/m). Sobrecusto de ~13 k€ em 110 m.</t>
  </si>
  <si>
    <t xml:space="preserve">nota 08</t>
  </si>
  <si>
    <t xml:space="preserve">Disposições finais, transversais a todos os artigos do MQT.
a). O Mapa de Trabalhos e Quantidades não constitui, por si só, uma descrição exaustiva das condições em que os fornecimentos e trabalhos deverão ser executados. Deverá ser analisado em conjunto com as Condições Técnicas e Peças Desenhadas.
b). Os preços a apresentar devem fazer reflectir todos os custos necessários ao cumprimento do caderno de encargos, nomeadamente, fornecimento, transporte e montagem de materiais, com afetação de equipamentos, mão-de-obra e meios auxiliares de construção necessários à boa execução dos trabalhos a seguir especificados, incluindo todos os trabalhos de construção civil de apoio, com observância de disposições de projeto, indicações dos fabricantes e regulamentação em vigor aplicável.
c). Os resíduos provenientes de construção e demolição (RCD) não reutilizados, serão obrigatoriamente objecto de triagem em obra com vista ao seu encaminhamento para reciclagem/valorização, ou, se tal não for viável, directamente encaminhados para operador de gestão licenciado.</t>
  </si>
  <si>
    <t xml:space="preserve">VALIDAÇÃO DO MQT CUSTO/VENDA – RESUMO</t>
  </si>
  <si>
    <t xml:space="preserve">Parecer: NÃO VALIDAR na versão atual. Corrigir os pontos CRÍTICOS e ALTOS e voltar a submeter.</t>
  </si>
  <si>
    <t xml:space="preserve">Cap.</t>
  </si>
  <si>
    <t xml:space="preserve">Designação</t>
  </si>
  <si>
    <t xml:space="preserve">Custo (€)</t>
  </si>
  <si>
    <t xml:space="preserve">Venda (€)</t>
  </si>
  <si>
    <t xml:space="preserve">Venda − Custo (€)</t>
  </si>
  <si>
    <t xml:space="preserve">% do total</t>
  </si>
  <si>
    <t xml:space="preserve">TOTAL (sem IVA)</t>
  </si>
  <si>
    <t xml:space="preserve">Coeficiente K implícito (Venda/Custo)</t>
  </si>
  <si>
    <t xml:space="preserve">Gravidade</t>
  </si>
  <si>
    <t xml:space="preserve">Problemas transversais (ver folhas seguintes)</t>
  </si>
  <si>
    <t xml:space="preserve">VENDA = CUSTO: preços unitários de venda iguais aos de custo nos 833 artigos. K implícito = 1,0000 (venda 12,12 € abaixo do custo). Não há estrutura, risco nem lucro.</t>
  </si>
  <si>
    <t xml:space="preserve">14.4.4: cabo LIHCH 6x2x0,75 a 120,76 €/m (~13 k€ a mais).</t>
  </si>
  <si>
    <t xml:space="preserve">Duplicação provável dos maciços de encabeçamento (2.2.2 = 63,00 m3; 2.3.3 = 63,11 m3), ~20 k€.</t>
  </si>
  <si>
    <t xml:space="preserve">Amianto (3.1.2): sem transporte e destino licenciado, sem plano de trabalhos aprovado pela ACT, área provavelmente subestimada.</t>
  </si>
  <si>
    <t xml:space="preserve">Equipamento desportivo inexistente num pavilhão gimnodesportivo.</t>
  </si>
  <si>
    <t xml:space="preserve">Ficheiro sem fórmulas (só valores): totais não rastreáveis. Em 82 artigos o total de custo ≠ Q×PU (até 6,35 €). Sem total geral nem linha de IVA.</t>
  </si>
  <si>
    <t xml:space="preserve">Instalações elétricas, ITED, SCIE e GTC com artigos sem descrição técnica: não é possível validar preço nem conformidade.</t>
  </si>
  <si>
    <t xml:space="preserve">Contenção ancorada: ensaios insuficientes (2 em 13 ancoragens), monitorização subavaliada, sem desmontagem de escoras nem destensionamento.</t>
  </si>
  <si>
    <t xml:space="preserve">Omissões: rede de rega, linha de vida, SPDA, ensaios de carga de microestacas, sonorização, ativos de rede/Wi-Fi, certificações.</t>
  </si>
  <si>
    <t xml:space="preserve">Preços muito abaixo do mercado em valas com entivação, geodrenos, demolição de muros, caixas de visita especiais, postes de 12 m e QGP.</t>
  </si>
  <si>
    <t xml:space="preserve">Mais de metade das quantidades de Arquitetura são números redondos (121 de 236): são estimativas, não medições.</t>
  </si>
  <si>
    <t xml:space="preserve">Contagem de observações por gravidade</t>
  </si>
  <si>
    <t xml:space="preserve">IMPACTO FINANCEIRO ESTIMADO DAS CORREÇÕES (ordem de grandeza, sem IVA, a confirmar com consultas ao mercado)</t>
  </si>
  <si>
    <t xml:space="preserve">Item</t>
  </si>
  <si>
    <t xml:space="preserve">Cenário mínimo (€)</t>
  </si>
  <si>
    <t xml:space="preserve">Cenário máximo (€)</t>
  </si>
  <si>
    <t xml:space="preserve">A. ERROS DE PREÇO CERTOS</t>
  </si>
  <si>
    <t xml:space="preserve">14.4.4 LIHCH 6x2x0,75 a 120,76 €/m → ~3,00 €/m</t>
  </si>
  <si>
    <t xml:space="preserve">Subtotal A</t>
  </si>
  <si>
    <t xml:space="preserve">B. DUPLICAÇÕES PROVÁVEIS (a confirmar com peças desenhadas)</t>
  </si>
  <si>
    <t xml:space="preserve">2.2.2 vs 2.3.3 Maciços de encabeçamento (63,00 vs 63,11 m3)</t>
  </si>
  <si>
    <t xml:space="preserve">6.2.18 Caleiras de zinco vs caleiras incluídas em 3.3.x / nota 02</t>
  </si>
  <si>
    <t xml:space="preserve">3.16.1.18 vs 5.3.7 Drenagem linear de duches</t>
  </si>
  <si>
    <t xml:space="preserve">10.5.1 vs 7.10 Tubagens/caixas de segurança</t>
  </si>
  <si>
    <t xml:space="preserve">5.3.1/5.3.2 Sifões já incluídos em 3.16.1.3/3.16.1.4</t>
  </si>
  <si>
    <t xml:space="preserve">7.2.8.4.1 vs 7.1.2.2 PEAD Ø110 (155 m)</t>
  </si>
  <si>
    <t xml:space="preserve">4.3.6 vs 11.2.1 Válvula antipoluição</t>
  </si>
  <si>
    <t xml:space="preserve">10.1.9 vs 3.11.2.19 Retentores eletromagnéticos</t>
  </si>
  <si>
    <t xml:space="preserve">Subtotal B</t>
  </si>
  <si>
    <t xml:space="preserve">C. PREÇOS/QUANTIDADES SUBAVALIADOS</t>
  </si>
  <si>
    <t xml:space="preserve">1.2 Faseamento com pavilhão em funcionamento (2.000 € → 10–25 k€)</t>
  </si>
  <si>
    <t xml:space="preserve">1.5 Implantação/apoio topográfico (3.000 € → 5–8 k€)</t>
  </si>
  <si>
    <t xml:space="preserve">2.2.10 Desmontagem/remoção de escoras provisórias</t>
  </si>
  <si>
    <t xml:space="preserve">2.2.12 Ensaios de receção a todas as ancoragens + destensionamento</t>
  </si>
  <si>
    <t xml:space="preserve">2.2.13 Instrumentação/monitorização (3.500 € → 10–20 k€)</t>
  </si>
  <si>
    <t xml:space="preserve">2.4.2 Aço com intumescente R60 (1.106 kg, +1,2 a +2,3 €/kg)</t>
  </si>
  <si>
    <t xml:space="preserve">3.1.2 Amianto: 14 → 22–28 €/m2 (com transporte e deposição licenciada)</t>
  </si>
  <si>
    <t xml:space="preserve">3.1.2 Amianto: área real provável de 1.200–1.300 m2</t>
  </si>
  <si>
    <t xml:space="preserve">3.1.4 Demolição de muros, 124 m3 (6,5 → 45–80 €/m3)</t>
  </si>
  <si>
    <t xml:space="preserve">3.6.1.2 Subestrutura da chapa ondulada (320 vs 1.550 m2)</t>
  </si>
  <si>
    <t xml:space="preserve">3.9.2.5 PAV E 01 Unipiso exterior, 1.086 m2 (+5 a +12 €/m2)</t>
  </si>
  <si>
    <t xml:space="preserve">3.16.1.14 Kits de barras para mobilidade condicionada (10 UN)</t>
  </si>
  <si>
    <t xml:space="preserve">4.1.1/5.1.1/6.1.1 Valas com entivação, 1.196 m3 (5,5 → 12–18 €/m3)</t>
  </si>
  <si>
    <t xml:space="preserve">4.5.1 Ramais de ligação (3 UN, 750 → 1.500–3.000 €)</t>
  </si>
  <si>
    <t xml:space="preserve">5.3.6/6.2.11/6.2.12 Caixas de visita subavaliadas</t>
  </si>
  <si>
    <t xml:space="preserve">6.2.8/6.2.9 Geodrenos, 711,9 m (~8 → 22–32 €/m)</t>
  </si>
  <si>
    <t xml:space="preserve">6.2.13 CV especial BA 1,5x1,5 D400 (545 € → 2,5–5 k€)</t>
  </si>
  <si>
    <t xml:space="preserve">7.4.1 QGP (2.649 € → 8–13 k€)</t>
  </si>
  <si>
    <t xml:space="preserve">7.7.3.1.9 Postes de 12 m + maciços (4 UN)</t>
  </si>
  <si>
    <t xml:space="preserve">10.1.1/10.1.2 CDI endereçável + repetidora</t>
  </si>
  <si>
    <t xml:space="preserve">13.3 Árvores PAP 16/18 (80 UN, +100 a +250 €)</t>
  </si>
  <si>
    <t xml:space="preserve">Ensaios, verificações e telas finais irrisórios (caps. 4–7, 10, 12)</t>
  </si>
  <si>
    <t xml:space="preserve">Subtotal C</t>
  </si>
  <si>
    <t xml:space="preserve">D. OMISSÕES (itens inexistentes no MQT)</t>
  </si>
  <si>
    <t xml:space="preserve">Equipamento desportivo (pavilhão, ginásio, sala, campo exterior)</t>
  </si>
  <si>
    <t xml:space="preserve">Rede de rega (~3.550 m2 de áreas plantadas)</t>
  </si>
  <si>
    <t xml:space="preserve">Linha de vida / sistema anti-queda na cobertura (EN 795)</t>
  </si>
  <si>
    <t xml:space="preserve">SPDA – proteção contra descargas atmosféricas (EN 62305)</t>
  </si>
  <si>
    <t xml:space="preserve">Proteções anti-impacto (luminárias, detetores, painéis de parede do pavilhão)</t>
  </si>
  <si>
    <t xml:space="preserve">Ensaios de carga de microestacas + controlo de qualidade (betão, aço, compactação)</t>
  </si>
  <si>
    <t xml:space="preserve">Sonorização do pavilhão</t>
  </si>
  <si>
    <t xml:space="preserve">Alimentações elétricas dedicadas a equipamentos</t>
  </si>
  <si>
    <t xml:space="preserve">Ativos de rede / Wi-Fi (ITED)</t>
  </si>
  <si>
    <t xml:space="preserve">Certificações e ensaios (elétrica, ITED, SCE, acústica RRAE, ascensor, UPAC)</t>
  </si>
  <si>
    <t xml:space="preserve">Marcações do campo exterior (PAV E 02)</t>
  </si>
  <si>
    <t xml:space="preserve">Garantia/manutenção das plantações (1.º ano)</t>
  </si>
  <si>
    <t xml:space="preserve">Compilação técnica da obra (DL 273/2003)</t>
  </si>
  <si>
    <t xml:space="preserve">Plantas de emergência + extintores CO2 junto aos quadros</t>
  </si>
  <si>
    <t xml:space="preserve">Vãos VE.C.01 e VE.1.11 (16 UN só com soleira), se existirem</t>
  </si>
  <si>
    <t xml:space="preserve">Subtotal D</t>
  </si>
  <si>
    <t xml:space="preserve">CUSTO DO MQT ATUAL (sem IVA)</t>
  </si>
  <si>
    <t xml:space="preserve">VARIAÇÃO LÍQUIDA ESTIMADA (A+B+C+D)</t>
  </si>
  <si>
    <t xml:space="preserve">CUSTO CORRIGIDO ESTIMADO</t>
  </si>
  <si>
    <t xml:space="preserve">Variação em % do custo atual</t>
  </si>
  <si>
    <t xml:space="preserve">PREÇO DE VENDA (sem IVA) = Custo corrigido × K  (K = estrutura + risco + lucro; definir pela empresa)</t>
  </si>
  <si>
    <t xml:space="preserve">K = 1.15</t>
  </si>
  <si>
    <t xml:space="preserve">K = 1.20</t>
  </si>
  <si>
    <t xml:space="preserve">K = 1.25</t>
  </si>
  <si>
    <t xml:space="preserve">Excluído (condicional, depende do estudo geotécnico): rebaixamento freático/bombagem de esgoto das escavações, escavação em rocha.</t>
  </si>
  <si>
    <t xml:space="preserve">Linha</t>
  </si>
  <si>
    <t xml:space="preserve">Artigo</t>
  </si>
  <si>
    <t xml:space="preserve">Qtd</t>
  </si>
  <si>
    <t xml:space="preserve">PU custo</t>
  </si>
  <si>
    <t xml:space="preserve">Q×PU</t>
  </si>
  <si>
    <t xml:space="preserve">Total custo no MQT</t>
  </si>
  <si>
    <t xml:space="preserve">Diferença</t>
  </si>
  <si>
    <t xml:space="preserve">Total venda no MQT</t>
  </si>
  <si>
    <t xml:space="preserve">Os totais de VENDA batem certo com Q×PU. Os de CUSTO não, em 82 artigos: os PU de custo vieram com mais casas decimais de outro ficheiro e foram colados como valores.</t>
  </si>
  <si>
    <t xml:space="preserve">Resultado: a VENDA fica abaixo do CUSTO em 49 artigos e o total de venda é 12,12 € inferior ao de custo.</t>
  </si>
  <si>
    <t xml:space="preserve">Subtotal 11.14 = 28.201,65 € contra soma real de 24.260,22 €: inclui os itens 11.15–11.17 (3 × 1.313,81 €). O total do capítulo 11 está correto.</t>
  </si>
  <si>
    <t xml:space="preserve">Artigo '102.2.1' (Câmaras CCTV) devia ser 10.2.2.1.</t>
  </si>
  <si>
    <t xml:space="preserve">O ficheiro não tem nenhuma fórmula: as somas não se atualizam quando se alteram quantidades ou preços.</t>
  </si>
</sst>
</file>

<file path=xl/styles.xml><?xml version="1.0" encoding="utf-8"?>
<styleSheet xmlns="http://schemas.openxmlformats.org/spreadsheetml/2006/main">
  <numFmts count="7">
    <numFmt numFmtId="164" formatCode="General"/>
    <numFmt numFmtId="165" formatCode="#,##0.00"/>
    <numFmt numFmtId="166" formatCode="#,##0"/>
    <numFmt numFmtId="167" formatCode="###,###"/>
    <numFmt numFmtId="168" formatCode="#,##0.00&quot; €&quot;"/>
    <numFmt numFmtId="169" formatCode="0.00%"/>
    <numFmt numFmtId="170" formatCode="0.0000"/>
  </numFmts>
  <fonts count="11">
    <font>
      <sz val="10"/>
      <name val="Arial"/>
      <family val="0"/>
      <charset val="1"/>
    </font>
    <font>
      <sz val="10"/>
      <name val="Arial"/>
      <family val="0"/>
    </font>
    <font>
      <sz val="10"/>
      <name val="Arial"/>
      <family val="0"/>
    </font>
    <font>
      <sz val="10"/>
      <name val="Arial"/>
      <family val="0"/>
    </font>
    <font>
      <b val="true"/>
      <sz val="10"/>
      <name val="Arial"/>
      <family val="0"/>
      <charset val="1"/>
    </font>
    <font>
      <b val="true"/>
      <sz val="11"/>
      <name val="Cambria"/>
      <family val="0"/>
      <charset val="1"/>
    </font>
    <font>
      <b val="true"/>
      <sz val="11"/>
      <color rgb="FFFFFFFF"/>
      <name val="Cambria"/>
      <family val="0"/>
      <charset val="1"/>
    </font>
    <font>
      <b val="true"/>
      <sz val="14"/>
      <name val="Cambria"/>
      <family val="0"/>
      <charset val="1"/>
    </font>
    <font>
      <b val="true"/>
      <sz val="11"/>
      <color rgb="FFC00000"/>
      <name val="Cambria"/>
      <family val="0"/>
      <charset val="1"/>
    </font>
    <font>
      <b val="true"/>
      <sz val="12"/>
      <name val="Cambria"/>
      <family val="0"/>
      <charset val="1"/>
    </font>
    <font>
      <i val="true"/>
      <sz val="11"/>
      <name val="Cambria"/>
      <family val="0"/>
      <charset val="1"/>
    </font>
  </fonts>
  <fills count="8">
    <fill>
      <patternFill patternType="none"/>
    </fill>
    <fill>
      <patternFill patternType="gray125"/>
    </fill>
    <fill>
      <patternFill patternType="solid">
        <fgColor rgb="FFFFCC99"/>
        <bgColor rgb="FFF4CCCC"/>
      </patternFill>
    </fill>
    <fill>
      <patternFill patternType="solid">
        <fgColor rgb="FF1F3864"/>
        <bgColor rgb="FF333333"/>
      </patternFill>
    </fill>
    <fill>
      <patternFill patternType="solid">
        <fgColor rgb="FFD9EAD3"/>
        <bgColor rgb="FFFCE5CD"/>
      </patternFill>
    </fill>
    <fill>
      <patternFill patternType="solid">
        <fgColor rgb="FFFCE5CD"/>
        <bgColor rgb="FFFFF2CC"/>
      </patternFill>
    </fill>
    <fill>
      <patternFill patternType="solid">
        <fgColor rgb="FFFFF2CC"/>
        <bgColor rgb="FFFCE5CD"/>
      </patternFill>
    </fill>
    <fill>
      <patternFill patternType="solid">
        <fgColor rgb="FFF4CCCC"/>
        <bgColor rgb="FFFFCC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true" applyProtection="false">
      <alignment horizontal="right" vertical="top" textRotation="0" wrapText="false" indent="0" shrinkToFit="false"/>
      <protection locked="true" hidden="false"/>
    </xf>
    <xf numFmtId="166" fontId="0" fillId="0" borderId="0" xfId="0" applyFont="true" applyBorder="false" applyAlignment="true" applyProtection="false">
      <alignment horizontal="right" vertical="top" textRotation="0" wrapText="false" indent="0" shrinkToFit="false"/>
      <protection locked="true" hidden="false"/>
    </xf>
    <xf numFmtId="164" fontId="0" fillId="4" borderId="2"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0" fillId="5" borderId="2" xfId="0" applyFont="true" applyBorder="true" applyAlignment="true" applyProtection="false">
      <alignment horizontal="general" vertical="top" textRotation="0" wrapText="true" indent="0" shrinkToFit="false"/>
      <protection locked="true" hidden="false"/>
    </xf>
    <xf numFmtId="164" fontId="5" fillId="5" borderId="2" xfId="0" applyFont="tru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general" vertical="top" textRotation="0" wrapText="true" indent="0" shrinkToFit="false"/>
      <protection locked="true" hidden="false"/>
    </xf>
    <xf numFmtId="164" fontId="5" fillId="6" borderId="2" xfId="0" applyFont="true" applyBorder="true" applyAlignment="true" applyProtection="false">
      <alignment horizontal="general" vertical="top" textRotation="0" wrapText="true" indent="0" shrinkToFit="false"/>
      <protection locked="true" hidden="false"/>
    </xf>
    <xf numFmtId="164" fontId="0" fillId="7" borderId="2" xfId="0" applyFont="true" applyBorder="true" applyAlignment="true" applyProtection="false">
      <alignment horizontal="general" vertical="top" textRotation="0" wrapText="true" indent="0" shrinkToFit="false"/>
      <protection locked="true" hidden="false"/>
    </xf>
    <xf numFmtId="164" fontId="5" fillId="7" borderId="2" xfId="0" applyFont="true" applyBorder="true" applyAlignment="true" applyProtection="false">
      <alignment horizontal="general" vertical="top" textRotation="0" wrapText="true" indent="0" shrinkToFit="false"/>
      <protection locked="true" hidden="false"/>
    </xf>
    <xf numFmtId="167" fontId="0"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FCC99"/>
          <bgColor rgb="FF000000"/>
        </patternFill>
      </fill>
    </dxf>
    <dxf>
      <fill>
        <patternFill patternType="solid">
          <bgColor rgb="FF000000"/>
        </patternFill>
      </fill>
    </dxf>
    <dxf>
      <fill>
        <patternFill patternType="solid">
          <fgColor rgb="FF1F3864"/>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FCC99"/>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9.0546875" defaultRowHeight="12.75" zeroHeight="false" outlineLevelRow="0" outlineLevelCol="0"/>
  <cols>
    <col collapsed="false" customWidth="true" hidden="false" outlineLevel="0" max="1" min="1" style="1" width="12.7"/>
    <col collapsed="false" customWidth="true" hidden="false" outlineLevel="0" max="2" min="2" style="1" width="40.7"/>
    <col collapsed="false" customWidth="true" hidden="false" outlineLevel="0" max="3" min="3" style="1" width="10.71"/>
    <col collapsed="false" customWidth="true" hidden="false" outlineLevel="0" max="4" min="4" style="1" width="20.7"/>
    <col collapsed="false" customWidth="true" hidden="false" outlineLevel="0" max="5" min="5" style="1" width="16.99"/>
    <col collapsed="false" customWidth="true" hidden="false" outlineLevel="0" max="6" min="6" style="1" width="14.85"/>
    <col collapsed="false" customWidth="true" hidden="false" outlineLevel="0" max="7" min="7" style="1" width="16.99"/>
    <col collapsed="false" customWidth="true" hidden="false" outlineLevel="0" max="8" min="8" style="1" width="14.85"/>
    <col collapsed="false" customWidth="true" hidden="false" outlineLevel="0" max="9" min="9" style="2" width="18"/>
    <col collapsed="false" customWidth="true" hidden="false" outlineLevel="0" max="10" min="10" style="2" width="11"/>
    <col collapsed="false" customWidth="true" hidden="false" outlineLevel="0" max="11" min="11" style="2" width="90"/>
  </cols>
  <sheetData>
    <row r="1" customFormat="false" ht="12.75" hidden="false" customHeight="true" outlineLevel="0" collapsed="false">
      <c r="A1" s="3"/>
      <c r="B1" s="3"/>
      <c r="C1" s="3"/>
      <c r="D1" s="3"/>
      <c r="E1" s="3"/>
      <c r="F1" s="3"/>
      <c r="G1" s="3"/>
      <c r="H1" s="3"/>
    </row>
    <row r="2" customFormat="false" ht="12.75" hidden="false" customHeight="true" outlineLevel="0" collapsed="false">
      <c r="A2" s="3"/>
      <c r="B2" s="3"/>
      <c r="C2" s="3"/>
      <c r="D2" s="3"/>
      <c r="E2" s="3" t="s">
        <v>0</v>
      </c>
      <c r="F2" s="3"/>
      <c r="G2" s="3" t="s">
        <v>1</v>
      </c>
      <c r="H2" s="3"/>
      <c r="I2" s="4" t="s">
        <v>2</v>
      </c>
    </row>
    <row r="3" customFormat="false" ht="12.75" hidden="false" customHeight="true" outlineLevel="0" collapsed="false">
      <c r="A3" s="3" t="s">
        <v>3</v>
      </c>
      <c r="B3" s="3" t="s">
        <v>4</v>
      </c>
      <c r="C3" s="3" t="s">
        <v>5</v>
      </c>
      <c r="D3" s="3" t="s">
        <v>6</v>
      </c>
      <c r="E3" s="3" t="s">
        <v>7</v>
      </c>
      <c r="F3" s="3" t="s">
        <v>8</v>
      </c>
      <c r="G3" s="3" t="s">
        <v>7</v>
      </c>
      <c r="H3" s="3" t="s">
        <v>8</v>
      </c>
      <c r="I3" s="5" t="s">
        <v>9</v>
      </c>
      <c r="J3" s="5" t="s">
        <v>10</v>
      </c>
      <c r="K3" s="5" t="s">
        <v>11</v>
      </c>
    </row>
    <row r="4" customFormat="false" ht="12.75" hidden="false" customHeight="true" outlineLevel="0" collapsed="false">
      <c r="A4" s="6" t="s">
        <v>12</v>
      </c>
      <c r="B4" s="7" t="s">
        <v>13</v>
      </c>
      <c r="F4" s="8" t="n">
        <v>312435</v>
      </c>
      <c r="H4" s="8" t="n">
        <v>312435</v>
      </c>
    </row>
    <row r="6" customFormat="false" ht="357" hidden="false" customHeight="true" outlineLevel="0" collapsed="false">
      <c r="A6" s="6" t="s">
        <v>14</v>
      </c>
      <c r="B6" s="7" t="s">
        <v>15</v>
      </c>
      <c r="C6" s="6" t="s">
        <v>16</v>
      </c>
      <c r="D6" s="9" t="n">
        <v>1</v>
      </c>
      <c r="E6" s="8" t="n">
        <v>265185</v>
      </c>
      <c r="F6" s="8" t="n">
        <v>265185</v>
      </c>
      <c r="G6" s="8" t="n">
        <v>265185</v>
      </c>
      <c r="H6" s="8" t="n">
        <v>265185</v>
      </c>
      <c r="I6" s="10" t="s">
        <v>17</v>
      </c>
      <c r="J6" s="11" t="s">
        <v>18</v>
      </c>
      <c r="K6" s="10" t="s">
        <v>19</v>
      </c>
    </row>
    <row r="8" customFormat="false" ht="255" hidden="false" customHeight="true" outlineLevel="0" collapsed="false">
      <c r="A8" s="6" t="s">
        <v>20</v>
      </c>
      <c r="B8" s="7" t="s">
        <v>21</v>
      </c>
      <c r="C8" s="6" t="s">
        <v>16</v>
      </c>
      <c r="D8" s="9" t="n">
        <v>1</v>
      </c>
      <c r="E8" s="8" t="n">
        <v>2000</v>
      </c>
      <c r="F8" s="8" t="n">
        <v>2000</v>
      </c>
      <c r="G8" s="8" t="n">
        <v>2000</v>
      </c>
      <c r="H8" s="8" t="n">
        <v>2000</v>
      </c>
      <c r="I8" s="12" t="s">
        <v>22</v>
      </c>
      <c r="J8" s="13" t="s">
        <v>23</v>
      </c>
      <c r="K8" s="12" t="s">
        <v>24</v>
      </c>
    </row>
    <row r="10" customFormat="false" ht="140.25" hidden="false" customHeight="true" outlineLevel="0" collapsed="false">
      <c r="A10" s="6" t="s">
        <v>25</v>
      </c>
      <c r="B10" s="7" t="s">
        <v>26</v>
      </c>
      <c r="C10" s="6" t="s">
        <v>16</v>
      </c>
      <c r="D10" s="9" t="n">
        <v>1</v>
      </c>
      <c r="E10" s="8" t="n">
        <v>13750</v>
      </c>
      <c r="F10" s="8" t="n">
        <v>13750</v>
      </c>
      <c r="G10" s="8" t="n">
        <v>13750</v>
      </c>
      <c r="H10" s="8" t="n">
        <v>13750</v>
      </c>
    </row>
    <row r="12" customFormat="false" ht="63.75" hidden="false" customHeight="true" outlineLevel="0" collapsed="false">
      <c r="A12" s="6" t="s">
        <v>27</v>
      </c>
      <c r="B12" s="7" t="s">
        <v>28</v>
      </c>
      <c r="C12" s="6" t="s">
        <v>16</v>
      </c>
      <c r="D12" s="9" t="n">
        <v>2</v>
      </c>
      <c r="E12" s="8" t="n">
        <v>750</v>
      </c>
      <c r="F12" s="8" t="n">
        <v>1500</v>
      </c>
      <c r="G12" s="8" t="n">
        <v>750</v>
      </c>
      <c r="H12" s="8" t="n">
        <v>1500</v>
      </c>
    </row>
    <row r="14" customFormat="false" ht="63.75" hidden="false" customHeight="true" outlineLevel="0" collapsed="false">
      <c r="A14" s="6" t="s">
        <v>29</v>
      </c>
      <c r="B14" s="7" t="s">
        <v>30</v>
      </c>
      <c r="C14" s="6" t="s">
        <v>16</v>
      </c>
      <c r="D14" s="9" t="n">
        <v>1</v>
      </c>
      <c r="E14" s="8" t="n">
        <v>3000</v>
      </c>
      <c r="F14" s="8" t="n">
        <v>3000</v>
      </c>
      <c r="G14" s="8" t="n">
        <v>3000</v>
      </c>
      <c r="H14" s="8" t="n">
        <v>3000</v>
      </c>
      <c r="I14" s="14" t="s">
        <v>22</v>
      </c>
      <c r="J14" s="15" t="s">
        <v>31</v>
      </c>
      <c r="K14" s="14" t="s">
        <v>32</v>
      </c>
    </row>
    <row r="16" customFormat="false" ht="76.5" hidden="false" customHeight="true" outlineLevel="0" collapsed="false">
      <c r="A16" s="6" t="s">
        <v>33</v>
      </c>
      <c r="B16" s="7" t="s">
        <v>34</v>
      </c>
      <c r="C16" s="6" t="s">
        <v>16</v>
      </c>
      <c r="D16" s="9" t="n">
        <v>1</v>
      </c>
      <c r="E16" s="8" t="n">
        <v>25000</v>
      </c>
      <c r="F16" s="8" t="n">
        <v>25000</v>
      </c>
      <c r="G16" s="8" t="n">
        <v>25000</v>
      </c>
      <c r="H16" s="8" t="n">
        <v>25000</v>
      </c>
    </row>
    <row r="18" customFormat="false" ht="51" hidden="false" customHeight="true" outlineLevel="0" collapsed="false">
      <c r="A18" s="6" t="s">
        <v>35</v>
      </c>
      <c r="B18" s="7" t="s">
        <v>36</v>
      </c>
      <c r="C18" s="6" t="s">
        <v>16</v>
      </c>
      <c r="D18" s="9" t="n">
        <v>1</v>
      </c>
      <c r="E18" s="8" t="n">
        <v>2000</v>
      </c>
      <c r="F18" s="8" t="n">
        <v>2000</v>
      </c>
      <c r="G18" s="8" t="n">
        <v>2000</v>
      </c>
      <c r="H18" s="8" t="n">
        <v>2000</v>
      </c>
      <c r="I18" s="14" t="s">
        <v>4</v>
      </c>
      <c r="J18" s="15" t="s">
        <v>31</v>
      </c>
      <c r="K18" s="14" t="s">
        <v>37</v>
      </c>
    </row>
    <row r="20" customFormat="false" ht="12.75" hidden="false" customHeight="true" outlineLevel="0" collapsed="false">
      <c r="A20" s="6" t="s">
        <v>38</v>
      </c>
      <c r="B20" s="7" t="s">
        <v>39</v>
      </c>
      <c r="F20" s="8" t="n">
        <v>1651924.53</v>
      </c>
      <c r="H20" s="8" t="n">
        <v>1651922.68</v>
      </c>
    </row>
    <row r="22" customFormat="false" ht="12.75" hidden="false" customHeight="true" outlineLevel="0" collapsed="false">
      <c r="A22" s="6" t="s">
        <v>40</v>
      </c>
      <c r="B22" s="7" t="s">
        <v>41</v>
      </c>
      <c r="F22" s="8" t="n">
        <v>126583.19</v>
      </c>
      <c r="H22" s="8" t="n">
        <v>126583.19</v>
      </c>
    </row>
    <row r="24" customFormat="false" ht="63.75" hidden="false" customHeight="true" outlineLevel="0" collapsed="false">
      <c r="A24" s="6" t="s">
        <v>42</v>
      </c>
      <c r="B24" s="7" t="s">
        <v>43</v>
      </c>
      <c r="C24" s="6" t="s">
        <v>44</v>
      </c>
      <c r="D24" s="8" t="n">
        <v>9861.9</v>
      </c>
      <c r="E24" s="8" t="n">
        <v>5.5</v>
      </c>
      <c r="F24" s="8" t="n">
        <v>54240.45</v>
      </c>
      <c r="G24" s="8" t="n">
        <v>5.5</v>
      </c>
      <c r="H24" s="8" t="n">
        <v>54240.45</v>
      </c>
      <c r="I24" s="14" t="s">
        <v>45</v>
      </c>
      <c r="J24" s="15" t="s">
        <v>31</v>
      </c>
      <c r="K24" s="14" t="s">
        <v>46</v>
      </c>
    </row>
    <row r="26" customFormat="false" ht="63.75" hidden="false" customHeight="true" outlineLevel="0" collapsed="false">
      <c r="A26" s="6" t="s">
        <v>47</v>
      </c>
      <c r="B26" s="7" t="s">
        <v>48</v>
      </c>
      <c r="C26" s="6" t="s">
        <v>44</v>
      </c>
      <c r="D26" s="8" t="n">
        <v>698.28</v>
      </c>
      <c r="E26" s="8" t="n">
        <v>11</v>
      </c>
      <c r="F26" s="8" t="n">
        <v>7681.08</v>
      </c>
      <c r="G26" s="8" t="n">
        <v>11</v>
      </c>
      <c r="H26" s="8" t="n">
        <v>7681.08</v>
      </c>
    </row>
    <row r="29" customFormat="false" ht="89.25" hidden="false" customHeight="true" outlineLevel="0" collapsed="false">
      <c r="A29" s="6" t="s">
        <v>49</v>
      </c>
      <c r="B29" s="7" t="s">
        <v>50</v>
      </c>
      <c r="C29" s="6" t="s">
        <v>44</v>
      </c>
      <c r="D29" s="8" t="n">
        <v>2388.61</v>
      </c>
      <c r="E29" s="8" t="n">
        <v>7.5</v>
      </c>
      <c r="F29" s="8" t="n">
        <v>17914.58</v>
      </c>
      <c r="G29" s="8" t="n">
        <v>7.5</v>
      </c>
      <c r="H29" s="8" t="n">
        <v>17914.58</v>
      </c>
    </row>
    <row r="31" customFormat="false" ht="153" hidden="false" customHeight="true" outlineLevel="0" collapsed="false">
      <c r="A31" s="6" t="s">
        <v>51</v>
      </c>
      <c r="B31" s="7" t="s">
        <v>52</v>
      </c>
      <c r="C31" s="6" t="s">
        <v>44</v>
      </c>
      <c r="D31" s="8" t="n">
        <v>72.14</v>
      </c>
      <c r="E31" s="8" t="n">
        <v>25</v>
      </c>
      <c r="F31" s="8" t="n">
        <v>1803.5</v>
      </c>
      <c r="G31" s="8" t="n">
        <v>25</v>
      </c>
      <c r="H31" s="8" t="n">
        <v>1803.5</v>
      </c>
      <c r="I31" s="10" t="s">
        <v>22</v>
      </c>
      <c r="J31" s="11" t="s">
        <v>18</v>
      </c>
      <c r="K31" s="10" t="s">
        <v>53</v>
      </c>
    </row>
    <row r="33" customFormat="false" ht="76.5" hidden="false" customHeight="true" outlineLevel="0" collapsed="false">
      <c r="A33" s="6" t="s">
        <v>54</v>
      </c>
      <c r="B33" s="7" t="s">
        <v>55</v>
      </c>
      <c r="C33" s="6" t="s">
        <v>44</v>
      </c>
      <c r="D33" s="8" t="n">
        <v>8171.56</v>
      </c>
      <c r="E33" s="8" t="n">
        <v>5.5</v>
      </c>
      <c r="F33" s="8" t="n">
        <v>44943.58</v>
      </c>
      <c r="G33" s="8" t="n">
        <v>5.5</v>
      </c>
      <c r="H33" s="8" t="n">
        <v>44943.58</v>
      </c>
      <c r="I33" s="14" t="s">
        <v>17</v>
      </c>
      <c r="J33" s="15" t="s">
        <v>31</v>
      </c>
      <c r="K33" s="14" t="s">
        <v>56</v>
      </c>
    </row>
    <row r="35" customFormat="false" ht="12.75" hidden="false" customHeight="true" outlineLevel="0" collapsed="false">
      <c r="A35" s="6" t="s">
        <v>57</v>
      </c>
      <c r="B35" s="7" t="s">
        <v>58</v>
      </c>
      <c r="F35" s="8" t="n">
        <v>280188.97</v>
      </c>
      <c r="H35" s="8" t="n">
        <v>280187.76</v>
      </c>
    </row>
    <row r="37" customFormat="false" ht="178.5" hidden="false" customHeight="true" outlineLevel="0" collapsed="false">
      <c r="A37" s="6" t="s">
        <v>59</v>
      </c>
      <c r="B37" s="7" t="s">
        <v>60</v>
      </c>
      <c r="C37" s="6" t="s">
        <v>61</v>
      </c>
      <c r="D37" s="8" t="n">
        <v>599.85</v>
      </c>
      <c r="E37" s="8" t="n">
        <v>90.03</v>
      </c>
      <c r="F37" s="8" t="n">
        <v>54005.32</v>
      </c>
      <c r="G37" s="8" t="n">
        <v>90.03</v>
      </c>
      <c r="H37" s="8" t="n">
        <v>54004.5</v>
      </c>
      <c r="I37" s="12" t="s">
        <v>62</v>
      </c>
      <c r="J37" s="13" t="s">
        <v>23</v>
      </c>
      <c r="K37" s="12" t="s">
        <v>63</v>
      </c>
    </row>
    <row r="39" customFormat="false" ht="204" hidden="false" customHeight="true" outlineLevel="0" collapsed="false">
      <c r="A39" s="6" t="s">
        <v>64</v>
      </c>
      <c r="B39" s="7" t="s">
        <v>65</v>
      </c>
      <c r="C39" s="6" t="s">
        <v>44</v>
      </c>
      <c r="D39" s="9" t="n">
        <v>63</v>
      </c>
      <c r="E39" s="8" t="n">
        <v>317.4</v>
      </c>
      <c r="F39" s="8" t="n">
        <v>19996.33</v>
      </c>
      <c r="G39" s="8" t="n">
        <v>317.4</v>
      </c>
      <c r="H39" s="8" t="n">
        <v>19996.2</v>
      </c>
      <c r="I39" s="16" t="s">
        <v>45</v>
      </c>
      <c r="J39" s="17" t="s">
        <v>66</v>
      </c>
      <c r="K39" s="16" t="s">
        <v>67</v>
      </c>
    </row>
    <row r="41" customFormat="false" ht="127.5" hidden="false" customHeight="true" outlineLevel="0" collapsed="false">
      <c r="A41" s="6" t="s">
        <v>68</v>
      </c>
      <c r="B41" s="7" t="s">
        <v>69</v>
      </c>
      <c r="C41" s="6" t="s">
        <v>61</v>
      </c>
      <c r="D41" s="8" t="n">
        <v>291.5</v>
      </c>
      <c r="E41" s="8" t="n">
        <v>88.89</v>
      </c>
      <c r="F41" s="8" t="n">
        <v>25912.71</v>
      </c>
      <c r="G41" s="8" t="n">
        <v>88.89</v>
      </c>
      <c r="H41" s="8" t="n">
        <v>25911.44</v>
      </c>
      <c r="I41" s="12" t="s">
        <v>4</v>
      </c>
      <c r="J41" s="13" t="s">
        <v>23</v>
      </c>
      <c r="K41" s="12" t="s">
        <v>70</v>
      </c>
    </row>
    <row r="43" customFormat="false" ht="127.5" hidden="false" customHeight="true" outlineLevel="0" collapsed="false">
      <c r="A43" s="6" t="s">
        <v>71</v>
      </c>
      <c r="B43" s="7" t="s">
        <v>72</v>
      </c>
      <c r="C43" s="6" t="s">
        <v>61</v>
      </c>
      <c r="D43" s="8" t="n">
        <v>333.2</v>
      </c>
      <c r="E43" s="8" t="n">
        <v>100.61</v>
      </c>
      <c r="F43" s="8" t="n">
        <v>33521.71</v>
      </c>
      <c r="G43" s="8" t="n">
        <v>100.61</v>
      </c>
      <c r="H43" s="8" t="n">
        <v>33523.25</v>
      </c>
      <c r="I43" s="12" t="s">
        <v>4</v>
      </c>
      <c r="J43" s="13" t="s">
        <v>23</v>
      </c>
      <c r="K43" s="12" t="s">
        <v>73</v>
      </c>
    </row>
    <row r="45" customFormat="false" ht="178.5" hidden="false" customHeight="true" outlineLevel="0" collapsed="false">
      <c r="A45" s="6" t="s">
        <v>74</v>
      </c>
      <c r="B45" s="7" t="s">
        <v>75</v>
      </c>
      <c r="C45" s="6" t="s">
        <v>61</v>
      </c>
      <c r="D45" s="8" t="n">
        <v>275.28</v>
      </c>
      <c r="E45" s="8" t="n">
        <v>74.57</v>
      </c>
      <c r="F45" s="8" t="n">
        <v>20528.28</v>
      </c>
      <c r="G45" s="8" t="n">
        <v>74.57</v>
      </c>
      <c r="H45" s="8" t="n">
        <v>20527.63</v>
      </c>
      <c r="I45" s="12" t="s">
        <v>62</v>
      </c>
      <c r="J45" s="13" t="s">
        <v>23</v>
      </c>
      <c r="K45" s="12" t="s">
        <v>76</v>
      </c>
    </row>
    <row r="47" customFormat="false" ht="178.5" hidden="false" customHeight="true" outlineLevel="0" collapsed="false">
      <c r="A47" s="6" t="s">
        <v>77</v>
      </c>
      <c r="B47" s="7" t="s">
        <v>78</v>
      </c>
      <c r="C47" s="6" t="s">
        <v>44</v>
      </c>
      <c r="D47" s="8" t="n">
        <v>60.36</v>
      </c>
      <c r="E47" s="8" t="n">
        <v>641.02</v>
      </c>
      <c r="F47" s="8" t="n">
        <v>38691.97</v>
      </c>
      <c r="G47" s="8" t="n">
        <v>641.02</v>
      </c>
      <c r="H47" s="8" t="n">
        <v>38691.97</v>
      </c>
      <c r="I47" s="10" t="s">
        <v>17</v>
      </c>
      <c r="J47" s="11" t="s">
        <v>18</v>
      </c>
      <c r="K47" s="10" t="s">
        <v>79</v>
      </c>
    </row>
    <row r="50" customFormat="false" ht="216.75" hidden="false" customHeight="true" outlineLevel="0" collapsed="false">
      <c r="A50" s="6" t="s">
        <v>80</v>
      </c>
      <c r="B50" s="7" t="s">
        <v>81</v>
      </c>
      <c r="C50" s="6" t="s">
        <v>44</v>
      </c>
      <c r="D50" s="9" t="n">
        <v>16</v>
      </c>
      <c r="E50" s="8" t="n">
        <v>431.78</v>
      </c>
      <c r="F50" s="8" t="n">
        <v>6908.4</v>
      </c>
      <c r="G50" s="8" t="n">
        <v>431.78</v>
      </c>
      <c r="H50" s="8" t="n">
        <v>6908.48</v>
      </c>
    </row>
    <row r="52" customFormat="false" ht="204" hidden="false" customHeight="true" outlineLevel="0" collapsed="false">
      <c r="A52" s="6" t="s">
        <v>82</v>
      </c>
      <c r="B52" s="7" t="s">
        <v>83</v>
      </c>
      <c r="C52" s="6" t="s">
        <v>44</v>
      </c>
      <c r="D52" s="8" t="n">
        <v>7.78</v>
      </c>
      <c r="E52" s="8" t="n">
        <v>316.04</v>
      </c>
      <c r="F52" s="8" t="n">
        <v>2458.75</v>
      </c>
      <c r="G52" s="8" t="n">
        <v>316.04</v>
      </c>
      <c r="H52" s="8" t="n">
        <v>2458.79</v>
      </c>
    </row>
    <row r="54" customFormat="false" ht="89.25" hidden="false" customHeight="true" outlineLevel="0" collapsed="false">
      <c r="A54" s="6" t="s">
        <v>84</v>
      </c>
      <c r="B54" s="7" t="s">
        <v>85</v>
      </c>
      <c r="C54" s="6" t="s">
        <v>86</v>
      </c>
      <c r="D54" s="8" t="n">
        <v>334.97</v>
      </c>
      <c r="E54" s="8" t="n">
        <v>52.5</v>
      </c>
      <c r="F54" s="8" t="n">
        <v>17585.93</v>
      </c>
      <c r="G54" s="8" t="n">
        <v>52.5</v>
      </c>
      <c r="H54" s="8" t="n">
        <v>17585.93</v>
      </c>
      <c r="I54" s="14" t="s">
        <v>87</v>
      </c>
      <c r="J54" s="15" t="s">
        <v>31</v>
      </c>
      <c r="K54" s="14" t="s">
        <v>88</v>
      </c>
    </row>
    <row r="56" customFormat="false" ht="102" hidden="false" customHeight="true" outlineLevel="0" collapsed="false">
      <c r="A56" s="6" t="s">
        <v>89</v>
      </c>
      <c r="B56" s="7" t="s">
        <v>90</v>
      </c>
      <c r="I56" s="12" t="s">
        <v>91</v>
      </c>
      <c r="J56" s="13" t="s">
        <v>23</v>
      </c>
      <c r="K56" s="12" t="s">
        <v>92</v>
      </c>
    </row>
    <row r="58" customFormat="false" ht="12.75" hidden="false" customHeight="true" outlineLevel="0" collapsed="false">
      <c r="A58" s="6" t="s">
        <v>93</v>
      </c>
      <c r="B58" s="7" t="s">
        <v>94</v>
      </c>
      <c r="C58" s="6" t="s">
        <v>95</v>
      </c>
      <c r="D58" s="8" t="n">
        <v>2842.4</v>
      </c>
      <c r="E58" s="8" t="n">
        <v>3.12</v>
      </c>
      <c r="F58" s="8" t="n">
        <v>8868.29</v>
      </c>
      <c r="G58" s="8" t="n">
        <v>3.12</v>
      </c>
      <c r="H58" s="8" t="n">
        <v>8868.29</v>
      </c>
    </row>
    <row r="60" customFormat="false" ht="12.75" hidden="false" customHeight="true" outlineLevel="0" collapsed="false">
      <c r="A60" s="6" t="s">
        <v>96</v>
      </c>
      <c r="B60" s="7" t="s">
        <v>97</v>
      </c>
      <c r="C60" s="6" t="s">
        <v>95</v>
      </c>
      <c r="D60" s="8" t="n">
        <v>1004.2</v>
      </c>
      <c r="E60" s="8" t="n">
        <v>3.12</v>
      </c>
      <c r="F60" s="8" t="n">
        <v>3133.1</v>
      </c>
      <c r="G60" s="8" t="n">
        <v>3.12</v>
      </c>
      <c r="H60" s="8" t="n">
        <v>3133.1</v>
      </c>
    </row>
    <row r="62" customFormat="false" ht="102" hidden="false" customHeight="true" outlineLevel="0" collapsed="false">
      <c r="A62" s="6" t="s">
        <v>98</v>
      </c>
      <c r="B62" s="7" t="s">
        <v>99</v>
      </c>
      <c r="I62" s="14" t="s">
        <v>17</v>
      </c>
      <c r="J62" s="15" t="s">
        <v>31</v>
      </c>
      <c r="K62" s="14" t="s">
        <v>100</v>
      </c>
    </row>
    <row r="64" customFormat="false" ht="12.75" hidden="false" customHeight="true" outlineLevel="0" collapsed="false">
      <c r="A64" s="6" t="s">
        <v>101</v>
      </c>
      <c r="B64" s="7" t="s">
        <v>102</v>
      </c>
      <c r="C64" s="6" t="s">
        <v>95</v>
      </c>
      <c r="D64" s="8" t="n">
        <v>4568.43</v>
      </c>
      <c r="E64" s="8" t="n">
        <v>2.95</v>
      </c>
      <c r="F64" s="8" t="n">
        <v>13476.87</v>
      </c>
      <c r="G64" s="8" t="n">
        <v>2.95</v>
      </c>
      <c r="H64" s="8" t="n">
        <v>13476.87</v>
      </c>
    </row>
    <row r="66" customFormat="false" ht="12.75" hidden="false" customHeight="true" outlineLevel="0" collapsed="false">
      <c r="A66" s="6" t="s">
        <v>103</v>
      </c>
      <c r="B66" s="7" t="s">
        <v>104</v>
      </c>
      <c r="C66" s="6" t="s">
        <v>95</v>
      </c>
      <c r="D66" s="8" t="n">
        <v>24.49</v>
      </c>
      <c r="E66" s="8" t="n">
        <v>2.84</v>
      </c>
      <c r="F66" s="8" t="n">
        <v>69.55</v>
      </c>
      <c r="G66" s="8" t="n">
        <v>2.84</v>
      </c>
      <c r="H66" s="8" t="n">
        <v>69.55</v>
      </c>
    </row>
    <row r="68" customFormat="false" ht="12.75" hidden="false" customHeight="true" outlineLevel="0" collapsed="false">
      <c r="A68" s="6" t="s">
        <v>105</v>
      </c>
      <c r="B68" s="7" t="s">
        <v>106</v>
      </c>
      <c r="C68" s="6" t="s">
        <v>95</v>
      </c>
      <c r="D68" s="8" t="n">
        <v>168.31</v>
      </c>
      <c r="E68" s="8" t="n">
        <v>2.93</v>
      </c>
      <c r="F68" s="8" t="n">
        <v>493.15</v>
      </c>
      <c r="G68" s="8" t="n">
        <v>2.93</v>
      </c>
      <c r="H68" s="8" t="n">
        <v>493.15</v>
      </c>
    </row>
    <row r="70" customFormat="false" ht="12.75" hidden="false" customHeight="true" outlineLevel="0" collapsed="false">
      <c r="A70" s="6" t="s">
        <v>107</v>
      </c>
      <c r="B70" s="7" t="s">
        <v>108</v>
      </c>
      <c r="C70" s="6" t="s">
        <v>95</v>
      </c>
      <c r="D70" s="8" t="n">
        <v>618.96</v>
      </c>
      <c r="E70" s="8" t="n">
        <v>2.92</v>
      </c>
      <c r="F70" s="8" t="n">
        <v>1807.36</v>
      </c>
      <c r="G70" s="8" t="n">
        <v>2.92</v>
      </c>
      <c r="H70" s="8" t="n">
        <v>1807.36</v>
      </c>
    </row>
    <row r="72" customFormat="false" ht="12.75" hidden="false" customHeight="true" outlineLevel="0" collapsed="false">
      <c r="A72" s="6" t="s">
        <v>109</v>
      </c>
      <c r="B72" s="7" t="s">
        <v>110</v>
      </c>
      <c r="C72" s="6" t="s">
        <v>95</v>
      </c>
      <c r="D72" s="8" t="n">
        <v>3316.58</v>
      </c>
      <c r="E72" s="8" t="n">
        <v>2.93</v>
      </c>
      <c r="F72" s="8" t="n">
        <v>9717.58</v>
      </c>
      <c r="G72" s="8" t="n">
        <v>2.93</v>
      </c>
      <c r="H72" s="8" t="n">
        <v>9717.58</v>
      </c>
    </row>
    <row r="74" customFormat="false" ht="280.5" hidden="false" customHeight="true" outlineLevel="0" collapsed="false">
      <c r="A74" s="6" t="s">
        <v>111</v>
      </c>
      <c r="B74" s="7" t="s">
        <v>112</v>
      </c>
      <c r="I74" s="12" t="s">
        <v>87</v>
      </c>
      <c r="J74" s="13" t="s">
        <v>23</v>
      </c>
      <c r="K74" s="12" t="s">
        <v>113</v>
      </c>
    </row>
    <row r="76" customFormat="false" ht="12.75" hidden="false" customHeight="true" outlineLevel="0" collapsed="false">
      <c r="A76" s="6" t="s">
        <v>114</v>
      </c>
      <c r="B76" s="7" t="s">
        <v>115</v>
      </c>
      <c r="C76" s="6" t="s">
        <v>16</v>
      </c>
      <c r="D76" s="9" t="n">
        <v>5</v>
      </c>
      <c r="E76" s="8" t="n">
        <v>1533.59</v>
      </c>
      <c r="F76" s="8" t="n">
        <v>7667.97</v>
      </c>
      <c r="G76" s="8" t="n">
        <v>1533.59</v>
      </c>
      <c r="H76" s="8" t="n">
        <v>7667.95</v>
      </c>
    </row>
    <row r="78" customFormat="false" ht="12.75" hidden="false" customHeight="true" outlineLevel="0" collapsed="false">
      <c r="A78" s="6" t="s">
        <v>116</v>
      </c>
      <c r="B78" s="7" t="s">
        <v>117</v>
      </c>
      <c r="C78" s="6" t="s">
        <v>16</v>
      </c>
      <c r="D78" s="9" t="n">
        <v>4</v>
      </c>
      <c r="E78" s="8" t="n">
        <v>1586.48</v>
      </c>
      <c r="F78" s="8" t="n">
        <v>6345.91</v>
      </c>
      <c r="G78" s="8" t="n">
        <v>1586.48</v>
      </c>
      <c r="H78" s="8" t="n">
        <v>6345.92</v>
      </c>
    </row>
    <row r="80" customFormat="false" ht="12.75" hidden="false" customHeight="true" outlineLevel="0" collapsed="false">
      <c r="A80" s="6" t="s">
        <v>118</v>
      </c>
      <c r="B80" s="7" t="s">
        <v>119</v>
      </c>
      <c r="C80" s="6" t="s">
        <v>16</v>
      </c>
      <c r="D80" s="9" t="n">
        <v>4</v>
      </c>
      <c r="E80" s="8" t="n">
        <v>1374.95</v>
      </c>
      <c r="F80" s="8" t="n">
        <v>5499.79</v>
      </c>
      <c r="G80" s="8" t="n">
        <v>1374.95</v>
      </c>
      <c r="H80" s="8" t="n">
        <v>5499.8</v>
      </c>
    </row>
    <row r="82" customFormat="false" ht="140.25" hidden="false" customHeight="true" outlineLevel="0" collapsed="false">
      <c r="A82" s="6" t="s">
        <v>120</v>
      </c>
      <c r="B82" s="7" t="s">
        <v>121</v>
      </c>
      <c r="C82" s="6" t="s">
        <v>16</v>
      </c>
      <c r="D82" s="9" t="n">
        <v>1</v>
      </c>
      <c r="E82" s="8" t="n">
        <v>3500</v>
      </c>
      <c r="F82" s="8" t="n">
        <v>3500</v>
      </c>
      <c r="G82" s="8" t="n">
        <v>3500</v>
      </c>
      <c r="H82" s="8" t="n">
        <v>3500</v>
      </c>
      <c r="I82" s="12" t="s">
        <v>22</v>
      </c>
      <c r="J82" s="13" t="s">
        <v>23</v>
      </c>
      <c r="K82" s="12" t="s">
        <v>122</v>
      </c>
    </row>
    <row r="85" customFormat="false" ht="12.75" hidden="false" customHeight="true" outlineLevel="0" collapsed="false">
      <c r="A85" s="6" t="s">
        <v>123</v>
      </c>
      <c r="B85" s="7" t="s">
        <v>124</v>
      </c>
      <c r="F85" s="8" t="n">
        <v>833817.17</v>
      </c>
      <c r="H85" s="8" t="n">
        <v>833817.01</v>
      </c>
    </row>
    <row r="87" customFormat="false" ht="153" hidden="false" customHeight="true" outlineLevel="0" collapsed="false">
      <c r="A87" s="6" t="s">
        <v>125</v>
      </c>
      <c r="B87" s="7" t="s">
        <v>126</v>
      </c>
      <c r="I87" s="12" t="s">
        <v>91</v>
      </c>
      <c r="J87" s="13" t="s">
        <v>23</v>
      </c>
      <c r="K87" s="12" t="s">
        <v>127</v>
      </c>
    </row>
    <row r="89" customFormat="false" ht="12.75" hidden="false" customHeight="true" outlineLevel="0" collapsed="false">
      <c r="A89" s="6" t="s">
        <v>128</v>
      </c>
      <c r="B89" s="7" t="s">
        <v>129</v>
      </c>
      <c r="C89" s="6" t="s">
        <v>61</v>
      </c>
      <c r="D89" s="8" t="n">
        <v>525.22</v>
      </c>
      <c r="E89" s="8" t="n">
        <v>134.17</v>
      </c>
      <c r="F89" s="8" t="n">
        <v>70469.71</v>
      </c>
      <c r="G89" s="8" t="n">
        <v>134.17</v>
      </c>
      <c r="H89" s="8" t="n">
        <v>70468.77</v>
      </c>
    </row>
    <row r="91" customFormat="false" ht="12.75" hidden="false" customHeight="true" outlineLevel="0" collapsed="false">
      <c r="A91" s="6" t="s">
        <v>130</v>
      </c>
      <c r="B91" s="7" t="s">
        <v>131</v>
      </c>
      <c r="C91" s="6" t="s">
        <v>61</v>
      </c>
      <c r="D91" s="8" t="n">
        <v>555.11</v>
      </c>
      <c r="E91" s="8" t="n">
        <v>126.31</v>
      </c>
      <c r="F91" s="8" t="n">
        <v>70116.04</v>
      </c>
      <c r="G91" s="8" t="n">
        <v>126.31</v>
      </c>
      <c r="H91" s="8" t="n">
        <v>70115.94</v>
      </c>
    </row>
    <row r="93" customFormat="false" ht="102" hidden="false" customHeight="true" outlineLevel="0" collapsed="false">
      <c r="A93" s="6" t="s">
        <v>132</v>
      </c>
      <c r="B93" s="7" t="s">
        <v>133</v>
      </c>
      <c r="C93" s="6" t="s">
        <v>44</v>
      </c>
      <c r="D93" s="8" t="n">
        <v>100.14</v>
      </c>
      <c r="E93" s="8" t="n">
        <v>99.08</v>
      </c>
      <c r="F93" s="8" t="n">
        <v>9922.07</v>
      </c>
      <c r="G93" s="8" t="n">
        <v>99.08</v>
      </c>
      <c r="H93" s="8" t="n">
        <v>9921.87</v>
      </c>
    </row>
    <row r="95" customFormat="false" ht="204" hidden="false" customHeight="true" outlineLevel="0" collapsed="false">
      <c r="A95" s="6" t="s">
        <v>134</v>
      </c>
      <c r="B95" s="7" t="s">
        <v>135</v>
      </c>
      <c r="C95" s="6" t="s">
        <v>44</v>
      </c>
      <c r="D95" s="8" t="n">
        <v>63.11</v>
      </c>
      <c r="E95" s="8" t="n">
        <v>318.79</v>
      </c>
      <c r="F95" s="8" t="n">
        <v>20119.03</v>
      </c>
      <c r="G95" s="8" t="n">
        <v>318.79</v>
      </c>
      <c r="H95" s="8" t="n">
        <v>20118.84</v>
      </c>
      <c r="I95" s="16" t="s">
        <v>45</v>
      </c>
      <c r="J95" s="17" t="s">
        <v>66</v>
      </c>
      <c r="K95" s="16" t="s">
        <v>136</v>
      </c>
    </row>
    <row r="97" customFormat="false" ht="178.5" hidden="false" customHeight="true" outlineLevel="0" collapsed="false">
      <c r="A97" s="6" t="s">
        <v>137</v>
      </c>
      <c r="B97" s="7" t="s">
        <v>138</v>
      </c>
      <c r="C97" s="6" t="s">
        <v>44</v>
      </c>
      <c r="D97" s="8" t="n">
        <v>218.15</v>
      </c>
      <c r="E97" s="8" t="n">
        <v>318.06</v>
      </c>
      <c r="F97" s="8" t="n">
        <v>69384.35</v>
      </c>
      <c r="G97" s="8" t="n">
        <v>318.06</v>
      </c>
      <c r="H97" s="8" t="n">
        <v>69384.79</v>
      </c>
    </row>
    <row r="99" customFormat="false" ht="204" hidden="false" customHeight="true" outlineLevel="0" collapsed="false">
      <c r="A99" s="6" t="s">
        <v>139</v>
      </c>
      <c r="B99" s="7" t="s">
        <v>140</v>
      </c>
      <c r="C99" s="6" t="s">
        <v>44</v>
      </c>
      <c r="D99" s="8" t="n">
        <v>29.47</v>
      </c>
      <c r="E99" s="8" t="n">
        <v>436.23</v>
      </c>
      <c r="F99" s="8" t="n">
        <v>12855.64</v>
      </c>
      <c r="G99" s="8" t="n">
        <v>436.23</v>
      </c>
      <c r="H99" s="8" t="n">
        <v>12855.7</v>
      </c>
    </row>
    <row r="101" customFormat="false" ht="191.25" hidden="false" customHeight="true" outlineLevel="0" collapsed="false">
      <c r="A101" s="6" t="s">
        <v>141</v>
      </c>
      <c r="B101" s="7" t="s">
        <v>142</v>
      </c>
      <c r="C101" s="6" t="s">
        <v>44</v>
      </c>
      <c r="D101" s="8" t="n">
        <v>3.83</v>
      </c>
      <c r="E101" s="8" t="n">
        <v>436.23</v>
      </c>
      <c r="F101" s="8" t="n">
        <v>1670.75</v>
      </c>
      <c r="G101" s="8" t="n">
        <v>436.23</v>
      </c>
      <c r="H101" s="8" t="n">
        <v>1670.76</v>
      </c>
    </row>
    <row r="103" customFormat="false" ht="191.25" hidden="false" customHeight="true" outlineLevel="0" collapsed="false">
      <c r="A103" s="6" t="s">
        <v>143</v>
      </c>
      <c r="B103" s="7" t="s">
        <v>144</v>
      </c>
      <c r="C103" s="6" t="s">
        <v>44</v>
      </c>
      <c r="D103" s="8" t="n">
        <v>262.53</v>
      </c>
      <c r="E103" s="8" t="n">
        <v>657.49</v>
      </c>
      <c r="F103" s="8" t="n">
        <v>172610.32</v>
      </c>
      <c r="G103" s="8" t="n">
        <v>657.49</v>
      </c>
      <c r="H103" s="8" t="n">
        <v>172610.85</v>
      </c>
      <c r="I103" s="14" t="s">
        <v>87</v>
      </c>
      <c r="J103" s="15" t="s">
        <v>31</v>
      </c>
      <c r="K103" s="14" t="s">
        <v>145</v>
      </c>
    </row>
    <row r="106" customFormat="false" ht="191.25" hidden="false" customHeight="true" outlineLevel="0" collapsed="false">
      <c r="A106" s="6" t="s">
        <v>146</v>
      </c>
      <c r="B106" s="7" t="s">
        <v>147</v>
      </c>
      <c r="C106" s="6" t="s">
        <v>44</v>
      </c>
      <c r="D106" s="8" t="n">
        <v>85.74</v>
      </c>
      <c r="E106" s="8" t="n">
        <v>572.35</v>
      </c>
      <c r="F106" s="8" t="n">
        <v>49073.12</v>
      </c>
      <c r="G106" s="8" t="n">
        <v>572.35</v>
      </c>
      <c r="H106" s="8" t="n">
        <v>49073.29</v>
      </c>
    </row>
    <row r="108" customFormat="false" ht="165.75" hidden="false" customHeight="true" outlineLevel="0" collapsed="false">
      <c r="A108" s="6" t="s">
        <v>148</v>
      </c>
      <c r="B108" s="7" t="s">
        <v>149</v>
      </c>
      <c r="C108" s="6" t="s">
        <v>44</v>
      </c>
      <c r="D108" s="8" t="n">
        <v>21.27</v>
      </c>
      <c r="E108" s="8" t="n">
        <v>778.9</v>
      </c>
      <c r="F108" s="8" t="n">
        <v>16567.22</v>
      </c>
      <c r="G108" s="8" t="n">
        <v>778.9</v>
      </c>
      <c r="H108" s="8" t="n">
        <v>16567.2</v>
      </c>
    </row>
    <row r="110" customFormat="false" ht="165.75" hidden="false" customHeight="true" outlineLevel="0" collapsed="false">
      <c r="A110" s="6" t="s">
        <v>150</v>
      </c>
      <c r="B110" s="7" t="s">
        <v>151</v>
      </c>
      <c r="C110" s="6" t="s">
        <v>44</v>
      </c>
      <c r="D110" s="8" t="n">
        <v>95.51</v>
      </c>
      <c r="E110" s="8" t="n">
        <v>603.97</v>
      </c>
      <c r="F110" s="8" t="n">
        <v>57685.27</v>
      </c>
      <c r="G110" s="8" t="n">
        <v>603.97</v>
      </c>
      <c r="H110" s="8" t="n">
        <v>57685.17</v>
      </c>
    </row>
    <row r="112" customFormat="false" ht="153" hidden="false" customHeight="true" outlineLevel="0" collapsed="false">
      <c r="A112" s="6" t="s">
        <v>152</v>
      </c>
      <c r="B112" s="7" t="s">
        <v>153</v>
      </c>
      <c r="C112" s="6" t="s">
        <v>44</v>
      </c>
      <c r="D112" s="8" t="n">
        <v>101.63</v>
      </c>
      <c r="E112" s="8" t="n">
        <v>566.23</v>
      </c>
      <c r="F112" s="8" t="n">
        <v>57546.06</v>
      </c>
      <c r="G112" s="8" t="n">
        <v>566.23</v>
      </c>
      <c r="H112" s="8" t="n">
        <v>57545.95</v>
      </c>
      <c r="I112" s="12" t="s">
        <v>4</v>
      </c>
      <c r="J112" s="13" t="s">
        <v>23</v>
      </c>
      <c r="K112" s="12" t="s">
        <v>154</v>
      </c>
    </row>
    <row r="114" customFormat="false" ht="165.75" hidden="false" customHeight="true" outlineLevel="0" collapsed="false">
      <c r="A114" s="6" t="s">
        <v>155</v>
      </c>
      <c r="B114" s="7" t="s">
        <v>156</v>
      </c>
      <c r="C114" s="6" t="s">
        <v>44</v>
      </c>
      <c r="D114" s="8" t="n">
        <v>243.09</v>
      </c>
      <c r="E114" s="8" t="n">
        <v>435.21</v>
      </c>
      <c r="F114" s="8" t="n">
        <v>105794.23</v>
      </c>
      <c r="G114" s="8" t="n">
        <v>435.21</v>
      </c>
      <c r="H114" s="8" t="n">
        <v>105795.2</v>
      </c>
      <c r="I114" s="14" t="s">
        <v>17</v>
      </c>
      <c r="J114" s="15" t="s">
        <v>31</v>
      </c>
      <c r="K114" s="14" t="s">
        <v>157</v>
      </c>
    </row>
    <row r="116" customFormat="false" ht="165.75" hidden="false" customHeight="true" outlineLevel="0" collapsed="false">
      <c r="A116" s="6" t="s">
        <v>158</v>
      </c>
      <c r="B116" s="7" t="s">
        <v>159</v>
      </c>
      <c r="C116" s="6" t="s">
        <v>44</v>
      </c>
      <c r="D116" s="8" t="n">
        <v>11.73</v>
      </c>
      <c r="E116" s="8" t="n">
        <v>591.43</v>
      </c>
      <c r="F116" s="8" t="n">
        <v>6937.49</v>
      </c>
      <c r="G116" s="8" t="n">
        <v>591.43</v>
      </c>
      <c r="H116" s="8" t="n">
        <v>6937.47</v>
      </c>
    </row>
    <row r="118" customFormat="false" ht="409.5" hidden="false" customHeight="true" outlineLevel="0" collapsed="false">
      <c r="A118" s="6" t="s">
        <v>160</v>
      </c>
      <c r="B118" s="7" t="s">
        <v>161</v>
      </c>
      <c r="I118" s="14" t="s">
        <v>4</v>
      </c>
      <c r="J118" s="15" t="s">
        <v>31</v>
      </c>
      <c r="K118" s="14" t="s">
        <v>162</v>
      </c>
    </row>
    <row r="121" customFormat="false" ht="12.75" hidden="false" customHeight="true" outlineLevel="0" collapsed="false">
      <c r="A121" s="6" t="s">
        <v>163</v>
      </c>
      <c r="B121" s="7" t="s">
        <v>164</v>
      </c>
      <c r="C121" s="6" t="s">
        <v>86</v>
      </c>
      <c r="D121" s="8" t="n">
        <v>419.56</v>
      </c>
      <c r="E121" s="8" t="n">
        <v>51.52</v>
      </c>
      <c r="F121" s="8" t="n">
        <v>21617.37</v>
      </c>
      <c r="G121" s="8" t="n">
        <v>51.52</v>
      </c>
      <c r="H121" s="8" t="n">
        <v>21615.73</v>
      </c>
    </row>
    <row r="123" customFormat="false" ht="12.75" hidden="false" customHeight="true" outlineLevel="0" collapsed="false">
      <c r="A123" s="6" t="s">
        <v>165</v>
      </c>
      <c r="B123" s="7" t="s">
        <v>166</v>
      </c>
      <c r="C123" s="6" t="s">
        <v>86</v>
      </c>
      <c r="D123" s="8" t="n">
        <v>1602.9</v>
      </c>
      <c r="E123" s="8" t="n">
        <v>48.91</v>
      </c>
      <c r="F123" s="8" t="n">
        <v>78397.71</v>
      </c>
      <c r="G123" s="8" t="n">
        <v>48.91</v>
      </c>
      <c r="H123" s="8" t="n">
        <v>78397.84</v>
      </c>
    </row>
    <row r="125" customFormat="false" ht="12.75" hidden="false" customHeight="true" outlineLevel="0" collapsed="false">
      <c r="A125" s="6" t="s">
        <v>167</v>
      </c>
      <c r="B125" s="7" t="s">
        <v>168</v>
      </c>
      <c r="C125" s="6" t="s">
        <v>86</v>
      </c>
      <c r="D125" s="8" t="n">
        <v>262.82</v>
      </c>
      <c r="E125" s="8" t="n">
        <v>49.66</v>
      </c>
      <c r="F125" s="8" t="n">
        <v>13050.79</v>
      </c>
      <c r="G125" s="8" t="n">
        <v>49.66</v>
      </c>
      <c r="H125" s="8" t="n">
        <v>13051.64</v>
      </c>
    </row>
    <row r="127" customFormat="false" ht="12.75" hidden="false" customHeight="true" outlineLevel="0" collapsed="false">
      <c r="A127" s="6" t="s">
        <v>169</v>
      </c>
      <c r="B127" s="7" t="s">
        <v>170</v>
      </c>
      <c r="F127" s="8" t="n">
        <v>31627.01</v>
      </c>
      <c r="H127" s="8" t="n">
        <v>31627.01</v>
      </c>
    </row>
    <row r="129" customFormat="false" ht="127.5" hidden="false" customHeight="true" outlineLevel="0" collapsed="false">
      <c r="A129" s="6" t="s">
        <v>171</v>
      </c>
      <c r="B129" s="7" t="s">
        <v>172</v>
      </c>
    </row>
    <row r="131" customFormat="false" ht="12.75" hidden="false" customHeight="true" outlineLevel="0" collapsed="false">
      <c r="A131" s="6" t="s">
        <v>173</v>
      </c>
      <c r="B131" s="7" t="s">
        <v>174</v>
      </c>
      <c r="C131" s="6" t="s">
        <v>95</v>
      </c>
      <c r="D131" s="8" t="n">
        <v>1008.27</v>
      </c>
      <c r="E131" s="8" t="n">
        <v>3.91</v>
      </c>
      <c r="F131" s="8" t="n">
        <v>3942.34</v>
      </c>
      <c r="G131" s="8" t="n">
        <v>3.91</v>
      </c>
      <c r="H131" s="8" t="n">
        <v>3942.34</v>
      </c>
    </row>
    <row r="133" customFormat="false" ht="12.75" hidden="false" customHeight="true" outlineLevel="0" collapsed="false">
      <c r="A133" s="6" t="s">
        <v>175</v>
      </c>
      <c r="B133" s="7" t="s">
        <v>176</v>
      </c>
      <c r="C133" s="6" t="s">
        <v>95</v>
      </c>
      <c r="D133" s="8" t="n">
        <v>466.09</v>
      </c>
      <c r="E133" s="8" t="n">
        <v>4.31</v>
      </c>
      <c r="F133" s="8" t="n">
        <v>2008.85</v>
      </c>
      <c r="G133" s="8" t="n">
        <v>4.31</v>
      </c>
      <c r="H133" s="8" t="n">
        <v>2008.85</v>
      </c>
    </row>
    <row r="135" customFormat="false" ht="140.25" hidden="false" customHeight="true" outlineLevel="0" collapsed="false">
      <c r="A135" s="6" t="s">
        <v>177</v>
      </c>
      <c r="B135" s="7" t="s">
        <v>178</v>
      </c>
      <c r="I135" s="12" t="s">
        <v>22</v>
      </c>
      <c r="J135" s="13" t="s">
        <v>23</v>
      </c>
      <c r="K135" s="12" t="s">
        <v>179</v>
      </c>
    </row>
    <row r="137" customFormat="false" ht="12.75" hidden="false" customHeight="true" outlineLevel="0" collapsed="false">
      <c r="A137" s="6" t="s">
        <v>180</v>
      </c>
      <c r="B137" s="7" t="s">
        <v>181</v>
      </c>
      <c r="C137" s="6" t="s">
        <v>95</v>
      </c>
      <c r="D137" s="8" t="n">
        <v>103.95</v>
      </c>
      <c r="E137" s="8" t="n">
        <v>6.94</v>
      </c>
      <c r="F137" s="8" t="n">
        <v>721.41</v>
      </c>
      <c r="G137" s="8" t="n">
        <v>6.94</v>
      </c>
      <c r="H137" s="8" t="n">
        <v>721.41</v>
      </c>
    </row>
    <row r="139" customFormat="false" ht="12.75" hidden="false" customHeight="true" outlineLevel="0" collapsed="false">
      <c r="A139" s="6" t="s">
        <v>182</v>
      </c>
      <c r="B139" s="7" t="s">
        <v>183</v>
      </c>
      <c r="C139" s="6" t="s">
        <v>95</v>
      </c>
      <c r="D139" s="8" t="n">
        <v>53.55</v>
      </c>
      <c r="E139" s="8" t="n">
        <v>2.84</v>
      </c>
      <c r="F139" s="8" t="n">
        <v>152.08</v>
      </c>
      <c r="G139" s="8" t="n">
        <v>2.84</v>
      </c>
      <c r="H139" s="8" t="n">
        <v>152.08</v>
      </c>
    </row>
    <row r="141" customFormat="false" ht="12.75" hidden="false" customHeight="true" outlineLevel="0" collapsed="false">
      <c r="A141" s="6" t="s">
        <v>184</v>
      </c>
      <c r="B141" s="7" t="s">
        <v>185</v>
      </c>
      <c r="C141" s="6" t="s">
        <v>95</v>
      </c>
      <c r="D141" s="8" t="n">
        <v>78.79</v>
      </c>
      <c r="E141" s="8" t="n">
        <v>4.84</v>
      </c>
      <c r="F141" s="8" t="n">
        <v>381.34</v>
      </c>
      <c r="G141" s="8" t="n">
        <v>4.84</v>
      </c>
      <c r="H141" s="8" t="n">
        <v>381.34</v>
      </c>
    </row>
    <row r="143" customFormat="false" ht="12.75" hidden="false" customHeight="true" outlineLevel="0" collapsed="false">
      <c r="A143" s="6" t="s">
        <v>186</v>
      </c>
      <c r="B143" s="7" t="s">
        <v>187</v>
      </c>
      <c r="C143" s="6" t="s">
        <v>95</v>
      </c>
      <c r="D143" s="8" t="n">
        <v>869.65</v>
      </c>
      <c r="E143" s="8" t="n">
        <v>3.13</v>
      </c>
      <c r="F143" s="8" t="n">
        <v>2722</v>
      </c>
      <c r="G143" s="8" t="n">
        <v>3.13</v>
      </c>
      <c r="H143" s="8" t="n">
        <v>2722</v>
      </c>
    </row>
    <row r="145" customFormat="false" ht="114.75" hidden="false" customHeight="true" outlineLevel="0" collapsed="false">
      <c r="A145" s="6" t="s">
        <v>188</v>
      </c>
      <c r="B145" s="7" t="s">
        <v>189</v>
      </c>
      <c r="C145" s="6" t="s">
        <v>86</v>
      </c>
      <c r="D145" s="8" t="n">
        <v>11.4</v>
      </c>
      <c r="E145" s="8" t="n">
        <v>220.36</v>
      </c>
      <c r="F145" s="8" t="n">
        <v>2512.1</v>
      </c>
      <c r="G145" s="8" t="n">
        <v>220.36</v>
      </c>
      <c r="H145" s="8" t="n">
        <v>2512.1</v>
      </c>
    </row>
    <row r="147" customFormat="false" ht="114.75" hidden="false" customHeight="true" outlineLevel="0" collapsed="false">
      <c r="A147" s="6" t="s">
        <v>190</v>
      </c>
      <c r="B147" s="7" t="s">
        <v>191</v>
      </c>
      <c r="C147" s="6" t="s">
        <v>86</v>
      </c>
      <c r="D147" s="8" t="n">
        <v>17.18</v>
      </c>
      <c r="E147" s="8" t="n">
        <v>156.22</v>
      </c>
      <c r="F147" s="8" t="n">
        <v>2683.86</v>
      </c>
      <c r="G147" s="8" t="n">
        <v>156.22</v>
      </c>
      <c r="H147" s="8" t="n">
        <v>2683.86</v>
      </c>
      <c r="I147" s="14" t="s">
        <v>192</v>
      </c>
      <c r="J147" s="15" t="s">
        <v>31</v>
      </c>
      <c r="K147" s="14" t="s">
        <v>193</v>
      </c>
    </row>
    <row r="149" customFormat="false" ht="76.5" hidden="false" customHeight="true" outlineLevel="0" collapsed="false">
      <c r="A149" s="6" t="s">
        <v>194</v>
      </c>
      <c r="B149" s="7" t="s">
        <v>195</v>
      </c>
    </row>
    <row r="151" customFormat="false" ht="12.75" hidden="false" customHeight="true" outlineLevel="0" collapsed="false">
      <c r="A151" s="6" t="s">
        <v>196</v>
      </c>
      <c r="B151" s="7" t="s">
        <v>197</v>
      </c>
      <c r="C151" s="6" t="s">
        <v>95</v>
      </c>
      <c r="D151" s="8" t="n">
        <v>5672.04</v>
      </c>
      <c r="E151" s="8" t="n">
        <v>2.75</v>
      </c>
      <c r="F151" s="8" t="n">
        <v>15598.11</v>
      </c>
      <c r="G151" s="8" t="n">
        <v>2.75</v>
      </c>
      <c r="H151" s="8" t="n">
        <v>15598.11</v>
      </c>
    </row>
    <row r="153" customFormat="false" ht="12.75" hidden="false" customHeight="true" outlineLevel="0" collapsed="false">
      <c r="A153" s="6" t="s">
        <v>198</v>
      </c>
      <c r="B153" s="7" t="s">
        <v>199</v>
      </c>
      <c r="C153" s="6" t="s">
        <v>95</v>
      </c>
      <c r="D153" s="8" t="n">
        <v>236.89</v>
      </c>
      <c r="E153" s="8" t="n">
        <v>3.82</v>
      </c>
      <c r="F153" s="8" t="n">
        <v>904.92</v>
      </c>
      <c r="G153" s="8" t="n">
        <v>3.82</v>
      </c>
      <c r="H153" s="8" t="n">
        <v>904.92</v>
      </c>
    </row>
    <row r="155" customFormat="false" ht="12.75" hidden="false" customHeight="true" outlineLevel="0" collapsed="false">
      <c r="A155" s="6" t="s">
        <v>200</v>
      </c>
      <c r="B155" s="7" t="s">
        <v>201</v>
      </c>
      <c r="F155" s="8" t="n">
        <v>308931.74</v>
      </c>
      <c r="H155" s="8" t="n">
        <v>308932.45</v>
      </c>
    </row>
    <row r="157" customFormat="false" ht="114.75" hidden="false" customHeight="true" outlineLevel="0" collapsed="false">
      <c r="A157" s="6" t="s">
        <v>202</v>
      </c>
      <c r="B157" s="7" t="s">
        <v>203</v>
      </c>
      <c r="I157" s="12" t="s">
        <v>87</v>
      </c>
      <c r="J157" s="13" t="s">
        <v>23</v>
      </c>
      <c r="K157" s="12" t="s">
        <v>204</v>
      </c>
    </row>
    <row r="159" customFormat="false" ht="12.75" hidden="false" customHeight="true" outlineLevel="0" collapsed="false">
      <c r="A159" s="6" t="s">
        <v>205</v>
      </c>
      <c r="B159" s="7" t="s">
        <v>206</v>
      </c>
      <c r="C159" s="6" t="s">
        <v>61</v>
      </c>
      <c r="D159" s="8" t="n">
        <v>1158.75</v>
      </c>
      <c r="E159" s="8" t="n">
        <v>53.12</v>
      </c>
      <c r="F159" s="8" t="n">
        <v>61549.16</v>
      </c>
      <c r="G159" s="8" t="n">
        <v>53.12</v>
      </c>
      <c r="H159" s="8" t="n">
        <v>61552.8</v>
      </c>
    </row>
    <row r="161" customFormat="false" ht="12.75" hidden="false" customHeight="true" outlineLevel="0" collapsed="false">
      <c r="A161" s="6" t="s">
        <v>207</v>
      </c>
      <c r="B161" s="7" t="s">
        <v>208</v>
      </c>
      <c r="C161" s="6" t="s">
        <v>61</v>
      </c>
      <c r="D161" s="8" t="n">
        <v>877.52</v>
      </c>
      <c r="E161" s="8" t="n">
        <v>69.73</v>
      </c>
      <c r="F161" s="8" t="n">
        <v>61192.02</v>
      </c>
      <c r="G161" s="8" t="n">
        <v>69.73</v>
      </c>
      <c r="H161" s="8" t="n">
        <v>61189.47</v>
      </c>
    </row>
    <row r="163" customFormat="false" ht="12.75" hidden="false" customHeight="true" outlineLevel="0" collapsed="false">
      <c r="A163" s="6" t="s">
        <v>209</v>
      </c>
      <c r="B163" s="7" t="s">
        <v>210</v>
      </c>
      <c r="C163" s="6" t="s">
        <v>61</v>
      </c>
      <c r="D163" s="8" t="n">
        <v>50.8</v>
      </c>
      <c r="E163" s="8" t="n">
        <v>67.22</v>
      </c>
      <c r="F163" s="8" t="n">
        <v>3414.57</v>
      </c>
      <c r="G163" s="8" t="n">
        <v>67.22</v>
      </c>
      <c r="H163" s="8" t="n">
        <v>3414.78</v>
      </c>
    </row>
    <row r="165" customFormat="false" ht="12.75" hidden="false" customHeight="true" outlineLevel="0" collapsed="false">
      <c r="A165" s="6" t="s">
        <v>211</v>
      </c>
      <c r="B165" s="7" t="s">
        <v>212</v>
      </c>
      <c r="C165" s="6" t="s">
        <v>61</v>
      </c>
      <c r="D165" s="8" t="n">
        <v>272.7</v>
      </c>
      <c r="E165" s="8" t="n">
        <v>78.89</v>
      </c>
      <c r="F165" s="8" t="n">
        <v>21512.03</v>
      </c>
      <c r="G165" s="8" t="n">
        <v>78.89</v>
      </c>
      <c r="H165" s="8" t="n">
        <v>21513.3</v>
      </c>
    </row>
    <row r="167" customFormat="false" ht="12.75" hidden="false" customHeight="true" outlineLevel="0" collapsed="false">
      <c r="A167" s="6" t="s">
        <v>213</v>
      </c>
      <c r="B167" s="7" t="s">
        <v>214</v>
      </c>
      <c r="C167" s="6" t="s">
        <v>61</v>
      </c>
      <c r="D167" s="8" t="n">
        <v>22.5</v>
      </c>
      <c r="E167" s="8" t="n">
        <v>98.61</v>
      </c>
      <c r="F167" s="8" t="n">
        <v>2218.65</v>
      </c>
      <c r="G167" s="8" t="n">
        <v>98.61</v>
      </c>
      <c r="H167" s="8" t="n">
        <v>2218.73</v>
      </c>
    </row>
    <row r="169" customFormat="false" ht="12.75" hidden="false" customHeight="true" outlineLevel="0" collapsed="false">
      <c r="A169" s="6" t="s">
        <v>215</v>
      </c>
      <c r="B169" s="7" t="s">
        <v>216</v>
      </c>
      <c r="C169" s="6" t="s">
        <v>61</v>
      </c>
      <c r="D169" s="8" t="n">
        <v>855.69</v>
      </c>
      <c r="E169" s="8" t="n">
        <v>93.7</v>
      </c>
      <c r="F169" s="8" t="n">
        <v>80181.23</v>
      </c>
      <c r="G169" s="8" t="n">
        <v>93.7</v>
      </c>
      <c r="H169" s="8" t="n">
        <v>80178.15</v>
      </c>
    </row>
    <row r="171" customFormat="false" ht="12.75" hidden="false" customHeight="true" outlineLevel="0" collapsed="false">
      <c r="A171" s="6" t="s">
        <v>217</v>
      </c>
      <c r="B171" s="7" t="s">
        <v>218</v>
      </c>
      <c r="C171" s="6" t="s">
        <v>61</v>
      </c>
      <c r="D171" s="8" t="n">
        <v>196.98</v>
      </c>
      <c r="E171" s="8" t="n">
        <v>184.36</v>
      </c>
      <c r="F171" s="8" t="n">
        <v>36314.52</v>
      </c>
      <c r="G171" s="8" t="n">
        <v>184.36</v>
      </c>
      <c r="H171" s="8" t="n">
        <v>36315.23</v>
      </c>
    </row>
    <row r="173" customFormat="false" ht="12.75" hidden="false" customHeight="true" outlineLevel="0" collapsed="false">
      <c r="A173" s="6" t="s">
        <v>219</v>
      </c>
      <c r="B173" s="7" t="s">
        <v>220</v>
      </c>
      <c r="C173" s="6" t="s">
        <v>61</v>
      </c>
      <c r="D173" s="8" t="n">
        <v>98.64</v>
      </c>
      <c r="E173" s="8" t="n">
        <v>69.73</v>
      </c>
      <c r="F173" s="8" t="n">
        <v>6878.45</v>
      </c>
      <c r="G173" s="8" t="n">
        <v>69.73</v>
      </c>
      <c r="H173" s="8" t="n">
        <v>6878.17</v>
      </c>
      <c r="I173" s="14" t="s">
        <v>192</v>
      </c>
      <c r="J173" s="15" t="s">
        <v>31</v>
      </c>
      <c r="K173" s="14" t="s">
        <v>221</v>
      </c>
    </row>
    <row r="175" customFormat="false" ht="12.75" hidden="false" customHeight="true" outlineLevel="0" collapsed="false">
      <c r="A175" s="6" t="s">
        <v>222</v>
      </c>
      <c r="B175" s="7" t="s">
        <v>223</v>
      </c>
      <c r="C175" s="6" t="s">
        <v>61</v>
      </c>
      <c r="D175" s="8" t="n">
        <v>193.49</v>
      </c>
      <c r="E175" s="8" t="n">
        <v>184.36</v>
      </c>
      <c r="F175" s="8" t="n">
        <v>35671.11</v>
      </c>
      <c r="G175" s="8" t="n">
        <v>184.36</v>
      </c>
      <c r="H175" s="8" t="n">
        <v>35671.82</v>
      </c>
    </row>
    <row r="177" customFormat="false" ht="12.75" hidden="false" customHeight="true" outlineLevel="0" collapsed="false">
      <c r="A177" s="6" t="s">
        <v>224</v>
      </c>
      <c r="B177" s="7" t="s">
        <v>225</v>
      </c>
      <c r="F177" s="8" t="n">
        <v>70776.45</v>
      </c>
      <c r="H177" s="8" t="n">
        <v>70775.26</v>
      </c>
    </row>
    <row r="179" customFormat="false" ht="140.25" hidden="false" customHeight="true" outlineLevel="0" collapsed="false">
      <c r="A179" s="6" t="s">
        <v>226</v>
      </c>
      <c r="B179" s="7" t="s">
        <v>227</v>
      </c>
      <c r="C179" s="6" t="s">
        <v>86</v>
      </c>
      <c r="D179" s="8" t="n">
        <v>2017.13</v>
      </c>
      <c r="E179" s="8" t="n">
        <v>2.64</v>
      </c>
      <c r="F179" s="8" t="n">
        <v>5329.66</v>
      </c>
      <c r="G179" s="8" t="n">
        <v>2.64</v>
      </c>
      <c r="H179" s="8" t="n">
        <v>5325.22</v>
      </c>
      <c r="I179" s="14" t="s">
        <v>45</v>
      </c>
      <c r="J179" s="15" t="s">
        <v>31</v>
      </c>
      <c r="K179" s="14" t="s">
        <v>228</v>
      </c>
    </row>
    <row r="181" customFormat="false" ht="114.75" hidden="false" customHeight="true" outlineLevel="0" collapsed="false">
      <c r="A181" s="6" t="s">
        <v>229</v>
      </c>
      <c r="B181" s="7" t="s">
        <v>230</v>
      </c>
      <c r="C181" s="6" t="s">
        <v>61</v>
      </c>
      <c r="D181" s="8" t="n">
        <v>46.61</v>
      </c>
      <c r="E181" s="8" t="n">
        <v>12.55</v>
      </c>
      <c r="F181" s="8" t="n">
        <v>584.96</v>
      </c>
      <c r="G181" s="8" t="n">
        <v>12.55</v>
      </c>
      <c r="H181" s="8" t="n">
        <v>584.96</v>
      </c>
    </row>
    <row r="184" customFormat="false" ht="76.5" hidden="false" customHeight="true" outlineLevel="0" collapsed="false">
      <c r="A184" s="6" t="s">
        <v>231</v>
      </c>
      <c r="B184" s="7" t="s">
        <v>232</v>
      </c>
      <c r="C184" s="6" t="s">
        <v>86</v>
      </c>
      <c r="D184" s="8" t="n">
        <v>419.56</v>
      </c>
      <c r="E184" s="8" t="n">
        <v>4.31</v>
      </c>
      <c r="F184" s="8" t="n">
        <v>1806.63</v>
      </c>
      <c r="G184" s="8" t="n">
        <v>4.31</v>
      </c>
      <c r="H184" s="8" t="n">
        <v>1808.3</v>
      </c>
      <c r="I184" s="14" t="s">
        <v>17</v>
      </c>
      <c r="J184" s="15" t="s">
        <v>31</v>
      </c>
      <c r="K184" s="14" t="s">
        <v>233</v>
      </c>
    </row>
    <row r="186" customFormat="false" ht="153" hidden="false" customHeight="true" outlineLevel="0" collapsed="false">
      <c r="A186" s="6" t="s">
        <v>234</v>
      </c>
      <c r="B186" s="7" t="s">
        <v>235</v>
      </c>
    </row>
    <row r="188" customFormat="false" ht="12.75" hidden="false" customHeight="true" outlineLevel="0" collapsed="false">
      <c r="A188" s="6" t="s">
        <v>236</v>
      </c>
      <c r="B188" s="7" t="s">
        <v>237</v>
      </c>
      <c r="C188" s="6" t="s">
        <v>61</v>
      </c>
      <c r="D188" s="8" t="n">
        <v>199.85</v>
      </c>
      <c r="E188" s="8" t="n">
        <v>139</v>
      </c>
      <c r="F188" s="8" t="n">
        <v>27779.15</v>
      </c>
      <c r="G188" s="8" t="n">
        <v>139</v>
      </c>
      <c r="H188" s="8" t="n">
        <v>27779.15</v>
      </c>
    </row>
    <row r="190" customFormat="false" ht="12.75" hidden="false" customHeight="true" outlineLevel="0" collapsed="false">
      <c r="A190" s="6" t="s">
        <v>238</v>
      </c>
      <c r="B190" s="7" t="s">
        <v>239</v>
      </c>
      <c r="C190" s="6" t="s">
        <v>61</v>
      </c>
      <c r="D190" s="9" t="n">
        <v>14</v>
      </c>
      <c r="E190" s="8" t="n">
        <v>99.4</v>
      </c>
      <c r="F190" s="8" t="n">
        <v>1391.6</v>
      </c>
      <c r="G190" s="8" t="n">
        <v>99.4</v>
      </c>
      <c r="H190" s="8" t="n">
        <v>1391.6</v>
      </c>
    </row>
    <row r="192" customFormat="false" ht="12.75" hidden="false" customHeight="true" outlineLevel="0" collapsed="false">
      <c r="A192" s="6" t="s">
        <v>240</v>
      </c>
      <c r="B192" s="7" t="s">
        <v>241</v>
      </c>
      <c r="C192" s="6" t="s">
        <v>16</v>
      </c>
      <c r="D192" s="9" t="n">
        <v>92</v>
      </c>
      <c r="E192" s="8" t="n">
        <v>106</v>
      </c>
      <c r="F192" s="8" t="n">
        <v>9752</v>
      </c>
      <c r="G192" s="8" t="n">
        <v>106</v>
      </c>
      <c r="H192" s="8" t="n">
        <v>9752</v>
      </c>
      <c r="I192" s="14" t="s">
        <v>17</v>
      </c>
      <c r="J192" s="15" t="s">
        <v>31</v>
      </c>
      <c r="K192" s="14" t="s">
        <v>242</v>
      </c>
    </row>
    <row r="194" customFormat="false" ht="153" hidden="false" customHeight="true" outlineLevel="0" collapsed="false">
      <c r="A194" s="6" t="s">
        <v>243</v>
      </c>
      <c r="B194" s="7" t="s">
        <v>244</v>
      </c>
      <c r="C194" s="6" t="s">
        <v>61</v>
      </c>
      <c r="D194" s="8" t="n">
        <v>244.57</v>
      </c>
      <c r="E194" s="8" t="n">
        <v>20.32</v>
      </c>
      <c r="F194" s="8" t="n">
        <v>4969.17</v>
      </c>
      <c r="G194" s="8" t="n">
        <v>20.32</v>
      </c>
      <c r="H194" s="8" t="n">
        <v>4969.66</v>
      </c>
      <c r="I194" s="10" t="s">
        <v>91</v>
      </c>
      <c r="J194" s="11" t="s">
        <v>18</v>
      </c>
      <c r="K194" s="10" t="s">
        <v>245</v>
      </c>
    </row>
    <row r="196" customFormat="false" ht="382.5" hidden="false" customHeight="true" outlineLevel="0" collapsed="false">
      <c r="A196" s="6" t="s">
        <v>246</v>
      </c>
      <c r="B196" s="7" t="s">
        <v>247</v>
      </c>
      <c r="C196" s="6" t="s">
        <v>86</v>
      </c>
      <c r="D196" s="8" t="n">
        <v>1085.8</v>
      </c>
      <c r="E196" s="8" t="n">
        <v>17.65</v>
      </c>
      <c r="F196" s="8" t="n">
        <v>19163.28</v>
      </c>
      <c r="G196" s="8" t="n">
        <v>17.65</v>
      </c>
      <c r="H196" s="8" t="n">
        <v>19164.37</v>
      </c>
      <c r="I196" s="14" t="s">
        <v>45</v>
      </c>
      <c r="J196" s="15" t="s">
        <v>31</v>
      </c>
      <c r="K196" s="14" t="s">
        <v>248</v>
      </c>
    </row>
    <row r="198" customFormat="false" ht="12.75" hidden="false" customHeight="true" outlineLevel="0" collapsed="false">
      <c r="A198" s="6" t="s">
        <v>249</v>
      </c>
      <c r="B198" s="7" t="s">
        <v>250</v>
      </c>
      <c r="F198" s="8" t="n">
        <v>1586732.18</v>
      </c>
      <c r="H198" s="8" t="n">
        <v>1586722.05</v>
      </c>
    </row>
    <row r="200" customFormat="false" ht="25.5" hidden="false" customHeight="true" outlineLevel="0" collapsed="false">
      <c r="A200" s="6" t="s">
        <v>251</v>
      </c>
      <c r="B200" s="7" t="s">
        <v>252</v>
      </c>
      <c r="F200" s="8" t="n">
        <v>111996</v>
      </c>
      <c r="H200" s="8" t="n">
        <v>111996</v>
      </c>
    </row>
    <row r="202" customFormat="false" ht="114.75" hidden="false" customHeight="true" outlineLevel="0" collapsed="false">
      <c r="A202" s="6" t="s">
        <v>253</v>
      </c>
      <c r="B202" s="7" t="s">
        <v>254</v>
      </c>
      <c r="C202" s="6" t="s">
        <v>44</v>
      </c>
      <c r="D202" s="9" t="n">
        <v>9000</v>
      </c>
      <c r="E202" s="8" t="n">
        <v>4.55</v>
      </c>
      <c r="F202" s="8" t="n">
        <v>40950</v>
      </c>
      <c r="G202" s="8" t="n">
        <v>4.55</v>
      </c>
      <c r="H202" s="8" t="n">
        <v>40950</v>
      </c>
      <c r="I202" s="14" t="s">
        <v>17</v>
      </c>
      <c r="J202" s="15" t="s">
        <v>31</v>
      </c>
      <c r="K202" s="14" t="s">
        <v>255</v>
      </c>
    </row>
    <row r="204" customFormat="false" ht="191.25" hidden="false" customHeight="true" outlineLevel="0" collapsed="false">
      <c r="A204" s="6" t="s">
        <v>256</v>
      </c>
      <c r="B204" s="7" t="s">
        <v>257</v>
      </c>
      <c r="C204" s="6" t="s">
        <v>86</v>
      </c>
      <c r="D204" s="9" t="n">
        <v>1000</v>
      </c>
      <c r="E204" s="8" t="n">
        <v>14</v>
      </c>
      <c r="F204" s="8" t="n">
        <v>14000</v>
      </c>
      <c r="G204" s="8" t="n">
        <v>14</v>
      </c>
      <c r="H204" s="8" t="n">
        <v>14000</v>
      </c>
      <c r="I204" s="16" t="s">
        <v>91</v>
      </c>
      <c r="J204" s="17" t="s">
        <v>66</v>
      </c>
      <c r="K204" s="16" t="s">
        <v>258</v>
      </c>
    </row>
    <row r="206" customFormat="false" ht="409.5" hidden="false" customHeight="true" outlineLevel="0" collapsed="false">
      <c r="A206" s="6" t="s">
        <v>259</v>
      </c>
      <c r="B206" s="7" t="s">
        <v>260</v>
      </c>
    </row>
    <row r="209" customFormat="false" ht="12.75" hidden="false" customHeight="true" outlineLevel="0" collapsed="false">
      <c r="A209" s="6" t="s">
        <v>261</v>
      </c>
      <c r="B209" s="7" t="s">
        <v>262</v>
      </c>
      <c r="C209" s="6" t="s">
        <v>86</v>
      </c>
      <c r="D209" s="9" t="n">
        <v>2560</v>
      </c>
      <c r="E209" s="8" t="n">
        <v>8</v>
      </c>
      <c r="F209" s="8" t="n">
        <v>20480</v>
      </c>
      <c r="G209" s="8" t="n">
        <v>8</v>
      </c>
      <c r="H209" s="8" t="n">
        <v>20480</v>
      </c>
    </row>
    <row r="211" customFormat="false" ht="25.5" hidden="false" customHeight="true" outlineLevel="0" collapsed="false">
      <c r="A211" s="6" t="s">
        <v>263</v>
      </c>
      <c r="B211" s="7" t="s">
        <v>264</v>
      </c>
      <c r="C211" s="6" t="s">
        <v>86</v>
      </c>
      <c r="D211" s="9" t="n">
        <v>3250</v>
      </c>
      <c r="E211" s="8" t="n">
        <v>8</v>
      </c>
      <c r="F211" s="8" t="n">
        <v>26000</v>
      </c>
      <c r="G211" s="8" t="n">
        <v>8</v>
      </c>
      <c r="H211" s="8" t="n">
        <v>26000</v>
      </c>
    </row>
    <row r="213" customFormat="false" ht="12.75" hidden="false" customHeight="true" outlineLevel="0" collapsed="false">
      <c r="A213" s="6" t="s">
        <v>265</v>
      </c>
      <c r="B213" s="7" t="s">
        <v>266</v>
      </c>
      <c r="C213" s="6" t="s">
        <v>86</v>
      </c>
      <c r="D213" s="9" t="n">
        <v>130</v>
      </c>
      <c r="E213" s="8" t="n">
        <v>8</v>
      </c>
      <c r="F213" s="8" t="n">
        <v>1040</v>
      </c>
      <c r="G213" s="8" t="n">
        <v>8</v>
      </c>
      <c r="H213" s="8" t="n">
        <v>1040</v>
      </c>
    </row>
    <row r="215" customFormat="false" ht="89.25" hidden="false" customHeight="true" outlineLevel="0" collapsed="false">
      <c r="A215" s="6" t="s">
        <v>267</v>
      </c>
      <c r="B215" s="7" t="s">
        <v>268</v>
      </c>
      <c r="I215" s="12" t="s">
        <v>22</v>
      </c>
      <c r="J215" s="13" t="s">
        <v>23</v>
      </c>
      <c r="K215" s="12" t="s">
        <v>269</v>
      </c>
    </row>
    <row r="217" customFormat="false" ht="38.25" hidden="false" customHeight="true" outlineLevel="0" collapsed="false">
      <c r="A217" s="6" t="s">
        <v>270</v>
      </c>
      <c r="B217" s="7" t="s">
        <v>271</v>
      </c>
      <c r="C217" s="6" t="s">
        <v>44</v>
      </c>
      <c r="D217" s="9" t="n">
        <v>74</v>
      </c>
      <c r="E217" s="8" t="n">
        <v>6.5</v>
      </c>
      <c r="F217" s="8" t="n">
        <v>481</v>
      </c>
      <c r="G217" s="8" t="n">
        <v>6.5</v>
      </c>
      <c r="H217" s="8" t="n">
        <v>481</v>
      </c>
    </row>
    <row r="219" customFormat="false" ht="25.5" hidden="false" customHeight="true" outlineLevel="0" collapsed="false">
      <c r="A219" s="6" t="s">
        <v>272</v>
      </c>
      <c r="B219" s="7" t="s">
        <v>273</v>
      </c>
      <c r="C219" s="6" t="s">
        <v>44</v>
      </c>
      <c r="D219" s="9" t="n">
        <v>10</v>
      </c>
      <c r="E219" s="8" t="n">
        <v>6.5</v>
      </c>
      <c r="F219" s="8" t="n">
        <v>65</v>
      </c>
      <c r="G219" s="8" t="n">
        <v>6.5</v>
      </c>
      <c r="H219" s="8" t="n">
        <v>65</v>
      </c>
    </row>
    <row r="221" customFormat="false" ht="25.5" hidden="false" customHeight="true" outlineLevel="0" collapsed="false">
      <c r="A221" s="6" t="s">
        <v>274</v>
      </c>
      <c r="B221" s="7" t="s">
        <v>275</v>
      </c>
      <c r="C221" s="6" t="s">
        <v>44</v>
      </c>
      <c r="D221" s="9" t="n">
        <v>40</v>
      </c>
      <c r="E221" s="8" t="n">
        <v>6.5</v>
      </c>
      <c r="F221" s="8" t="n">
        <v>260</v>
      </c>
      <c r="G221" s="8" t="n">
        <v>6.5</v>
      </c>
      <c r="H221" s="8" t="n">
        <v>260</v>
      </c>
    </row>
    <row r="223" customFormat="false" ht="114.75" hidden="false" customHeight="true" outlineLevel="0" collapsed="false">
      <c r="A223" s="6" t="s">
        <v>276</v>
      </c>
      <c r="B223" s="7" t="s">
        <v>277</v>
      </c>
      <c r="C223" s="6" t="s">
        <v>61</v>
      </c>
      <c r="D223" s="9" t="n">
        <v>220</v>
      </c>
      <c r="E223" s="8" t="n">
        <v>9</v>
      </c>
      <c r="F223" s="8" t="n">
        <v>1980</v>
      </c>
      <c r="G223" s="8" t="n">
        <v>9</v>
      </c>
      <c r="H223" s="8" t="n">
        <v>1980</v>
      </c>
    </row>
    <row r="225" customFormat="false" ht="153" hidden="false" customHeight="true" outlineLevel="0" collapsed="false">
      <c r="A225" s="6" t="s">
        <v>278</v>
      </c>
      <c r="B225" s="7" t="s">
        <v>279</v>
      </c>
      <c r="C225" s="6" t="s">
        <v>86</v>
      </c>
      <c r="D225" s="9" t="n">
        <v>208</v>
      </c>
      <c r="E225" s="8" t="n">
        <v>30</v>
      </c>
      <c r="F225" s="8" t="n">
        <v>6240</v>
      </c>
      <c r="G225" s="8" t="n">
        <v>30</v>
      </c>
      <c r="H225" s="8" t="n">
        <v>6240</v>
      </c>
    </row>
    <row r="227" customFormat="false" ht="89.25" hidden="false" customHeight="true" outlineLevel="0" collapsed="false">
      <c r="A227" s="6" t="s">
        <v>280</v>
      </c>
      <c r="B227" s="7" t="s">
        <v>281</v>
      </c>
      <c r="C227" s="6" t="s">
        <v>16</v>
      </c>
      <c r="D227" s="9" t="n">
        <v>1</v>
      </c>
      <c r="E227" s="8" t="n">
        <v>500</v>
      </c>
      <c r="F227" s="8" t="n">
        <v>500</v>
      </c>
      <c r="G227" s="8" t="n">
        <v>500</v>
      </c>
      <c r="H227" s="8" t="n">
        <v>500</v>
      </c>
    </row>
    <row r="229" customFormat="false" ht="12.75" hidden="false" customHeight="true" outlineLevel="0" collapsed="false">
      <c r="A229" s="6" t="s">
        <v>282</v>
      </c>
      <c r="B229" s="7" t="s">
        <v>283</v>
      </c>
      <c r="F229" s="8" t="n">
        <v>13750</v>
      </c>
      <c r="H229" s="8" t="n">
        <v>13750</v>
      </c>
    </row>
    <row r="231" customFormat="false" ht="63.75" hidden="false" customHeight="true" outlineLevel="0" collapsed="false">
      <c r="A231" s="6" t="s">
        <v>284</v>
      </c>
      <c r="B231" s="7" t="s">
        <v>285</v>
      </c>
      <c r="C231" s="6" t="s">
        <v>44</v>
      </c>
      <c r="D231" s="9" t="n">
        <v>2500</v>
      </c>
      <c r="E231" s="8" t="n">
        <v>5.5</v>
      </c>
      <c r="F231" s="8" t="n">
        <v>13750</v>
      </c>
      <c r="G231" s="8" t="n">
        <v>5.5</v>
      </c>
      <c r="H231" s="8" t="n">
        <v>13750</v>
      </c>
      <c r="I231" s="14" t="s">
        <v>91</v>
      </c>
      <c r="J231" s="15" t="s">
        <v>31</v>
      </c>
      <c r="K231" s="14" t="s">
        <v>286</v>
      </c>
    </row>
    <row r="233" customFormat="false" ht="12.75" hidden="false" customHeight="true" outlineLevel="0" collapsed="false">
      <c r="A233" s="6" t="s">
        <v>287</v>
      </c>
      <c r="B233" s="7" t="s">
        <v>288</v>
      </c>
      <c r="F233" s="8" t="n">
        <v>171725.65</v>
      </c>
      <c r="H233" s="8" t="n">
        <v>171730.67</v>
      </c>
    </row>
    <row r="235" customFormat="false" ht="51" hidden="false" customHeight="true" outlineLevel="0" collapsed="false">
      <c r="A235" s="6" t="s">
        <v>289</v>
      </c>
      <c r="B235" s="7" t="s">
        <v>290</v>
      </c>
    </row>
    <row r="237" customFormat="false" ht="255" hidden="false" customHeight="true" outlineLevel="0" collapsed="false">
      <c r="A237" s="6" t="s">
        <v>291</v>
      </c>
      <c r="B237" s="7" t="s">
        <v>292</v>
      </c>
      <c r="I237" s="14" t="s">
        <v>4</v>
      </c>
      <c r="J237" s="15" t="s">
        <v>31</v>
      </c>
      <c r="K237" s="14" t="s">
        <v>293</v>
      </c>
    </row>
    <row r="239" customFormat="false" ht="12.75" hidden="false" customHeight="true" outlineLevel="0" collapsed="false">
      <c r="A239" s="6" t="s">
        <v>294</v>
      </c>
      <c r="B239" s="7" t="s">
        <v>295</v>
      </c>
      <c r="C239" s="6" t="s">
        <v>86</v>
      </c>
      <c r="D239" s="9" t="n">
        <v>1230</v>
      </c>
      <c r="E239" s="8" t="n">
        <v>71.83</v>
      </c>
      <c r="F239" s="8" t="n">
        <v>88348</v>
      </c>
      <c r="G239" s="8" t="n">
        <v>71.83</v>
      </c>
      <c r="H239" s="8" t="n">
        <v>88350.9</v>
      </c>
    </row>
    <row r="241" customFormat="false" ht="12.75" hidden="false" customHeight="true" outlineLevel="0" collapsed="false">
      <c r="A241" s="6" t="s">
        <v>296</v>
      </c>
      <c r="B241" s="7" t="s">
        <v>297</v>
      </c>
      <c r="C241" s="6" t="s">
        <v>86</v>
      </c>
      <c r="D241" s="9" t="n">
        <v>454</v>
      </c>
      <c r="E241" s="8" t="n">
        <v>71.83</v>
      </c>
      <c r="F241" s="8" t="n">
        <v>32609.75</v>
      </c>
      <c r="G241" s="8" t="n">
        <v>71.83</v>
      </c>
      <c r="H241" s="8" t="n">
        <v>32610.82</v>
      </c>
    </row>
    <row r="243" customFormat="false" ht="216.75" hidden="false" customHeight="true" outlineLevel="0" collapsed="false">
      <c r="A243" s="6" t="s">
        <v>298</v>
      </c>
      <c r="B243" s="7" t="s">
        <v>299</v>
      </c>
      <c r="I243" s="14" t="s">
        <v>4</v>
      </c>
      <c r="J243" s="15" t="s">
        <v>31</v>
      </c>
      <c r="K243" s="14" t="s">
        <v>300</v>
      </c>
    </row>
    <row r="246" customFormat="false" ht="12.75" hidden="false" customHeight="true" outlineLevel="0" collapsed="false">
      <c r="A246" s="6" t="s">
        <v>301</v>
      </c>
      <c r="B246" s="7" t="s">
        <v>295</v>
      </c>
      <c r="C246" s="6" t="s">
        <v>86</v>
      </c>
      <c r="D246" s="9" t="n">
        <v>128</v>
      </c>
      <c r="E246" s="8" t="n">
        <v>78.93</v>
      </c>
      <c r="F246" s="8" t="n">
        <v>10102.74</v>
      </c>
      <c r="G246" s="8" t="n">
        <v>78.93</v>
      </c>
      <c r="H246" s="8" t="n">
        <v>10103.04</v>
      </c>
    </row>
    <row r="248" customFormat="false" ht="12.75" hidden="false" customHeight="true" outlineLevel="0" collapsed="false">
      <c r="A248" s="6" t="s">
        <v>302</v>
      </c>
      <c r="B248" s="7" t="s">
        <v>297</v>
      </c>
      <c r="C248" s="6" t="s">
        <v>86</v>
      </c>
      <c r="D248" s="9" t="n">
        <v>39</v>
      </c>
      <c r="E248" s="8" t="n">
        <v>78.93</v>
      </c>
      <c r="F248" s="8" t="n">
        <v>3078.18</v>
      </c>
      <c r="G248" s="8" t="n">
        <v>78.93</v>
      </c>
      <c r="H248" s="8" t="n">
        <v>3078.27</v>
      </c>
    </row>
    <row r="250" customFormat="false" ht="408" hidden="false" customHeight="true" outlineLevel="0" collapsed="false">
      <c r="A250" s="6" t="s">
        <v>303</v>
      </c>
      <c r="B250" s="7" t="s">
        <v>304</v>
      </c>
      <c r="C250" s="6" t="s">
        <v>86</v>
      </c>
      <c r="D250" s="9" t="n">
        <v>256</v>
      </c>
      <c r="E250" s="8" t="n">
        <v>63.44</v>
      </c>
      <c r="F250" s="8" t="n">
        <v>16240.08</v>
      </c>
      <c r="G250" s="8" t="n">
        <v>63.44</v>
      </c>
      <c r="H250" s="8" t="n">
        <v>16240.64</v>
      </c>
    </row>
    <row r="252" customFormat="false" ht="344.25" hidden="false" customHeight="true" outlineLevel="0" collapsed="false">
      <c r="A252" s="6" t="s">
        <v>305</v>
      </c>
      <c r="B252" s="7" t="s">
        <v>306</v>
      </c>
      <c r="C252" s="6" t="s">
        <v>86</v>
      </c>
      <c r="D252" s="9" t="n">
        <v>265</v>
      </c>
      <c r="E252" s="8" t="n">
        <v>70.13</v>
      </c>
      <c r="F252" s="8" t="n">
        <v>18584.43</v>
      </c>
      <c r="G252" s="8" t="n">
        <v>70.13</v>
      </c>
      <c r="H252" s="8" t="n">
        <v>18584.45</v>
      </c>
    </row>
    <row r="254" customFormat="false" ht="344.25" hidden="false" customHeight="true" outlineLevel="0" collapsed="false">
      <c r="A254" s="6" t="s">
        <v>307</v>
      </c>
      <c r="B254" s="7" t="s">
        <v>308</v>
      </c>
      <c r="C254" s="6" t="s">
        <v>86</v>
      </c>
      <c r="D254" s="9" t="n">
        <v>35</v>
      </c>
      <c r="E254" s="8" t="n">
        <v>78.93</v>
      </c>
      <c r="F254" s="8" t="n">
        <v>2762.47</v>
      </c>
      <c r="G254" s="8" t="n">
        <v>78.93</v>
      </c>
      <c r="H254" s="8" t="n">
        <v>2762.55</v>
      </c>
    </row>
    <row r="256" customFormat="false" ht="89.25" hidden="false" customHeight="true" outlineLevel="0" collapsed="false">
      <c r="A256" s="6" t="s">
        <v>309</v>
      </c>
      <c r="B256" s="7" t="s">
        <v>310</v>
      </c>
    </row>
    <row r="259" customFormat="false" ht="12.75" hidden="false" customHeight="true" outlineLevel="0" collapsed="false">
      <c r="A259" s="6" t="s">
        <v>311</v>
      </c>
      <c r="B259" s="7" t="s">
        <v>312</v>
      </c>
      <c r="F259" s="8" t="n">
        <v>15849.95</v>
      </c>
      <c r="H259" s="8" t="n">
        <v>15848.15</v>
      </c>
    </row>
    <row r="261" customFormat="false" ht="127.5" hidden="false" customHeight="true" outlineLevel="0" collapsed="false">
      <c r="A261" s="6" t="s">
        <v>313</v>
      </c>
      <c r="B261" s="7" t="s">
        <v>314</v>
      </c>
      <c r="C261" s="6" t="s">
        <v>86</v>
      </c>
      <c r="D261" s="9" t="n">
        <v>190</v>
      </c>
      <c r="E261" s="8" t="n">
        <v>7.75</v>
      </c>
      <c r="F261" s="8" t="n">
        <v>1472.5</v>
      </c>
      <c r="G261" s="8" t="n">
        <v>7.75</v>
      </c>
      <c r="H261" s="8" t="n">
        <v>1472.5</v>
      </c>
    </row>
    <row r="263" customFormat="false" ht="127.5" hidden="false" customHeight="true" outlineLevel="0" collapsed="false">
      <c r="A263" s="6" t="s">
        <v>315</v>
      </c>
      <c r="B263" s="7" t="s">
        <v>316</v>
      </c>
      <c r="C263" s="6" t="s">
        <v>86</v>
      </c>
      <c r="D263" s="9" t="n">
        <v>637</v>
      </c>
      <c r="E263" s="8" t="n">
        <v>7.75</v>
      </c>
      <c r="F263" s="8" t="n">
        <v>4936.75</v>
      </c>
      <c r="G263" s="8" t="n">
        <v>7.75</v>
      </c>
      <c r="H263" s="8" t="n">
        <v>4936.75</v>
      </c>
    </row>
    <row r="265" customFormat="false" ht="140.25" hidden="false" customHeight="true" outlineLevel="0" collapsed="false">
      <c r="A265" s="6" t="s">
        <v>317</v>
      </c>
      <c r="B265" s="7" t="s">
        <v>318</v>
      </c>
    </row>
    <row r="267" customFormat="false" ht="12.75" hidden="false" customHeight="true" outlineLevel="0" collapsed="false">
      <c r="A267" s="6" t="s">
        <v>319</v>
      </c>
      <c r="B267" s="7" t="s">
        <v>320</v>
      </c>
      <c r="C267" s="6" t="s">
        <v>86</v>
      </c>
      <c r="D267" s="9" t="n">
        <v>95</v>
      </c>
      <c r="E267" s="8" t="n">
        <v>10.66</v>
      </c>
      <c r="F267" s="8" t="n">
        <v>1012.94</v>
      </c>
      <c r="G267" s="8" t="n">
        <v>10.66</v>
      </c>
      <c r="H267" s="8" t="n">
        <v>1012.7</v>
      </c>
    </row>
    <row r="269" customFormat="false" ht="12.75" hidden="false" customHeight="true" outlineLevel="0" collapsed="false">
      <c r="A269" s="6" t="s">
        <v>321</v>
      </c>
      <c r="B269" s="7" t="s">
        <v>322</v>
      </c>
      <c r="C269" s="6" t="s">
        <v>86</v>
      </c>
      <c r="D269" s="9" t="n">
        <v>214</v>
      </c>
      <c r="E269" s="8" t="n">
        <v>10.66</v>
      </c>
      <c r="F269" s="8" t="n">
        <v>2281.78</v>
      </c>
      <c r="G269" s="8" t="n">
        <v>10.66</v>
      </c>
      <c r="H269" s="8" t="n">
        <v>2281.24</v>
      </c>
    </row>
    <row r="271" customFormat="false" ht="165.75" hidden="false" customHeight="true" outlineLevel="0" collapsed="false">
      <c r="A271" s="6" t="s">
        <v>323</v>
      </c>
      <c r="B271" s="7" t="s">
        <v>324</v>
      </c>
      <c r="C271" s="6" t="s">
        <v>86</v>
      </c>
      <c r="D271" s="9" t="n">
        <v>464</v>
      </c>
      <c r="E271" s="8" t="n">
        <v>2.64</v>
      </c>
      <c r="F271" s="8" t="n">
        <v>1225.98</v>
      </c>
      <c r="G271" s="8" t="n">
        <v>2.64</v>
      </c>
      <c r="H271" s="8" t="n">
        <v>1224.96</v>
      </c>
    </row>
    <row r="273" customFormat="false" ht="114.75" hidden="false" customHeight="true" outlineLevel="0" collapsed="false">
      <c r="A273" s="6" t="s">
        <v>325</v>
      </c>
      <c r="B273" s="7" t="s">
        <v>326</v>
      </c>
      <c r="C273" s="6" t="s">
        <v>86</v>
      </c>
      <c r="D273" s="9" t="n">
        <v>60</v>
      </c>
      <c r="E273" s="8" t="n">
        <v>18</v>
      </c>
      <c r="F273" s="8" t="n">
        <v>1080</v>
      </c>
      <c r="G273" s="8" t="n">
        <v>18</v>
      </c>
      <c r="H273" s="8" t="n">
        <v>1080</v>
      </c>
    </row>
    <row r="275" customFormat="false" ht="165.75" hidden="false" customHeight="true" outlineLevel="0" collapsed="false">
      <c r="A275" s="6" t="s">
        <v>327</v>
      </c>
      <c r="B275" s="7" t="s">
        <v>328</v>
      </c>
      <c r="I275" s="10" t="s">
        <v>17</v>
      </c>
      <c r="J275" s="11" t="s">
        <v>18</v>
      </c>
      <c r="K275" s="10" t="s">
        <v>329</v>
      </c>
    </row>
    <row r="277" customFormat="false" ht="12.75" hidden="false" customHeight="true" outlineLevel="0" collapsed="false">
      <c r="A277" s="6" t="s">
        <v>330</v>
      </c>
      <c r="B277" s="7" t="s">
        <v>331</v>
      </c>
      <c r="C277" s="6" t="s">
        <v>86</v>
      </c>
      <c r="D277" s="9" t="n">
        <v>60</v>
      </c>
      <c r="E277" s="8" t="n">
        <v>16</v>
      </c>
      <c r="F277" s="8" t="n">
        <v>960</v>
      </c>
      <c r="G277" s="8" t="n">
        <v>16</v>
      </c>
      <c r="H277" s="8" t="n">
        <v>960</v>
      </c>
    </row>
    <row r="279" customFormat="false" ht="12.75" hidden="false" customHeight="true" outlineLevel="0" collapsed="false">
      <c r="A279" s="6" t="s">
        <v>332</v>
      </c>
      <c r="B279" s="7" t="s">
        <v>333</v>
      </c>
      <c r="C279" s="6" t="s">
        <v>86</v>
      </c>
      <c r="D279" s="9" t="n">
        <v>180</v>
      </c>
      <c r="E279" s="8" t="n">
        <v>16</v>
      </c>
      <c r="F279" s="8" t="n">
        <v>2880</v>
      </c>
      <c r="G279" s="8" t="n">
        <v>16</v>
      </c>
      <c r="H279" s="8" t="n">
        <v>2880</v>
      </c>
    </row>
    <row r="281" customFormat="false" ht="12.75" hidden="false" customHeight="true" outlineLevel="0" collapsed="false">
      <c r="A281" s="6" t="s">
        <v>334</v>
      </c>
      <c r="B281" s="7" t="s">
        <v>335</v>
      </c>
      <c r="F281" s="8" t="n">
        <v>84010.46</v>
      </c>
      <c r="H281" s="8" t="n">
        <v>84011.97</v>
      </c>
    </row>
    <row r="283" customFormat="false" ht="63.75" hidden="false" customHeight="true" outlineLevel="0" collapsed="false">
      <c r="A283" s="6" t="s">
        <v>336</v>
      </c>
      <c r="B283" s="7" t="s">
        <v>337</v>
      </c>
    </row>
    <row r="285" customFormat="false" ht="153" hidden="false" customHeight="true" outlineLevel="0" collapsed="false">
      <c r="A285" s="6" t="s">
        <v>338</v>
      </c>
      <c r="B285" s="7" t="s">
        <v>339</v>
      </c>
      <c r="C285" s="6" t="s">
        <v>86</v>
      </c>
      <c r="D285" s="9" t="n">
        <v>1309</v>
      </c>
      <c r="E285" s="8" t="n">
        <v>55.38</v>
      </c>
      <c r="F285" s="8" t="n">
        <v>72491.68</v>
      </c>
      <c r="G285" s="8" t="n">
        <v>55.38</v>
      </c>
      <c r="H285" s="8" t="n">
        <v>72492.42</v>
      </c>
    </row>
    <row r="287" customFormat="false" ht="153" hidden="false" customHeight="true" outlineLevel="0" collapsed="false">
      <c r="A287" s="6" t="s">
        <v>340</v>
      </c>
      <c r="B287" s="7" t="s">
        <v>341</v>
      </c>
      <c r="C287" s="6" t="s">
        <v>86</v>
      </c>
      <c r="D287" s="9" t="n">
        <v>30</v>
      </c>
      <c r="E287" s="8" t="n">
        <v>55.38</v>
      </c>
      <c r="F287" s="8" t="n">
        <v>1661.38</v>
      </c>
      <c r="G287" s="8" t="n">
        <v>55.38</v>
      </c>
      <c r="H287" s="8" t="n">
        <v>1661.4</v>
      </c>
    </row>
    <row r="290" customFormat="false" ht="382.5" hidden="false" customHeight="true" outlineLevel="0" collapsed="false">
      <c r="A290" s="6" t="s">
        <v>342</v>
      </c>
      <c r="B290" s="7" t="s">
        <v>343</v>
      </c>
    </row>
    <row r="292" customFormat="false" ht="12.75" hidden="false" customHeight="true" outlineLevel="0" collapsed="false">
      <c r="A292" s="6" t="s">
        <v>344</v>
      </c>
      <c r="B292" s="7" t="s">
        <v>320</v>
      </c>
      <c r="C292" s="6" t="s">
        <v>86</v>
      </c>
      <c r="D292" s="9" t="n">
        <v>170</v>
      </c>
      <c r="E292" s="8" t="n">
        <v>29.68</v>
      </c>
      <c r="F292" s="8" t="n">
        <v>5044.82</v>
      </c>
      <c r="G292" s="8" t="n">
        <v>29.68</v>
      </c>
      <c r="H292" s="8" t="n">
        <v>5045.6</v>
      </c>
    </row>
    <row r="294" customFormat="false" ht="395.25" hidden="false" customHeight="true" outlineLevel="0" collapsed="false">
      <c r="A294" s="6" t="s">
        <v>345</v>
      </c>
      <c r="B294" s="7" t="s">
        <v>346</v>
      </c>
    </row>
    <row r="296" customFormat="false" ht="12.75" hidden="false" customHeight="true" outlineLevel="0" collapsed="false">
      <c r="A296" s="6" t="s">
        <v>347</v>
      </c>
      <c r="B296" s="7" t="s">
        <v>320</v>
      </c>
      <c r="C296" s="6" t="s">
        <v>86</v>
      </c>
      <c r="D296" s="9" t="n">
        <v>50</v>
      </c>
      <c r="E296" s="8" t="n">
        <v>33.19</v>
      </c>
      <c r="F296" s="8" t="n">
        <v>1659.51</v>
      </c>
      <c r="G296" s="8" t="n">
        <v>33.19</v>
      </c>
      <c r="H296" s="8" t="n">
        <v>1659.5</v>
      </c>
    </row>
    <row r="298" customFormat="false" ht="12.75" hidden="false" customHeight="true" outlineLevel="0" collapsed="false">
      <c r="A298" s="6" t="s">
        <v>348</v>
      </c>
      <c r="B298" s="7" t="s">
        <v>349</v>
      </c>
      <c r="C298" s="6" t="s">
        <v>86</v>
      </c>
      <c r="D298" s="9" t="n">
        <v>95</v>
      </c>
      <c r="E298" s="8" t="n">
        <v>33.19</v>
      </c>
      <c r="F298" s="8" t="n">
        <v>3153.07</v>
      </c>
      <c r="G298" s="8" t="n">
        <v>33.19</v>
      </c>
      <c r="H298" s="8" t="n">
        <v>3153.05</v>
      </c>
    </row>
    <row r="300" customFormat="false" ht="25.5" hidden="false" customHeight="true" outlineLevel="0" collapsed="false">
      <c r="A300" s="6" t="s">
        <v>350</v>
      </c>
      <c r="B300" s="7" t="s">
        <v>351</v>
      </c>
      <c r="F300" s="8" t="n">
        <v>43432</v>
      </c>
      <c r="H300" s="8" t="n">
        <v>43432</v>
      </c>
    </row>
    <row r="302" customFormat="false" ht="102" hidden="false" customHeight="true" outlineLevel="0" collapsed="false">
      <c r="A302" s="6" t="s">
        <v>352</v>
      </c>
      <c r="B302" s="7" t="s">
        <v>353</v>
      </c>
    </row>
    <row r="304" customFormat="false" ht="25.5" hidden="false" customHeight="true" outlineLevel="0" collapsed="false">
      <c r="A304" s="6" t="s">
        <v>354</v>
      </c>
      <c r="B304" s="7" t="s">
        <v>355</v>
      </c>
      <c r="C304" s="6" t="s">
        <v>86</v>
      </c>
      <c r="D304" s="9" t="n">
        <v>1550</v>
      </c>
      <c r="E304" s="8" t="n">
        <v>25.44</v>
      </c>
      <c r="F304" s="8" t="n">
        <v>39432</v>
      </c>
      <c r="G304" s="8" t="n">
        <v>25.44</v>
      </c>
      <c r="H304" s="8" t="n">
        <v>39432</v>
      </c>
      <c r="I304" s="10" t="s">
        <v>4</v>
      </c>
      <c r="J304" s="11" t="s">
        <v>18</v>
      </c>
      <c r="K304" s="10" t="s">
        <v>356</v>
      </c>
    </row>
    <row r="306" customFormat="false" ht="38.25" hidden="false" customHeight="true" outlineLevel="0" collapsed="false">
      <c r="A306" s="6" t="s">
        <v>357</v>
      </c>
      <c r="B306" s="7" t="s">
        <v>358</v>
      </c>
      <c r="C306" s="6" t="s">
        <v>86</v>
      </c>
      <c r="D306" s="9" t="n">
        <v>320</v>
      </c>
      <c r="E306" s="8" t="n">
        <v>12.5</v>
      </c>
      <c r="F306" s="8" t="n">
        <v>4000</v>
      </c>
      <c r="G306" s="8" t="n">
        <v>12.5</v>
      </c>
      <c r="H306" s="8" t="n">
        <v>4000</v>
      </c>
      <c r="I306" s="12" t="s">
        <v>192</v>
      </c>
      <c r="J306" s="13" t="s">
        <v>23</v>
      </c>
      <c r="K306" s="12" t="s">
        <v>359</v>
      </c>
    </row>
    <row r="308" customFormat="false" ht="12.75" hidden="false" customHeight="true" outlineLevel="0" collapsed="false">
      <c r="A308" s="6" t="s">
        <v>360</v>
      </c>
      <c r="B308" s="7" t="s">
        <v>361</v>
      </c>
      <c r="F308" s="8" t="n">
        <v>38145.67</v>
      </c>
      <c r="H308" s="8" t="n">
        <v>38148.44</v>
      </c>
    </row>
    <row r="310" customFormat="false" ht="395.25" hidden="false" customHeight="true" outlineLevel="0" collapsed="false">
      <c r="A310" s="6" t="s">
        <v>362</v>
      </c>
      <c r="B310" s="7" t="s">
        <v>363</v>
      </c>
      <c r="C310" s="6" t="s">
        <v>86</v>
      </c>
      <c r="D310" s="8" t="n">
        <v>1.83</v>
      </c>
      <c r="E310" s="8" t="n">
        <v>40.36</v>
      </c>
      <c r="F310" s="8" t="n">
        <v>73.86</v>
      </c>
      <c r="G310" s="8" t="n">
        <v>40.36</v>
      </c>
      <c r="H310" s="8" t="n">
        <v>73.86</v>
      </c>
    </row>
    <row r="313" customFormat="false" ht="395.25" hidden="false" customHeight="true" outlineLevel="0" collapsed="false">
      <c r="A313" s="6" t="s">
        <v>364</v>
      </c>
      <c r="B313" s="7" t="s">
        <v>365</v>
      </c>
    </row>
    <row r="315" customFormat="false" ht="12.75" hidden="false" customHeight="true" outlineLevel="0" collapsed="false">
      <c r="A315" s="6" t="s">
        <v>366</v>
      </c>
      <c r="B315" s="7" t="s">
        <v>320</v>
      </c>
      <c r="C315" s="6" t="s">
        <v>86</v>
      </c>
      <c r="D315" s="9" t="n">
        <v>300</v>
      </c>
      <c r="E315" s="8" t="n">
        <v>33.19</v>
      </c>
      <c r="F315" s="8" t="n">
        <v>9957.05</v>
      </c>
      <c r="G315" s="8" t="n">
        <v>33.19</v>
      </c>
      <c r="H315" s="8" t="n">
        <v>9957</v>
      </c>
    </row>
    <row r="317" customFormat="false" ht="12.75" hidden="false" customHeight="true" outlineLevel="0" collapsed="false">
      <c r="A317" s="6" t="s">
        <v>367</v>
      </c>
      <c r="B317" s="7" t="s">
        <v>349</v>
      </c>
      <c r="C317" s="6" t="s">
        <v>86</v>
      </c>
      <c r="D317" s="9" t="n">
        <v>270</v>
      </c>
      <c r="E317" s="8" t="n">
        <v>33.19</v>
      </c>
      <c r="F317" s="8" t="n">
        <v>8961.34</v>
      </c>
      <c r="G317" s="8" t="n">
        <v>33.19</v>
      </c>
      <c r="H317" s="8" t="n">
        <v>8961.3</v>
      </c>
    </row>
    <row r="319" customFormat="false" ht="395.25" hidden="false" customHeight="true" outlineLevel="0" collapsed="false">
      <c r="A319" s="6" t="s">
        <v>368</v>
      </c>
      <c r="B319" s="7" t="s">
        <v>369</v>
      </c>
    </row>
    <row r="321" customFormat="false" ht="12.75" hidden="false" customHeight="true" outlineLevel="0" collapsed="false">
      <c r="A321" s="6" t="s">
        <v>370</v>
      </c>
      <c r="B321" s="7" t="s">
        <v>320</v>
      </c>
      <c r="C321" s="6" t="s">
        <v>86</v>
      </c>
      <c r="D321" s="9" t="n">
        <v>530</v>
      </c>
      <c r="E321" s="8" t="n">
        <v>29.68</v>
      </c>
      <c r="F321" s="8" t="n">
        <v>15727.97</v>
      </c>
      <c r="G321" s="8" t="n">
        <v>29.68</v>
      </c>
      <c r="H321" s="8" t="n">
        <v>15730.4</v>
      </c>
    </row>
    <row r="323" customFormat="false" ht="12.75" hidden="false" customHeight="true" outlineLevel="0" collapsed="false">
      <c r="A323" s="6" t="s">
        <v>371</v>
      </c>
      <c r="B323" s="7" t="s">
        <v>349</v>
      </c>
      <c r="C323" s="6" t="s">
        <v>86</v>
      </c>
      <c r="D323" s="9" t="n">
        <v>95</v>
      </c>
      <c r="E323" s="8" t="n">
        <v>29.68</v>
      </c>
      <c r="F323" s="8" t="n">
        <v>2819.16</v>
      </c>
      <c r="G323" s="8" t="n">
        <v>29.68</v>
      </c>
      <c r="H323" s="8" t="n">
        <v>2819.6</v>
      </c>
    </row>
    <row r="325" customFormat="false" ht="395.25" hidden="false" customHeight="true" outlineLevel="0" collapsed="false">
      <c r="A325" s="6" t="s">
        <v>372</v>
      </c>
      <c r="B325" s="7" t="s">
        <v>373</v>
      </c>
    </row>
    <row r="328" customFormat="false" ht="12.75" hidden="false" customHeight="true" outlineLevel="0" collapsed="false">
      <c r="A328" s="6" t="s">
        <v>374</v>
      </c>
      <c r="B328" s="7" t="s">
        <v>320</v>
      </c>
      <c r="C328" s="6" t="s">
        <v>86</v>
      </c>
      <c r="D328" s="9" t="n">
        <v>23</v>
      </c>
      <c r="E328" s="8" t="n">
        <v>26.36</v>
      </c>
      <c r="F328" s="8" t="n">
        <v>606.29</v>
      </c>
      <c r="G328" s="8" t="n">
        <v>26.36</v>
      </c>
      <c r="H328" s="8" t="n">
        <v>606.28</v>
      </c>
    </row>
    <row r="330" customFormat="false" ht="12.75" hidden="false" customHeight="true" outlineLevel="0" collapsed="false">
      <c r="A330" s="6" t="s">
        <v>375</v>
      </c>
      <c r="B330" s="7" t="s">
        <v>376</v>
      </c>
      <c r="F330" s="8" t="n">
        <v>40824.75</v>
      </c>
      <c r="H330" s="8" t="n">
        <v>40823.54</v>
      </c>
    </row>
    <row r="332" customFormat="false" ht="178.5" hidden="false" customHeight="true" outlineLevel="0" collapsed="false">
      <c r="A332" s="6" t="s">
        <v>377</v>
      </c>
      <c r="B332" s="7" t="s">
        <v>378</v>
      </c>
    </row>
    <row r="334" customFormat="false" ht="12.75" hidden="false" customHeight="true" outlineLevel="0" collapsed="false">
      <c r="A334" s="6" t="s">
        <v>379</v>
      </c>
      <c r="B334" s="7" t="s">
        <v>320</v>
      </c>
      <c r="C334" s="6" t="s">
        <v>86</v>
      </c>
      <c r="D334" s="9" t="n">
        <v>380</v>
      </c>
      <c r="E334" s="8" t="n">
        <v>33.47</v>
      </c>
      <c r="F334" s="8" t="n">
        <v>12719.68</v>
      </c>
      <c r="G334" s="8" t="n">
        <v>33.47</v>
      </c>
      <c r="H334" s="8" t="n">
        <v>12718.6</v>
      </c>
    </row>
    <row r="336" customFormat="false" ht="12.75" hidden="false" customHeight="true" outlineLevel="0" collapsed="false">
      <c r="A336" s="6" t="s">
        <v>380</v>
      </c>
      <c r="B336" s="7" t="s">
        <v>349</v>
      </c>
      <c r="C336" s="6" t="s">
        <v>86</v>
      </c>
      <c r="D336" s="9" t="n">
        <v>65</v>
      </c>
      <c r="E336" s="8" t="n">
        <v>33.47</v>
      </c>
      <c r="F336" s="8" t="n">
        <v>2175.73</v>
      </c>
      <c r="G336" s="8" t="n">
        <v>33.47</v>
      </c>
      <c r="H336" s="8" t="n">
        <v>2175.55</v>
      </c>
    </row>
    <row r="338" customFormat="false" ht="178.5" hidden="false" customHeight="true" outlineLevel="0" collapsed="false">
      <c r="A338" s="6" t="s">
        <v>381</v>
      </c>
      <c r="B338" s="7" t="s">
        <v>382</v>
      </c>
    </row>
    <row r="340" customFormat="false" ht="12.75" hidden="false" customHeight="true" outlineLevel="0" collapsed="false">
      <c r="A340" s="6" t="s">
        <v>383</v>
      </c>
      <c r="B340" s="7" t="s">
        <v>320</v>
      </c>
      <c r="C340" s="6" t="s">
        <v>61</v>
      </c>
      <c r="D340" s="9" t="n">
        <v>110</v>
      </c>
      <c r="E340" s="8" t="n">
        <v>16.31</v>
      </c>
      <c r="F340" s="8" t="n">
        <v>1794.46</v>
      </c>
      <c r="G340" s="8" t="n">
        <v>16.31</v>
      </c>
      <c r="H340" s="8" t="n">
        <v>1794.1</v>
      </c>
    </row>
    <row r="342" customFormat="false" ht="242.25" hidden="false" customHeight="true" outlineLevel="0" collapsed="false">
      <c r="A342" s="6" t="s">
        <v>384</v>
      </c>
      <c r="B342" s="7" t="s">
        <v>385</v>
      </c>
      <c r="C342" s="6" t="s">
        <v>86</v>
      </c>
      <c r="D342" s="9" t="n">
        <v>76</v>
      </c>
      <c r="E342" s="8" t="n">
        <v>54.05</v>
      </c>
      <c r="F342" s="8" t="n">
        <v>4107.8</v>
      </c>
      <c r="G342" s="8" t="n">
        <v>54.05</v>
      </c>
      <c r="H342" s="8" t="n">
        <v>4107.8</v>
      </c>
    </row>
    <row r="344" customFormat="false" ht="191.25" hidden="false" customHeight="true" outlineLevel="0" collapsed="false">
      <c r="A344" s="6" t="s">
        <v>386</v>
      </c>
      <c r="B344" s="7" t="s">
        <v>387</v>
      </c>
      <c r="C344" s="6" t="s">
        <v>86</v>
      </c>
      <c r="D344" s="9" t="n">
        <v>25</v>
      </c>
      <c r="E344" s="8" t="n">
        <v>149.59</v>
      </c>
      <c r="F344" s="8" t="n">
        <v>3739.75</v>
      </c>
      <c r="G344" s="8" t="n">
        <v>149.59</v>
      </c>
      <c r="H344" s="8" t="n">
        <v>3739.75</v>
      </c>
    </row>
    <row r="346" customFormat="false" ht="191.25" hidden="false" customHeight="true" outlineLevel="0" collapsed="false">
      <c r="A346" s="6" t="s">
        <v>388</v>
      </c>
      <c r="B346" s="7" t="s">
        <v>389</v>
      </c>
      <c r="C346" s="6" t="s">
        <v>86</v>
      </c>
      <c r="D346" s="9" t="n">
        <v>76</v>
      </c>
      <c r="E346" s="8" t="n">
        <v>61.51</v>
      </c>
      <c r="F346" s="8" t="n">
        <v>4674.76</v>
      </c>
      <c r="G346" s="8" t="n">
        <v>61.51</v>
      </c>
      <c r="H346" s="8" t="n">
        <v>4674.76</v>
      </c>
      <c r="I346" s="14" t="s">
        <v>62</v>
      </c>
      <c r="J346" s="15" t="s">
        <v>31</v>
      </c>
      <c r="K346" s="14" t="s">
        <v>390</v>
      </c>
    </row>
    <row r="348" customFormat="false" ht="165.75" hidden="false" customHeight="true" outlineLevel="0" collapsed="false">
      <c r="A348" s="6" t="s">
        <v>391</v>
      </c>
      <c r="B348" s="7" t="s">
        <v>392</v>
      </c>
      <c r="C348" s="6" t="s">
        <v>61</v>
      </c>
      <c r="D348" s="9" t="n">
        <v>234</v>
      </c>
      <c r="E348" s="8" t="n">
        <v>13</v>
      </c>
      <c r="F348" s="8" t="n">
        <v>3042</v>
      </c>
      <c r="G348" s="8" t="n">
        <v>13</v>
      </c>
      <c r="H348" s="8" t="n">
        <v>3042</v>
      </c>
    </row>
    <row r="351" customFormat="false" ht="165.75" hidden="false" customHeight="true" outlineLevel="0" collapsed="false">
      <c r="A351" s="6" t="s">
        <v>393</v>
      </c>
      <c r="B351" s="7" t="s">
        <v>394</v>
      </c>
      <c r="C351" s="6" t="s">
        <v>61</v>
      </c>
      <c r="D351" s="9" t="n">
        <v>60</v>
      </c>
      <c r="E351" s="8" t="n">
        <v>50</v>
      </c>
      <c r="F351" s="8" t="n">
        <v>3000</v>
      </c>
      <c r="G351" s="8" t="n">
        <v>50</v>
      </c>
      <c r="H351" s="8" t="n">
        <v>3000</v>
      </c>
    </row>
    <row r="353" customFormat="false" ht="204" hidden="false" customHeight="true" outlineLevel="0" collapsed="false">
      <c r="A353" s="6" t="s">
        <v>395</v>
      </c>
      <c r="B353" s="7" t="s">
        <v>396</v>
      </c>
      <c r="C353" s="6" t="s">
        <v>86</v>
      </c>
      <c r="D353" s="9" t="n">
        <v>25</v>
      </c>
      <c r="E353" s="8" t="n">
        <v>109.9</v>
      </c>
      <c r="F353" s="8" t="n">
        <v>2747.55</v>
      </c>
      <c r="G353" s="8" t="n">
        <v>109.9</v>
      </c>
      <c r="H353" s="8" t="n">
        <v>2747.5</v>
      </c>
    </row>
    <row r="355" customFormat="false" ht="127.5" hidden="false" customHeight="true" outlineLevel="0" collapsed="false">
      <c r="A355" s="6" t="s">
        <v>397</v>
      </c>
      <c r="B355" s="7" t="s">
        <v>398</v>
      </c>
      <c r="C355" s="6" t="s">
        <v>86</v>
      </c>
      <c r="D355" s="9" t="n">
        <v>132</v>
      </c>
      <c r="E355" s="8" t="n">
        <v>21.39</v>
      </c>
      <c r="F355" s="8" t="n">
        <v>2823.02</v>
      </c>
      <c r="G355" s="8" t="n">
        <v>21.39</v>
      </c>
      <c r="H355" s="8" t="n">
        <v>2823.48</v>
      </c>
    </row>
    <row r="357" customFormat="false" ht="12.75" hidden="false" customHeight="true" outlineLevel="0" collapsed="false">
      <c r="A357" s="6" t="s">
        <v>399</v>
      </c>
      <c r="B357" s="7" t="s">
        <v>400</v>
      </c>
      <c r="F357" s="8" t="n">
        <v>452847.81</v>
      </c>
      <c r="H357" s="8" t="n">
        <v>452829.72</v>
      </c>
    </row>
    <row r="359" customFormat="false" ht="63.75" hidden="false" customHeight="true" outlineLevel="0" collapsed="false">
      <c r="A359" s="6" t="s">
        <v>401</v>
      </c>
      <c r="B359" s="7" t="s">
        <v>402</v>
      </c>
    </row>
    <row r="361" customFormat="false" ht="12.75" hidden="false" customHeight="true" outlineLevel="0" collapsed="false">
      <c r="A361" s="6" t="s">
        <v>403</v>
      </c>
      <c r="B361" s="7" t="s">
        <v>404</v>
      </c>
    </row>
    <row r="363" customFormat="false" ht="127.5" hidden="false" customHeight="true" outlineLevel="0" collapsed="false">
      <c r="A363" s="6" t="s">
        <v>405</v>
      </c>
      <c r="B363" s="7" t="s">
        <v>406</v>
      </c>
    </row>
    <row r="365" customFormat="false" ht="12.75" hidden="false" customHeight="true" outlineLevel="0" collapsed="false">
      <c r="A365" s="6" t="s">
        <v>407</v>
      </c>
      <c r="B365" s="7" t="s">
        <v>408</v>
      </c>
      <c r="C365" s="6" t="s">
        <v>86</v>
      </c>
      <c r="D365" s="9" t="n">
        <v>1100</v>
      </c>
      <c r="E365" s="8" t="n">
        <v>91.07</v>
      </c>
      <c r="F365" s="8" t="n">
        <v>100182.41</v>
      </c>
      <c r="G365" s="8" t="n">
        <v>91.07</v>
      </c>
      <c r="H365" s="8" t="n">
        <v>100177</v>
      </c>
    </row>
    <row r="367" customFormat="false" ht="12.75" hidden="false" customHeight="true" outlineLevel="0" collapsed="false">
      <c r="A367" s="6" t="s">
        <v>409</v>
      </c>
      <c r="B367" s="7" t="s">
        <v>410</v>
      </c>
      <c r="C367" s="6" t="s">
        <v>86</v>
      </c>
      <c r="D367" s="9" t="n">
        <v>396</v>
      </c>
      <c r="E367" s="8" t="n">
        <v>91.07</v>
      </c>
      <c r="F367" s="8" t="n">
        <v>36065.67</v>
      </c>
      <c r="G367" s="8" t="n">
        <v>91.07</v>
      </c>
      <c r="H367" s="8" t="n">
        <v>36063.72</v>
      </c>
    </row>
    <row r="369" customFormat="false" ht="12.75" hidden="false" customHeight="true" outlineLevel="0" collapsed="false">
      <c r="A369" s="6" t="s">
        <v>411</v>
      </c>
      <c r="B369" s="7" t="s">
        <v>412</v>
      </c>
      <c r="C369" s="6" t="s">
        <v>86</v>
      </c>
      <c r="D369" s="9" t="n">
        <v>102</v>
      </c>
      <c r="E369" s="8" t="n">
        <v>91.07</v>
      </c>
      <c r="F369" s="8" t="n">
        <v>9289.64</v>
      </c>
      <c r="G369" s="8" t="n">
        <v>91.07</v>
      </c>
      <c r="H369" s="8" t="n">
        <v>9289.14</v>
      </c>
    </row>
    <row r="371" customFormat="false" ht="153" hidden="false" customHeight="true" outlineLevel="0" collapsed="false">
      <c r="A371" s="6" t="s">
        <v>413</v>
      </c>
      <c r="B371" s="7" t="s">
        <v>414</v>
      </c>
      <c r="I371" s="14" t="s">
        <v>62</v>
      </c>
      <c r="J371" s="15" t="s">
        <v>31</v>
      </c>
      <c r="K371" s="14" t="s">
        <v>415</v>
      </c>
    </row>
    <row r="373" customFormat="false" ht="12.75" hidden="false" customHeight="true" outlineLevel="0" collapsed="false">
      <c r="A373" s="6" t="s">
        <v>416</v>
      </c>
      <c r="B373" s="7" t="s">
        <v>320</v>
      </c>
      <c r="C373" s="6" t="s">
        <v>86</v>
      </c>
      <c r="D373" s="9" t="n">
        <v>280</v>
      </c>
      <c r="E373" s="8" t="n">
        <v>35</v>
      </c>
      <c r="F373" s="8" t="n">
        <v>9800</v>
      </c>
      <c r="G373" s="8" t="n">
        <v>35</v>
      </c>
      <c r="H373" s="8" t="n">
        <v>9800</v>
      </c>
    </row>
    <row r="375" customFormat="false" ht="12.75" hidden="false" customHeight="true" outlineLevel="0" collapsed="false">
      <c r="A375" s="6" t="s">
        <v>417</v>
      </c>
      <c r="B375" s="7" t="s">
        <v>349</v>
      </c>
      <c r="C375" s="6" t="s">
        <v>86</v>
      </c>
      <c r="D375" s="9" t="n">
        <v>339</v>
      </c>
      <c r="E375" s="8" t="n">
        <v>35</v>
      </c>
      <c r="F375" s="8" t="n">
        <v>11865</v>
      </c>
      <c r="G375" s="8" t="n">
        <v>35</v>
      </c>
      <c r="H375" s="8" t="n">
        <v>11865</v>
      </c>
    </row>
    <row r="377" customFormat="false" ht="191.25" hidden="false" customHeight="true" outlineLevel="0" collapsed="false">
      <c r="A377" s="6" t="s">
        <v>418</v>
      </c>
      <c r="B377" s="7" t="s">
        <v>419</v>
      </c>
    </row>
    <row r="379" customFormat="false" ht="12.75" hidden="false" customHeight="true" outlineLevel="0" collapsed="false">
      <c r="A379" s="6" t="s">
        <v>420</v>
      </c>
      <c r="B379" s="7" t="s">
        <v>421</v>
      </c>
      <c r="C379" s="6" t="s">
        <v>86</v>
      </c>
      <c r="D379" s="9" t="n">
        <v>177</v>
      </c>
      <c r="E379" s="8" t="n">
        <v>59</v>
      </c>
      <c r="F379" s="8" t="n">
        <v>10442.75</v>
      </c>
      <c r="G379" s="8" t="n">
        <v>59</v>
      </c>
      <c r="H379" s="8" t="n">
        <v>10443</v>
      </c>
    </row>
    <row r="381" customFormat="false" ht="12.75" hidden="false" customHeight="true" outlineLevel="0" collapsed="false">
      <c r="A381" s="6" t="s">
        <v>422</v>
      </c>
      <c r="B381" s="7" t="s">
        <v>423</v>
      </c>
      <c r="C381" s="6" t="s">
        <v>86</v>
      </c>
      <c r="D381" s="9" t="n">
        <v>24</v>
      </c>
      <c r="E381" s="8" t="n">
        <v>59</v>
      </c>
      <c r="F381" s="8" t="n">
        <v>1415.97</v>
      </c>
      <c r="G381" s="8" t="n">
        <v>59</v>
      </c>
      <c r="H381" s="8" t="n">
        <v>1416</v>
      </c>
    </row>
    <row r="383" customFormat="false" ht="12.75" hidden="false" customHeight="true" outlineLevel="0" collapsed="false">
      <c r="A383" s="6" t="s">
        <v>424</v>
      </c>
      <c r="B383" s="7" t="s">
        <v>425</v>
      </c>
      <c r="C383" s="6" t="s">
        <v>86</v>
      </c>
      <c r="D383" s="9" t="n">
        <v>13</v>
      </c>
      <c r="E383" s="8" t="n">
        <v>59</v>
      </c>
      <c r="F383" s="8" t="n">
        <v>766.98</v>
      </c>
      <c r="G383" s="8" t="n">
        <v>59</v>
      </c>
      <c r="H383" s="8" t="n">
        <v>767</v>
      </c>
    </row>
    <row r="385" customFormat="false" ht="12.75" hidden="false" customHeight="true" outlineLevel="0" collapsed="false">
      <c r="A385" s="6" t="s">
        <v>426</v>
      </c>
      <c r="B385" s="7" t="s">
        <v>427</v>
      </c>
      <c r="C385" s="6" t="s">
        <v>86</v>
      </c>
      <c r="D385" s="9" t="n">
        <v>26</v>
      </c>
      <c r="E385" s="8" t="n">
        <v>59</v>
      </c>
      <c r="F385" s="8" t="n">
        <v>1533.96</v>
      </c>
      <c r="G385" s="8" t="n">
        <v>59</v>
      </c>
      <c r="H385" s="8" t="n">
        <v>1534</v>
      </c>
    </row>
    <row r="387" customFormat="false" ht="12.75" hidden="false" customHeight="true" outlineLevel="0" collapsed="false">
      <c r="A387" s="6" t="s">
        <v>428</v>
      </c>
      <c r="B387" s="7" t="s">
        <v>429</v>
      </c>
      <c r="C387" s="6" t="s">
        <v>86</v>
      </c>
      <c r="D387" s="8" t="n">
        <v>10.5</v>
      </c>
      <c r="E387" s="8" t="n">
        <v>59</v>
      </c>
      <c r="F387" s="8" t="n">
        <v>619.49</v>
      </c>
      <c r="G387" s="8" t="n">
        <v>59</v>
      </c>
      <c r="H387" s="8" t="n">
        <v>619.5</v>
      </c>
    </row>
    <row r="389" customFormat="false" ht="12.75" hidden="false" customHeight="true" outlineLevel="0" collapsed="false">
      <c r="A389" s="6" t="s">
        <v>430</v>
      </c>
      <c r="B389" s="7" t="s">
        <v>431</v>
      </c>
      <c r="C389" s="6" t="s">
        <v>86</v>
      </c>
      <c r="D389" s="9" t="n">
        <v>25</v>
      </c>
      <c r="E389" s="8" t="n">
        <v>59</v>
      </c>
      <c r="F389" s="8" t="n">
        <v>1474.96</v>
      </c>
      <c r="G389" s="8" t="n">
        <v>59</v>
      </c>
      <c r="H389" s="8" t="n">
        <v>1475</v>
      </c>
    </row>
    <row r="391" customFormat="false" ht="114.75" hidden="false" customHeight="true" outlineLevel="0" collapsed="false">
      <c r="A391" s="6" t="s">
        <v>432</v>
      </c>
      <c r="B391" s="7" t="s">
        <v>433</v>
      </c>
    </row>
    <row r="394" customFormat="false" ht="25.5" hidden="false" customHeight="true" outlineLevel="0" collapsed="false">
      <c r="A394" s="6" t="s">
        <v>434</v>
      </c>
      <c r="B394" s="7" t="s">
        <v>435</v>
      </c>
      <c r="C394" s="6" t="s">
        <v>86</v>
      </c>
      <c r="D394" s="9" t="n">
        <v>20</v>
      </c>
      <c r="E394" s="8" t="n">
        <v>145</v>
      </c>
      <c r="F394" s="8" t="n">
        <v>2900</v>
      </c>
      <c r="G394" s="8" t="n">
        <v>145</v>
      </c>
      <c r="H394" s="8" t="n">
        <v>2900</v>
      </c>
      <c r="I394" s="10" t="s">
        <v>17</v>
      </c>
      <c r="J394" s="11" t="s">
        <v>18</v>
      </c>
      <c r="K394" s="10" t="s">
        <v>436</v>
      </c>
    </row>
    <row r="396" customFormat="false" ht="114.75" hidden="false" customHeight="true" outlineLevel="0" collapsed="false">
      <c r="A396" s="6" t="s">
        <v>437</v>
      </c>
      <c r="B396" s="7" t="s">
        <v>438</v>
      </c>
      <c r="C396" s="6" t="s">
        <v>16</v>
      </c>
      <c r="D396" s="9" t="n">
        <v>14</v>
      </c>
      <c r="E396" s="8" t="n">
        <v>100</v>
      </c>
      <c r="F396" s="8" t="n">
        <v>1400</v>
      </c>
      <c r="G396" s="8" t="n">
        <v>100</v>
      </c>
      <c r="H396" s="8" t="n">
        <v>1400</v>
      </c>
    </row>
    <row r="398" customFormat="false" ht="191.25" hidden="false" customHeight="true" outlineLevel="0" collapsed="false">
      <c r="A398" s="6" t="s">
        <v>439</v>
      </c>
      <c r="B398" s="7" t="s">
        <v>440</v>
      </c>
    </row>
    <row r="400" customFormat="false" ht="12.75" hidden="false" customHeight="true" outlineLevel="0" collapsed="false">
      <c r="A400" s="6" t="s">
        <v>441</v>
      </c>
      <c r="B400" s="7" t="s">
        <v>442</v>
      </c>
      <c r="C400" s="6" t="s">
        <v>61</v>
      </c>
      <c r="D400" s="9" t="n">
        <v>14</v>
      </c>
      <c r="E400" s="8" t="n">
        <v>85</v>
      </c>
      <c r="F400" s="8" t="n">
        <v>1190</v>
      </c>
      <c r="G400" s="8" t="n">
        <v>85</v>
      </c>
      <c r="H400" s="8" t="n">
        <v>1190</v>
      </c>
    </row>
    <row r="402" customFormat="false" ht="12.75" hidden="false" customHeight="true" outlineLevel="0" collapsed="false">
      <c r="A402" s="6" t="s">
        <v>443</v>
      </c>
      <c r="B402" s="7" t="s">
        <v>444</v>
      </c>
      <c r="C402" s="6" t="s">
        <v>61</v>
      </c>
      <c r="D402" s="9" t="n">
        <v>34</v>
      </c>
      <c r="E402" s="8" t="n">
        <v>70</v>
      </c>
      <c r="F402" s="8" t="n">
        <v>2380</v>
      </c>
      <c r="G402" s="8" t="n">
        <v>70</v>
      </c>
      <c r="H402" s="8" t="n">
        <v>2380</v>
      </c>
    </row>
    <row r="404" customFormat="false" ht="12.75" hidden="false" customHeight="true" outlineLevel="0" collapsed="false">
      <c r="A404" s="6" t="s">
        <v>445</v>
      </c>
      <c r="B404" s="7" t="s">
        <v>446</v>
      </c>
      <c r="C404" s="6" t="s">
        <v>61</v>
      </c>
      <c r="D404" s="9" t="n">
        <v>14</v>
      </c>
      <c r="E404" s="8" t="n">
        <v>64</v>
      </c>
      <c r="F404" s="8" t="n">
        <v>896</v>
      </c>
      <c r="G404" s="8" t="n">
        <v>64</v>
      </c>
      <c r="H404" s="8" t="n">
        <v>896</v>
      </c>
    </row>
    <row r="406" customFormat="false" ht="114.75" hidden="false" customHeight="true" outlineLevel="0" collapsed="false">
      <c r="A406" s="6" t="s">
        <v>447</v>
      </c>
      <c r="B406" s="7" t="s">
        <v>448</v>
      </c>
      <c r="C406" s="6" t="s">
        <v>86</v>
      </c>
      <c r="D406" s="8" t="n">
        <v>23.5</v>
      </c>
      <c r="E406" s="8" t="n">
        <v>101.28</v>
      </c>
      <c r="F406" s="8" t="n">
        <v>2380</v>
      </c>
      <c r="G406" s="8" t="n">
        <v>101.28</v>
      </c>
      <c r="H406" s="8" t="n">
        <v>2380.08</v>
      </c>
    </row>
    <row r="408" customFormat="false" ht="114.75" hidden="false" customHeight="true" outlineLevel="0" collapsed="false">
      <c r="A408" s="6" t="s">
        <v>449</v>
      </c>
      <c r="B408" s="7" t="s">
        <v>450</v>
      </c>
      <c r="C408" s="6" t="s">
        <v>61</v>
      </c>
      <c r="D408" s="9" t="n">
        <v>15</v>
      </c>
      <c r="E408" s="8" t="n">
        <v>35.34</v>
      </c>
      <c r="F408" s="8" t="n">
        <v>530.16</v>
      </c>
      <c r="G408" s="8" t="n">
        <v>35.34</v>
      </c>
      <c r="H408" s="8" t="n">
        <v>530.1</v>
      </c>
    </row>
    <row r="410" customFormat="false" ht="12.75" hidden="false" customHeight="true" outlineLevel="0" collapsed="false">
      <c r="A410" s="6" t="s">
        <v>451</v>
      </c>
      <c r="B410" s="7" t="s">
        <v>452</v>
      </c>
    </row>
    <row r="412" customFormat="false" ht="153" hidden="false" customHeight="true" outlineLevel="0" collapsed="false">
      <c r="A412" s="6" t="s">
        <v>453</v>
      </c>
      <c r="B412" s="7" t="s">
        <v>454</v>
      </c>
    </row>
    <row r="414" customFormat="false" ht="25.5" hidden="false" customHeight="true" outlineLevel="0" collapsed="false">
      <c r="A414" s="6" t="s">
        <v>455</v>
      </c>
      <c r="B414" s="7" t="s">
        <v>456</v>
      </c>
      <c r="C414" s="6" t="s">
        <v>86</v>
      </c>
      <c r="D414" s="9" t="n">
        <v>18</v>
      </c>
      <c r="E414" s="8" t="n">
        <v>145</v>
      </c>
      <c r="F414" s="8" t="n">
        <v>2610</v>
      </c>
      <c r="G414" s="8" t="n">
        <v>145</v>
      </c>
      <c r="H414" s="8" t="n">
        <v>2610</v>
      </c>
    </row>
    <row r="416" customFormat="false" ht="114.75" hidden="false" customHeight="true" outlineLevel="0" collapsed="false">
      <c r="A416" s="6" t="s">
        <v>457</v>
      </c>
      <c r="B416" s="7" t="s">
        <v>458</v>
      </c>
      <c r="C416" s="6" t="s">
        <v>16</v>
      </c>
      <c r="D416" s="9" t="n">
        <v>6</v>
      </c>
      <c r="E416" s="8" t="n">
        <v>100</v>
      </c>
      <c r="F416" s="8" t="n">
        <v>600</v>
      </c>
      <c r="G416" s="8" t="n">
        <v>100</v>
      </c>
      <c r="H416" s="8" t="n">
        <v>600</v>
      </c>
    </row>
    <row r="418" customFormat="false" ht="191.25" hidden="false" customHeight="true" outlineLevel="0" collapsed="false">
      <c r="A418" s="6" t="s">
        <v>459</v>
      </c>
      <c r="B418" s="7" t="s">
        <v>460</v>
      </c>
    </row>
    <row r="420" customFormat="false" ht="12.75" hidden="false" customHeight="true" outlineLevel="0" collapsed="false">
      <c r="A420" s="6" t="s">
        <v>461</v>
      </c>
      <c r="B420" s="7" t="s">
        <v>442</v>
      </c>
      <c r="C420" s="6" t="s">
        <v>61</v>
      </c>
      <c r="D420" s="9" t="n">
        <v>112</v>
      </c>
      <c r="E420" s="8" t="n">
        <v>85</v>
      </c>
      <c r="F420" s="8" t="n">
        <v>9520</v>
      </c>
      <c r="G420" s="8" t="n">
        <v>85</v>
      </c>
      <c r="H420" s="8" t="n">
        <v>9520</v>
      </c>
    </row>
    <row r="422" customFormat="false" ht="12.75" hidden="false" customHeight="true" outlineLevel="0" collapsed="false">
      <c r="A422" s="6" t="s">
        <v>462</v>
      </c>
      <c r="B422" s="7" t="s">
        <v>444</v>
      </c>
      <c r="C422" s="6" t="s">
        <v>61</v>
      </c>
      <c r="D422" s="9" t="n">
        <v>6</v>
      </c>
      <c r="E422" s="8" t="n">
        <v>70</v>
      </c>
      <c r="F422" s="8" t="n">
        <v>420</v>
      </c>
      <c r="G422" s="8" t="n">
        <v>70</v>
      </c>
      <c r="H422" s="8" t="n">
        <v>420</v>
      </c>
    </row>
    <row r="424" customFormat="false" ht="165.75" hidden="false" customHeight="true" outlineLevel="0" collapsed="false">
      <c r="A424" s="6" t="s">
        <v>463</v>
      </c>
      <c r="B424" s="7" t="s">
        <v>464</v>
      </c>
      <c r="C424" s="6" t="s">
        <v>86</v>
      </c>
      <c r="D424" s="9" t="n">
        <v>12</v>
      </c>
      <c r="E424" s="8" t="n">
        <v>30.5</v>
      </c>
      <c r="F424" s="8" t="n">
        <v>366</v>
      </c>
      <c r="G424" s="8" t="n">
        <v>30.5</v>
      </c>
      <c r="H424" s="8" t="n">
        <v>366</v>
      </c>
    </row>
    <row r="427" customFormat="false" ht="127.5" hidden="false" customHeight="true" outlineLevel="0" collapsed="false">
      <c r="A427" s="6" t="s">
        <v>465</v>
      </c>
      <c r="B427" s="7" t="s">
        <v>466</v>
      </c>
      <c r="C427" s="6" t="s">
        <v>86</v>
      </c>
      <c r="D427" s="9" t="n">
        <v>1086</v>
      </c>
      <c r="E427" s="8" t="n">
        <v>34.13</v>
      </c>
      <c r="F427" s="8" t="n">
        <v>37070</v>
      </c>
      <c r="G427" s="8" t="n">
        <v>34.13</v>
      </c>
      <c r="H427" s="8" t="n">
        <v>37065.18</v>
      </c>
      <c r="I427" s="14" t="s">
        <v>22</v>
      </c>
      <c r="J427" s="15" t="s">
        <v>31</v>
      </c>
      <c r="K427" s="14" t="s">
        <v>467</v>
      </c>
    </row>
    <row r="429" customFormat="false" ht="165.75" hidden="false" customHeight="true" outlineLevel="0" collapsed="false">
      <c r="A429" s="6" t="s">
        <v>468</v>
      </c>
      <c r="B429" s="7" t="s">
        <v>469</v>
      </c>
      <c r="C429" s="6" t="s">
        <v>61</v>
      </c>
      <c r="D429" s="9" t="n">
        <v>210</v>
      </c>
      <c r="E429" s="8" t="n">
        <v>46.44</v>
      </c>
      <c r="F429" s="8" t="n">
        <v>9752.4</v>
      </c>
      <c r="G429" s="8" t="n">
        <v>46.44</v>
      </c>
      <c r="H429" s="8" t="n">
        <v>9752.4</v>
      </c>
    </row>
    <row r="431" customFormat="false" ht="153" hidden="false" customHeight="true" outlineLevel="0" collapsed="false">
      <c r="A431" s="6" t="s">
        <v>470</v>
      </c>
      <c r="B431" s="7" t="s">
        <v>471</v>
      </c>
      <c r="C431" s="6" t="s">
        <v>61</v>
      </c>
      <c r="D431" s="9" t="n">
        <v>28</v>
      </c>
      <c r="E431" s="8" t="n">
        <v>75</v>
      </c>
      <c r="F431" s="8" t="n">
        <v>2100</v>
      </c>
      <c r="G431" s="8" t="n">
        <v>75</v>
      </c>
      <c r="H431" s="8" t="n">
        <v>2100</v>
      </c>
    </row>
    <row r="433" customFormat="false" ht="153" hidden="false" customHeight="true" outlineLevel="0" collapsed="false">
      <c r="A433" s="6" t="s">
        <v>472</v>
      </c>
      <c r="B433" s="7" t="s">
        <v>473</v>
      </c>
      <c r="C433" s="6" t="s">
        <v>86</v>
      </c>
      <c r="D433" s="9" t="n">
        <v>2538</v>
      </c>
      <c r="E433" s="8" t="n">
        <v>50.18</v>
      </c>
      <c r="F433" s="8" t="n">
        <v>127363.19</v>
      </c>
      <c r="G433" s="8" t="n">
        <v>50.18</v>
      </c>
      <c r="H433" s="8" t="n">
        <v>127356.84</v>
      </c>
      <c r="I433" s="14" t="s">
        <v>91</v>
      </c>
      <c r="J433" s="15" t="s">
        <v>31</v>
      </c>
      <c r="K433" s="14" t="s">
        <v>474</v>
      </c>
    </row>
    <row r="435" customFormat="false" ht="127.5" hidden="false" customHeight="true" outlineLevel="0" collapsed="false">
      <c r="A435" s="6" t="s">
        <v>475</v>
      </c>
      <c r="B435" s="7" t="s">
        <v>476</v>
      </c>
      <c r="C435" s="6" t="s">
        <v>86</v>
      </c>
      <c r="D435" s="9" t="n">
        <v>1680</v>
      </c>
      <c r="E435" s="8" t="n">
        <v>30</v>
      </c>
      <c r="F435" s="8" t="n">
        <v>50400</v>
      </c>
      <c r="G435" s="8" t="n">
        <v>30</v>
      </c>
      <c r="H435" s="8" t="n">
        <v>50400</v>
      </c>
    </row>
    <row r="437" customFormat="false" ht="178.5" hidden="false" customHeight="true" outlineLevel="0" collapsed="false">
      <c r="A437" s="6" t="s">
        <v>477</v>
      </c>
      <c r="B437" s="7" t="s">
        <v>478</v>
      </c>
      <c r="C437" s="6" t="s">
        <v>61</v>
      </c>
      <c r="D437" s="9" t="n">
        <v>155</v>
      </c>
      <c r="E437" s="8" t="n">
        <v>23.73</v>
      </c>
      <c r="F437" s="8" t="n">
        <v>3677.38</v>
      </c>
      <c r="G437" s="8" t="n">
        <v>23.73</v>
      </c>
      <c r="H437" s="8" t="n">
        <v>3678.15</v>
      </c>
    </row>
    <row r="439" customFormat="false" ht="204" hidden="false" customHeight="true" outlineLevel="0" collapsed="false">
      <c r="A439" s="6" t="s">
        <v>479</v>
      </c>
      <c r="B439" s="7" t="s">
        <v>480</v>
      </c>
      <c r="C439" s="6" t="s">
        <v>86</v>
      </c>
      <c r="D439" s="9" t="n">
        <v>210</v>
      </c>
      <c r="E439" s="8" t="n">
        <v>35</v>
      </c>
      <c r="F439" s="8" t="n">
        <v>7350</v>
      </c>
      <c r="G439" s="8" t="n">
        <v>35</v>
      </c>
      <c r="H439" s="8" t="n">
        <v>7350</v>
      </c>
    </row>
    <row r="441" customFormat="false" ht="178.5" hidden="false" customHeight="true" outlineLevel="0" collapsed="false">
      <c r="A441" s="6" t="s">
        <v>481</v>
      </c>
      <c r="B441" s="7" t="s">
        <v>482</v>
      </c>
      <c r="C441" s="6" t="s">
        <v>61</v>
      </c>
      <c r="D441" s="9" t="n">
        <v>117</v>
      </c>
      <c r="E441" s="8" t="n">
        <v>16.33</v>
      </c>
      <c r="F441" s="8" t="n">
        <v>1910.85</v>
      </c>
      <c r="G441" s="8" t="n">
        <v>16.33</v>
      </c>
      <c r="H441" s="8" t="n">
        <v>1910.61</v>
      </c>
    </row>
    <row r="444" customFormat="false" ht="165.75" hidden="false" customHeight="true" outlineLevel="0" collapsed="false">
      <c r="A444" s="6" t="s">
        <v>483</v>
      </c>
      <c r="B444" s="7" t="s">
        <v>484</v>
      </c>
      <c r="C444" s="6" t="s">
        <v>86</v>
      </c>
      <c r="D444" s="9" t="n">
        <v>150</v>
      </c>
      <c r="E444" s="8" t="n">
        <v>30.5</v>
      </c>
      <c r="F444" s="8" t="n">
        <v>4575</v>
      </c>
      <c r="G444" s="8" t="n">
        <v>30.5</v>
      </c>
      <c r="H444" s="8" t="n">
        <v>4575</v>
      </c>
    </row>
    <row r="446" customFormat="false" ht="12.75" hidden="false" customHeight="true" outlineLevel="0" collapsed="false">
      <c r="A446" s="6" t="s">
        <v>485</v>
      </c>
      <c r="B446" s="7" t="s">
        <v>486</v>
      </c>
      <c r="F446" s="8" t="n">
        <v>35754.38</v>
      </c>
      <c r="H446" s="8" t="n">
        <v>35754.86</v>
      </c>
    </row>
    <row r="448" customFormat="false" ht="242.25" hidden="false" customHeight="true" outlineLevel="0" collapsed="false">
      <c r="A448" s="6" t="s">
        <v>487</v>
      </c>
      <c r="B448" s="7" t="s">
        <v>488</v>
      </c>
      <c r="C448" s="6" t="s">
        <v>86</v>
      </c>
      <c r="D448" s="9" t="n">
        <v>42</v>
      </c>
      <c r="E448" s="8" t="n">
        <v>54.05</v>
      </c>
      <c r="F448" s="8" t="n">
        <v>2270.1</v>
      </c>
      <c r="G448" s="8" t="n">
        <v>54.05</v>
      </c>
      <c r="H448" s="8" t="n">
        <v>2270.1</v>
      </c>
    </row>
    <row r="450" customFormat="false" ht="178.5" hidden="false" customHeight="true" outlineLevel="0" collapsed="false">
      <c r="A450" s="6" t="s">
        <v>489</v>
      </c>
      <c r="B450" s="7" t="s">
        <v>490</v>
      </c>
      <c r="C450" s="6" t="s">
        <v>86</v>
      </c>
      <c r="D450" s="9" t="n">
        <v>42</v>
      </c>
      <c r="E450" s="8" t="n">
        <v>96.58</v>
      </c>
      <c r="F450" s="8" t="n">
        <v>4056.36</v>
      </c>
      <c r="G450" s="8" t="n">
        <v>96.58</v>
      </c>
      <c r="H450" s="8" t="n">
        <v>4056.36</v>
      </c>
      <c r="I450" s="14" t="s">
        <v>62</v>
      </c>
      <c r="J450" s="15" t="s">
        <v>31</v>
      </c>
      <c r="K450" s="14" t="s">
        <v>491</v>
      </c>
    </row>
    <row r="452" customFormat="false" ht="178.5" hidden="false" customHeight="true" outlineLevel="0" collapsed="false">
      <c r="A452" s="6" t="s">
        <v>492</v>
      </c>
      <c r="B452" s="7" t="s">
        <v>493</v>
      </c>
      <c r="C452" s="6" t="s">
        <v>86</v>
      </c>
      <c r="D452" s="9" t="n">
        <v>226</v>
      </c>
      <c r="E452" s="8" t="n">
        <v>75.5</v>
      </c>
      <c r="F452" s="8" t="n">
        <v>17063</v>
      </c>
      <c r="G452" s="8" t="n">
        <v>75.5</v>
      </c>
      <c r="H452" s="8" t="n">
        <v>17063</v>
      </c>
    </row>
    <row r="454" customFormat="false" ht="127.5" hidden="false" customHeight="true" outlineLevel="0" collapsed="false">
      <c r="A454" s="6" t="s">
        <v>494</v>
      </c>
      <c r="B454" s="7" t="s">
        <v>495</v>
      </c>
      <c r="C454" s="6" t="s">
        <v>86</v>
      </c>
      <c r="D454" s="9" t="n">
        <v>120</v>
      </c>
      <c r="E454" s="8" t="n">
        <v>21.39</v>
      </c>
      <c r="F454" s="8" t="n">
        <v>2566.38</v>
      </c>
      <c r="G454" s="8" t="n">
        <v>21.39</v>
      </c>
      <c r="H454" s="8" t="n">
        <v>2566.8</v>
      </c>
    </row>
    <row r="456" customFormat="false" ht="293.25" hidden="false" customHeight="true" outlineLevel="0" collapsed="false">
      <c r="A456" s="6" t="s">
        <v>496</v>
      </c>
      <c r="B456" s="7" t="s">
        <v>497</v>
      </c>
      <c r="C456" s="6" t="s">
        <v>86</v>
      </c>
      <c r="D456" s="9" t="n">
        <v>105</v>
      </c>
      <c r="E456" s="8" t="n">
        <v>93.32</v>
      </c>
      <c r="F456" s="8" t="n">
        <v>9798.54</v>
      </c>
      <c r="G456" s="8" t="n">
        <v>93.32</v>
      </c>
      <c r="H456" s="8" t="n">
        <v>9798.6</v>
      </c>
      <c r="I456" s="14" t="s">
        <v>4</v>
      </c>
      <c r="J456" s="15" t="s">
        <v>31</v>
      </c>
      <c r="K456" s="14" t="s">
        <v>498</v>
      </c>
    </row>
    <row r="459" customFormat="false" ht="12.75" hidden="false" customHeight="true" outlineLevel="0" collapsed="false">
      <c r="A459" s="6" t="s">
        <v>499</v>
      </c>
      <c r="B459" s="7" t="s">
        <v>500</v>
      </c>
      <c r="F459" s="8" t="n">
        <v>210694.66</v>
      </c>
      <c r="H459" s="8" t="n">
        <v>210694.66</v>
      </c>
    </row>
    <row r="461" customFormat="false" ht="76.5" hidden="false" customHeight="true" outlineLevel="0" collapsed="false">
      <c r="A461" s="6" t="s">
        <v>501</v>
      </c>
      <c r="B461" s="7" t="s">
        <v>502</v>
      </c>
    </row>
    <row r="463" customFormat="false" ht="12.75" hidden="false" customHeight="true" outlineLevel="0" collapsed="false">
      <c r="A463" s="6" t="s">
        <v>503</v>
      </c>
      <c r="B463" s="7" t="s">
        <v>504</v>
      </c>
    </row>
    <row r="465" customFormat="false" ht="204" hidden="false" customHeight="true" outlineLevel="0" collapsed="false">
      <c r="A465" s="6" t="s">
        <v>505</v>
      </c>
      <c r="B465" s="7" t="s">
        <v>506</v>
      </c>
    </row>
    <row r="467" customFormat="false" ht="12.75" hidden="false" customHeight="true" outlineLevel="0" collapsed="false">
      <c r="A467" s="6" t="s">
        <v>507</v>
      </c>
      <c r="B467" s="7" t="s">
        <v>508</v>
      </c>
      <c r="C467" s="6" t="s">
        <v>16</v>
      </c>
      <c r="D467" s="9" t="n">
        <v>2</v>
      </c>
      <c r="E467" s="8" t="n">
        <v>538.25</v>
      </c>
      <c r="F467" s="8" t="n">
        <v>1076.5</v>
      </c>
      <c r="G467" s="8" t="n">
        <v>538.25</v>
      </c>
      <c r="H467" s="8" t="n">
        <v>1076.5</v>
      </c>
    </row>
    <row r="469" customFormat="false" ht="12.75" hidden="false" customHeight="true" outlineLevel="0" collapsed="false">
      <c r="A469" s="6" t="s">
        <v>509</v>
      </c>
      <c r="B469" s="7" t="s">
        <v>510</v>
      </c>
      <c r="C469" s="6" t="s">
        <v>16</v>
      </c>
      <c r="D469" s="9" t="n">
        <v>2</v>
      </c>
      <c r="E469" s="8" t="n">
        <v>538.25</v>
      </c>
      <c r="F469" s="8" t="n">
        <v>1076.5</v>
      </c>
      <c r="G469" s="8" t="n">
        <v>538.25</v>
      </c>
      <c r="H469" s="8" t="n">
        <v>1076.5</v>
      </c>
    </row>
    <row r="471" customFormat="false" ht="153" hidden="false" customHeight="true" outlineLevel="0" collapsed="false">
      <c r="A471" s="6" t="s">
        <v>511</v>
      </c>
      <c r="B471" s="7" t="s">
        <v>512</v>
      </c>
    </row>
    <row r="473" customFormat="false" ht="12.75" hidden="false" customHeight="true" outlineLevel="0" collapsed="false">
      <c r="A473" s="6" t="s">
        <v>513</v>
      </c>
      <c r="B473" s="7" t="s">
        <v>514</v>
      </c>
      <c r="C473" s="6" t="s">
        <v>16</v>
      </c>
      <c r="D473" s="9" t="n">
        <v>2</v>
      </c>
      <c r="E473" s="8" t="n">
        <v>504.5</v>
      </c>
      <c r="F473" s="8" t="n">
        <v>1009</v>
      </c>
      <c r="G473" s="8" t="n">
        <v>504.5</v>
      </c>
      <c r="H473" s="8" t="n">
        <v>1009</v>
      </c>
    </row>
    <row r="475" customFormat="false" ht="191.25" hidden="false" customHeight="true" outlineLevel="0" collapsed="false">
      <c r="A475" s="6" t="s">
        <v>515</v>
      </c>
      <c r="B475" s="7" t="s">
        <v>516</v>
      </c>
    </row>
    <row r="477" customFormat="false" ht="12.75" hidden="false" customHeight="true" outlineLevel="0" collapsed="false">
      <c r="A477" s="6" t="s">
        <v>517</v>
      </c>
      <c r="B477" s="7" t="s">
        <v>518</v>
      </c>
      <c r="C477" s="6" t="s">
        <v>16</v>
      </c>
      <c r="D477" s="9" t="n">
        <v>6</v>
      </c>
      <c r="E477" s="8" t="n">
        <v>504.5</v>
      </c>
      <c r="F477" s="8" t="n">
        <v>3027</v>
      </c>
      <c r="G477" s="8" t="n">
        <v>504.5</v>
      </c>
      <c r="H477" s="8" t="n">
        <v>3027</v>
      </c>
    </row>
    <row r="479" customFormat="false" ht="191.25" hidden="false" customHeight="true" outlineLevel="0" collapsed="false">
      <c r="A479" s="6" t="s">
        <v>519</v>
      </c>
      <c r="B479" s="7" t="s">
        <v>520</v>
      </c>
    </row>
    <row r="481" customFormat="false" ht="12.75" hidden="false" customHeight="true" outlineLevel="0" collapsed="false">
      <c r="A481" s="6" t="s">
        <v>521</v>
      </c>
      <c r="B481" s="7" t="s">
        <v>522</v>
      </c>
      <c r="C481" s="6" t="s">
        <v>16</v>
      </c>
      <c r="D481" s="9" t="n">
        <v>4</v>
      </c>
      <c r="E481" s="8" t="n">
        <v>823.08</v>
      </c>
      <c r="F481" s="8" t="n">
        <v>3292.32</v>
      </c>
      <c r="G481" s="8" t="n">
        <v>823.08</v>
      </c>
      <c r="H481" s="8" t="n">
        <v>3292.32</v>
      </c>
    </row>
    <row r="483" customFormat="false" ht="191.25" hidden="false" customHeight="true" outlineLevel="0" collapsed="false">
      <c r="A483" s="6" t="s">
        <v>523</v>
      </c>
      <c r="B483" s="7" t="s">
        <v>524</v>
      </c>
    </row>
    <row r="485" customFormat="false" ht="12.75" hidden="false" customHeight="true" outlineLevel="0" collapsed="false">
      <c r="A485" s="6" t="s">
        <v>525</v>
      </c>
      <c r="B485" s="7" t="s">
        <v>526</v>
      </c>
      <c r="C485" s="6" t="s">
        <v>16</v>
      </c>
      <c r="D485" s="9" t="n">
        <v>2</v>
      </c>
      <c r="E485" s="8" t="n">
        <v>538.25</v>
      </c>
      <c r="F485" s="8" t="n">
        <v>1076.5</v>
      </c>
      <c r="G485" s="8" t="n">
        <v>538.25</v>
      </c>
      <c r="H485" s="8" t="n">
        <v>1076.5</v>
      </c>
    </row>
    <row r="487" customFormat="false" ht="12.75" hidden="false" customHeight="true" outlineLevel="0" collapsed="false">
      <c r="A487" s="6" t="s">
        <v>527</v>
      </c>
      <c r="B487" s="7" t="s">
        <v>528</v>
      </c>
    </row>
    <row r="489" customFormat="false" ht="178.5" hidden="false" customHeight="true" outlineLevel="0" collapsed="false">
      <c r="A489" s="6" t="s">
        <v>529</v>
      </c>
      <c r="B489" s="7" t="s">
        <v>530</v>
      </c>
      <c r="C489" s="6" t="s">
        <v>16</v>
      </c>
      <c r="D489" s="9" t="n">
        <v>2</v>
      </c>
      <c r="E489" s="8" t="n">
        <v>471.36</v>
      </c>
      <c r="F489" s="8" t="n">
        <v>942.72</v>
      </c>
      <c r="G489" s="8" t="n">
        <v>471.36</v>
      </c>
      <c r="H489" s="8" t="n">
        <v>942.72</v>
      </c>
    </row>
    <row r="492" customFormat="false" ht="242.25" hidden="false" customHeight="true" outlineLevel="0" collapsed="false">
      <c r="A492" s="6" t="s">
        <v>531</v>
      </c>
      <c r="B492" s="7" t="s">
        <v>532</v>
      </c>
      <c r="C492" s="6" t="s">
        <v>16</v>
      </c>
      <c r="D492" s="9" t="n">
        <v>1</v>
      </c>
      <c r="E492" s="8" t="n">
        <v>5705.24</v>
      </c>
      <c r="F492" s="8" t="n">
        <v>5705.24</v>
      </c>
      <c r="G492" s="8" t="n">
        <v>5705.24</v>
      </c>
      <c r="H492" s="8" t="n">
        <v>5705.24</v>
      </c>
    </row>
    <row r="494" customFormat="false" ht="229.5" hidden="false" customHeight="true" outlineLevel="0" collapsed="false">
      <c r="A494" s="6" t="s">
        <v>533</v>
      </c>
      <c r="B494" s="7" t="s">
        <v>534</v>
      </c>
    </row>
    <row r="496" customFormat="false" ht="63.75" hidden="false" customHeight="true" outlineLevel="0" collapsed="false">
      <c r="A496" s="6" t="s">
        <v>535</v>
      </c>
      <c r="B496" s="7" t="s">
        <v>536</v>
      </c>
      <c r="C496" s="6" t="s">
        <v>16</v>
      </c>
      <c r="D496" s="9" t="n">
        <v>1</v>
      </c>
      <c r="E496" s="8" t="n">
        <v>3597.16</v>
      </c>
      <c r="F496" s="8" t="n">
        <v>3597.16</v>
      </c>
      <c r="G496" s="8" t="n">
        <v>3597.16</v>
      </c>
      <c r="H496" s="8" t="n">
        <v>3597.16</v>
      </c>
    </row>
    <row r="498" customFormat="false" ht="204" hidden="false" customHeight="true" outlineLevel="0" collapsed="false">
      <c r="A498" s="6" t="s">
        <v>537</v>
      </c>
      <c r="B498" s="7" t="s">
        <v>538</v>
      </c>
      <c r="C498" s="6" t="s">
        <v>16</v>
      </c>
      <c r="D498" s="9" t="n">
        <v>1</v>
      </c>
      <c r="E498" s="8" t="n">
        <v>4007.97</v>
      </c>
      <c r="F498" s="8" t="n">
        <v>4007.97</v>
      </c>
      <c r="G498" s="8" t="n">
        <v>4007.97</v>
      </c>
      <c r="H498" s="8" t="n">
        <v>4007.97</v>
      </c>
    </row>
    <row r="500" customFormat="false" ht="165.75" hidden="false" customHeight="true" outlineLevel="0" collapsed="false">
      <c r="A500" s="6" t="s">
        <v>539</v>
      </c>
      <c r="B500" s="7" t="s">
        <v>540</v>
      </c>
      <c r="C500" s="6" t="s">
        <v>16</v>
      </c>
      <c r="D500" s="9" t="n">
        <v>1</v>
      </c>
      <c r="E500" s="8" t="n">
        <v>1236.4</v>
      </c>
      <c r="F500" s="8" t="n">
        <v>1236.4</v>
      </c>
      <c r="G500" s="8" t="n">
        <v>1236.4</v>
      </c>
      <c r="H500" s="8" t="n">
        <v>1236.4</v>
      </c>
    </row>
    <row r="502" customFormat="false" ht="191.25" hidden="false" customHeight="true" outlineLevel="0" collapsed="false">
      <c r="A502" s="6" t="s">
        <v>541</v>
      </c>
      <c r="B502" s="7" t="s">
        <v>542</v>
      </c>
    </row>
    <row r="504" customFormat="false" ht="12.75" hidden="false" customHeight="true" outlineLevel="0" collapsed="false">
      <c r="A504" s="6" t="s">
        <v>543</v>
      </c>
      <c r="B504" s="7" t="s">
        <v>544</v>
      </c>
      <c r="C504" s="6" t="s">
        <v>16</v>
      </c>
      <c r="D504" s="9" t="n">
        <v>1</v>
      </c>
      <c r="E504" s="8" t="n">
        <v>2388.8</v>
      </c>
      <c r="F504" s="8" t="n">
        <v>2388.8</v>
      </c>
      <c r="G504" s="8" t="n">
        <v>2388.8</v>
      </c>
      <c r="H504" s="8" t="n">
        <v>2388.8</v>
      </c>
    </row>
    <row r="506" customFormat="false" ht="12.75" hidden="false" customHeight="true" outlineLevel="0" collapsed="false">
      <c r="A506" s="6" t="s">
        <v>545</v>
      </c>
      <c r="B506" s="7" t="s">
        <v>546</v>
      </c>
      <c r="C506" s="6" t="s">
        <v>16</v>
      </c>
      <c r="D506" s="9" t="n">
        <v>1</v>
      </c>
      <c r="E506" s="8" t="n">
        <v>2532</v>
      </c>
      <c r="F506" s="8" t="n">
        <v>2532</v>
      </c>
      <c r="G506" s="8" t="n">
        <v>2532</v>
      </c>
      <c r="H506" s="8" t="n">
        <v>2532</v>
      </c>
    </row>
    <row r="508" customFormat="false" ht="12.75" hidden="false" customHeight="true" outlineLevel="0" collapsed="false">
      <c r="A508" s="6" t="s">
        <v>547</v>
      </c>
      <c r="B508" s="7" t="s">
        <v>548</v>
      </c>
      <c r="C508" s="6" t="s">
        <v>16</v>
      </c>
      <c r="D508" s="9" t="n">
        <v>1</v>
      </c>
      <c r="E508" s="8" t="n">
        <v>2532</v>
      </c>
      <c r="F508" s="8" t="n">
        <v>2532</v>
      </c>
      <c r="G508" s="8" t="n">
        <v>2532</v>
      </c>
      <c r="H508" s="8" t="n">
        <v>2532</v>
      </c>
    </row>
    <row r="510" customFormat="false" ht="12.75" hidden="false" customHeight="true" outlineLevel="0" collapsed="false">
      <c r="A510" s="6" t="s">
        <v>549</v>
      </c>
      <c r="B510" s="7" t="s">
        <v>550</v>
      </c>
      <c r="C510" s="6" t="s">
        <v>16</v>
      </c>
      <c r="D510" s="9" t="n">
        <v>1</v>
      </c>
      <c r="E510" s="8" t="n">
        <v>2428.8</v>
      </c>
      <c r="F510" s="8" t="n">
        <v>2428.8</v>
      </c>
      <c r="G510" s="8" t="n">
        <v>2428.8</v>
      </c>
      <c r="H510" s="8" t="n">
        <v>2428.8</v>
      </c>
    </row>
    <row r="512" customFormat="false" ht="191.25" hidden="false" customHeight="true" outlineLevel="0" collapsed="false">
      <c r="A512" s="6" t="s">
        <v>551</v>
      </c>
      <c r="B512" s="7" t="s">
        <v>552</v>
      </c>
      <c r="C512" s="6" t="s">
        <v>16</v>
      </c>
      <c r="D512" s="9" t="n">
        <v>1</v>
      </c>
      <c r="E512" s="8" t="n">
        <v>2963.1</v>
      </c>
      <c r="F512" s="8" t="n">
        <v>2963.1</v>
      </c>
      <c r="G512" s="8" t="n">
        <v>2963.1</v>
      </c>
      <c r="H512" s="8" t="n">
        <v>2963.1</v>
      </c>
    </row>
    <row r="515" customFormat="false" ht="204" hidden="false" customHeight="true" outlineLevel="0" collapsed="false">
      <c r="A515" s="6" t="s">
        <v>553</v>
      </c>
      <c r="B515" s="7" t="s">
        <v>554</v>
      </c>
      <c r="C515" s="6" t="s">
        <v>16</v>
      </c>
      <c r="D515" s="9" t="n">
        <v>3</v>
      </c>
      <c r="E515" s="8" t="n">
        <v>6007.9</v>
      </c>
      <c r="F515" s="8" t="n">
        <v>18023.7</v>
      </c>
      <c r="G515" s="8" t="n">
        <v>6007.9</v>
      </c>
      <c r="H515" s="8" t="n">
        <v>18023.7</v>
      </c>
    </row>
    <row r="517" customFormat="false" ht="191.25" hidden="false" customHeight="true" outlineLevel="0" collapsed="false">
      <c r="A517" s="6" t="s">
        <v>555</v>
      </c>
      <c r="B517" s="7" t="s">
        <v>556</v>
      </c>
      <c r="C517" s="6" t="s">
        <v>16</v>
      </c>
      <c r="D517" s="9" t="n">
        <v>7</v>
      </c>
      <c r="E517" s="8" t="n">
        <v>5547.92</v>
      </c>
      <c r="F517" s="8" t="n">
        <v>38835.44</v>
      </c>
      <c r="G517" s="8" t="n">
        <v>5547.92</v>
      </c>
      <c r="H517" s="8" t="n">
        <v>38835.44</v>
      </c>
    </row>
    <row r="519" customFormat="false" ht="140.25" hidden="false" customHeight="true" outlineLevel="0" collapsed="false">
      <c r="A519" s="6" t="s">
        <v>557</v>
      </c>
      <c r="B519" s="7" t="s">
        <v>558</v>
      </c>
    </row>
    <row r="521" customFormat="false" ht="12.75" hidden="false" customHeight="true" outlineLevel="0" collapsed="false">
      <c r="A521" s="6" t="s">
        <v>559</v>
      </c>
      <c r="B521" s="7" t="s">
        <v>560</v>
      </c>
      <c r="C521" s="6" t="s">
        <v>16</v>
      </c>
      <c r="D521" s="9" t="n">
        <v>3</v>
      </c>
      <c r="E521" s="8" t="n">
        <v>7024.85</v>
      </c>
      <c r="F521" s="8" t="n">
        <v>21074.55</v>
      </c>
      <c r="G521" s="8" t="n">
        <v>7024.85</v>
      </c>
      <c r="H521" s="8" t="n">
        <v>21074.55</v>
      </c>
    </row>
    <row r="523" customFormat="false" ht="178.5" hidden="false" customHeight="true" outlineLevel="0" collapsed="false">
      <c r="A523" s="6" t="s">
        <v>561</v>
      </c>
      <c r="B523" s="7" t="s">
        <v>562</v>
      </c>
    </row>
    <row r="525" customFormat="false" ht="63.75" hidden="false" customHeight="true" outlineLevel="0" collapsed="false">
      <c r="A525" s="6" t="s">
        <v>563</v>
      </c>
      <c r="B525" s="7" t="s">
        <v>564</v>
      </c>
      <c r="C525" s="6" t="s">
        <v>16</v>
      </c>
      <c r="D525" s="9" t="n">
        <v>1</v>
      </c>
      <c r="E525" s="8" t="n">
        <v>4177.59</v>
      </c>
      <c r="F525" s="8" t="n">
        <v>4177.59</v>
      </c>
      <c r="G525" s="8" t="n">
        <v>4177.59</v>
      </c>
      <c r="H525" s="8" t="n">
        <v>4177.59</v>
      </c>
    </row>
    <row r="527" customFormat="false" ht="76.5" hidden="false" customHeight="true" outlineLevel="0" collapsed="false">
      <c r="A527" s="6" t="s">
        <v>565</v>
      </c>
      <c r="B527" s="7" t="s">
        <v>566</v>
      </c>
      <c r="C527" s="6" t="s">
        <v>16</v>
      </c>
      <c r="D527" s="9" t="n">
        <v>1</v>
      </c>
      <c r="E527" s="8" t="n">
        <v>3577.37</v>
      </c>
      <c r="F527" s="8" t="n">
        <v>3577.37</v>
      </c>
      <c r="G527" s="8" t="n">
        <v>3577.37</v>
      </c>
      <c r="H527" s="8" t="n">
        <v>3577.37</v>
      </c>
    </row>
    <row r="529" customFormat="false" ht="255" hidden="false" customHeight="true" outlineLevel="0" collapsed="false">
      <c r="A529" s="6" t="s">
        <v>567</v>
      </c>
      <c r="B529" s="7" t="s">
        <v>568</v>
      </c>
    </row>
    <row r="532" customFormat="false" ht="12.75" hidden="false" customHeight="true" outlineLevel="0" collapsed="false">
      <c r="A532" s="6" t="s">
        <v>569</v>
      </c>
      <c r="B532" s="7" t="s">
        <v>570</v>
      </c>
      <c r="C532" s="6" t="s">
        <v>16</v>
      </c>
      <c r="D532" s="9" t="n">
        <v>1</v>
      </c>
      <c r="E532" s="8" t="n">
        <v>4935.6</v>
      </c>
      <c r="F532" s="8" t="n">
        <v>4935.6</v>
      </c>
      <c r="G532" s="8" t="n">
        <v>4935.6</v>
      </c>
      <c r="H532" s="8" t="n">
        <v>4935.6</v>
      </c>
    </row>
    <row r="534" customFormat="false" ht="178.5" hidden="false" customHeight="true" outlineLevel="0" collapsed="false">
      <c r="A534" s="6" t="s">
        <v>571</v>
      </c>
      <c r="B534" s="7" t="s">
        <v>572</v>
      </c>
    </row>
    <row r="536" customFormat="false" ht="12.75" hidden="false" customHeight="true" outlineLevel="0" collapsed="false">
      <c r="A536" s="6" t="s">
        <v>573</v>
      </c>
      <c r="B536" s="7" t="s">
        <v>574</v>
      </c>
      <c r="C536" s="6" t="s">
        <v>16</v>
      </c>
      <c r="D536" s="9" t="n">
        <v>2</v>
      </c>
      <c r="E536" s="8" t="n">
        <v>5798.1</v>
      </c>
      <c r="F536" s="8" t="n">
        <v>11596.2</v>
      </c>
      <c r="G536" s="8" t="n">
        <v>5798.1</v>
      </c>
      <c r="H536" s="8" t="n">
        <v>11596.2</v>
      </c>
    </row>
    <row r="538" customFormat="false" ht="204" hidden="false" customHeight="true" outlineLevel="0" collapsed="false">
      <c r="A538" s="6" t="s">
        <v>575</v>
      </c>
      <c r="B538" s="7" t="s">
        <v>576</v>
      </c>
    </row>
    <row r="540" customFormat="false" ht="12.75" hidden="false" customHeight="true" outlineLevel="0" collapsed="false">
      <c r="A540" s="6" t="s">
        <v>577</v>
      </c>
      <c r="B540" s="7" t="s">
        <v>578</v>
      </c>
      <c r="C540" s="6" t="s">
        <v>16</v>
      </c>
      <c r="D540" s="9" t="n">
        <v>1</v>
      </c>
      <c r="E540" s="8" t="n">
        <v>4840</v>
      </c>
      <c r="F540" s="8" t="n">
        <v>4840</v>
      </c>
      <c r="G540" s="8" t="n">
        <v>4840</v>
      </c>
      <c r="H540" s="8" t="n">
        <v>4840</v>
      </c>
    </row>
    <row r="542" customFormat="false" ht="12.75" hidden="false" customHeight="true" outlineLevel="0" collapsed="false">
      <c r="A542" s="6" t="s">
        <v>579</v>
      </c>
      <c r="B542" s="7" t="s">
        <v>580</v>
      </c>
      <c r="C542" s="6" t="s">
        <v>16</v>
      </c>
      <c r="D542" s="9" t="n">
        <v>2</v>
      </c>
      <c r="E542" s="8" t="n">
        <v>5174.4</v>
      </c>
      <c r="F542" s="8" t="n">
        <v>10348.8</v>
      </c>
      <c r="G542" s="8" t="n">
        <v>5174.4</v>
      </c>
      <c r="H542" s="8" t="n">
        <v>10348.8</v>
      </c>
      <c r="I542" s="12" t="s">
        <v>192</v>
      </c>
      <c r="J542" s="13" t="s">
        <v>23</v>
      </c>
      <c r="K542" s="12" t="s">
        <v>581</v>
      </c>
    </row>
    <row r="544" customFormat="false" ht="102" hidden="false" customHeight="true" outlineLevel="0" collapsed="false">
      <c r="A544" s="6" t="s">
        <v>582</v>
      </c>
      <c r="B544" s="7" t="s">
        <v>583</v>
      </c>
    </row>
    <row r="546" customFormat="false" ht="63.75" hidden="false" customHeight="true" outlineLevel="0" collapsed="false">
      <c r="A546" s="6" t="s">
        <v>584</v>
      </c>
      <c r="B546" s="7" t="s">
        <v>585</v>
      </c>
      <c r="C546" s="6" t="s">
        <v>16</v>
      </c>
      <c r="D546" s="9" t="n">
        <v>1</v>
      </c>
      <c r="E546" s="8" t="n">
        <v>1127.97</v>
      </c>
      <c r="F546" s="8" t="n">
        <v>1127.97</v>
      </c>
      <c r="G546" s="8" t="n">
        <v>1127.97</v>
      </c>
      <c r="H546" s="8" t="n">
        <v>1127.97</v>
      </c>
    </row>
    <row r="548" customFormat="false" ht="63.75" hidden="false" customHeight="true" outlineLevel="0" collapsed="false">
      <c r="A548" s="6" t="s">
        <v>586</v>
      </c>
      <c r="B548" s="7" t="s">
        <v>587</v>
      </c>
      <c r="C548" s="6" t="s">
        <v>16</v>
      </c>
      <c r="D548" s="9" t="n">
        <v>1</v>
      </c>
      <c r="E548" s="8" t="n">
        <v>1411.23</v>
      </c>
      <c r="F548" s="8" t="n">
        <v>1411.23</v>
      </c>
      <c r="G548" s="8" t="n">
        <v>1411.23</v>
      </c>
      <c r="H548" s="8" t="n">
        <v>1411.23</v>
      </c>
    </row>
    <row r="550" customFormat="false" ht="153" hidden="false" customHeight="true" outlineLevel="0" collapsed="false">
      <c r="A550" s="6" t="s">
        <v>588</v>
      </c>
      <c r="B550" s="7" t="s">
        <v>589</v>
      </c>
      <c r="C550" s="6" t="s">
        <v>16</v>
      </c>
      <c r="D550" s="9" t="n">
        <v>1</v>
      </c>
      <c r="E550" s="8" t="n">
        <v>3000</v>
      </c>
      <c r="F550" s="8" t="n">
        <v>3000</v>
      </c>
      <c r="G550" s="8" t="n">
        <v>3000</v>
      </c>
      <c r="H550" s="8" t="n">
        <v>3000</v>
      </c>
    </row>
    <row r="552" customFormat="false" ht="140.25" hidden="false" customHeight="true" outlineLevel="0" collapsed="false">
      <c r="A552" s="6" t="s">
        <v>590</v>
      </c>
      <c r="B552" s="7" t="s">
        <v>591</v>
      </c>
    </row>
    <row r="554" customFormat="false" ht="12.75" hidden="false" customHeight="true" outlineLevel="0" collapsed="false">
      <c r="A554" s="6" t="s">
        <v>592</v>
      </c>
      <c r="B554" s="7" t="s">
        <v>593</v>
      </c>
      <c r="C554" s="6" t="s">
        <v>16</v>
      </c>
      <c r="D554" s="9" t="n">
        <v>3</v>
      </c>
      <c r="E554" s="8" t="n">
        <v>1204</v>
      </c>
      <c r="F554" s="8" t="n">
        <v>3612</v>
      </c>
      <c r="G554" s="8" t="n">
        <v>1204</v>
      </c>
      <c r="H554" s="8" t="n">
        <v>3612</v>
      </c>
    </row>
    <row r="556" customFormat="false" ht="12.75" hidden="false" customHeight="true" outlineLevel="0" collapsed="false">
      <c r="A556" s="6" t="s">
        <v>594</v>
      </c>
      <c r="B556" s="7" t="s">
        <v>595</v>
      </c>
      <c r="C556" s="6" t="s">
        <v>16</v>
      </c>
      <c r="D556" s="9" t="n">
        <v>1</v>
      </c>
      <c r="E556" s="8" t="n">
        <v>1044.8</v>
      </c>
      <c r="F556" s="8" t="n">
        <v>1044.8</v>
      </c>
      <c r="G556" s="8" t="n">
        <v>1044.8</v>
      </c>
      <c r="H556" s="8" t="n">
        <v>1044.8</v>
      </c>
    </row>
    <row r="558" customFormat="false" ht="140.25" hidden="false" customHeight="true" outlineLevel="0" collapsed="false">
      <c r="A558" s="6" t="s">
        <v>596</v>
      </c>
      <c r="B558" s="7" t="s">
        <v>597</v>
      </c>
    </row>
    <row r="560" customFormat="false" ht="12.75" hidden="false" customHeight="true" outlineLevel="0" collapsed="false">
      <c r="A560" s="6" t="s">
        <v>598</v>
      </c>
      <c r="B560" s="7" t="s">
        <v>599</v>
      </c>
      <c r="C560" s="6" t="s">
        <v>16</v>
      </c>
      <c r="D560" s="9" t="n">
        <v>4</v>
      </c>
      <c r="E560" s="8" t="n">
        <v>1348</v>
      </c>
      <c r="F560" s="8" t="n">
        <v>5392</v>
      </c>
      <c r="G560" s="8" t="n">
        <v>1348</v>
      </c>
      <c r="H560" s="8" t="n">
        <v>5392</v>
      </c>
    </row>
    <row r="563" customFormat="false" ht="12.75" hidden="false" customHeight="true" outlineLevel="0" collapsed="false">
      <c r="A563" s="6" t="s">
        <v>600</v>
      </c>
      <c r="B563" s="7" t="s">
        <v>601</v>
      </c>
      <c r="C563" s="6" t="s">
        <v>16</v>
      </c>
      <c r="D563" s="9" t="n">
        <v>1</v>
      </c>
      <c r="E563" s="8" t="n">
        <v>1481.6</v>
      </c>
      <c r="F563" s="8" t="n">
        <v>1481.6</v>
      </c>
      <c r="G563" s="8" t="n">
        <v>1481.6</v>
      </c>
      <c r="H563" s="8" t="n">
        <v>1481.6</v>
      </c>
    </row>
    <row r="565" customFormat="false" ht="153" hidden="false" customHeight="true" outlineLevel="0" collapsed="false">
      <c r="A565" s="6" t="s">
        <v>602</v>
      </c>
      <c r="B565" s="7" t="s">
        <v>603</v>
      </c>
      <c r="I565" s="14" t="s">
        <v>87</v>
      </c>
      <c r="J565" s="15" t="s">
        <v>31</v>
      </c>
      <c r="K565" s="14" t="s">
        <v>604</v>
      </c>
    </row>
    <row r="567" customFormat="false" ht="25.5" hidden="false" customHeight="true" outlineLevel="0" collapsed="false">
      <c r="A567" s="6" t="s">
        <v>605</v>
      </c>
      <c r="B567" s="7" t="s">
        <v>606</v>
      </c>
      <c r="C567" s="6" t="s">
        <v>16</v>
      </c>
      <c r="D567" s="9" t="n">
        <v>1</v>
      </c>
      <c r="E567" s="8" t="n">
        <v>2297.6</v>
      </c>
      <c r="F567" s="8" t="n">
        <v>2297.6</v>
      </c>
      <c r="G567" s="8" t="n">
        <v>2297.6</v>
      </c>
      <c r="H567" s="8" t="n">
        <v>2297.6</v>
      </c>
    </row>
    <row r="569" customFormat="false" ht="12.75" hidden="false" customHeight="true" outlineLevel="0" collapsed="false">
      <c r="A569" s="6" t="s">
        <v>607</v>
      </c>
      <c r="B569" s="7" t="s">
        <v>608</v>
      </c>
      <c r="C569" s="6" t="s">
        <v>16</v>
      </c>
      <c r="D569" s="9" t="n">
        <v>1</v>
      </c>
      <c r="E569" s="8" t="n">
        <v>2302.4</v>
      </c>
      <c r="F569" s="8" t="n">
        <v>2302.4</v>
      </c>
      <c r="G569" s="8" t="n">
        <v>2302.4</v>
      </c>
      <c r="H569" s="8" t="n">
        <v>2302.4</v>
      </c>
    </row>
    <row r="571" customFormat="false" ht="178.5" hidden="false" customHeight="true" outlineLevel="0" collapsed="false">
      <c r="A571" s="6" t="s">
        <v>609</v>
      </c>
      <c r="B571" s="7" t="s">
        <v>610</v>
      </c>
      <c r="I571" s="10" t="s">
        <v>45</v>
      </c>
      <c r="J571" s="11" t="s">
        <v>18</v>
      </c>
      <c r="K571" s="10" t="s">
        <v>611</v>
      </c>
    </row>
    <row r="573" customFormat="false" ht="25.5" hidden="false" customHeight="true" outlineLevel="0" collapsed="false">
      <c r="A573" s="6" t="s">
        <v>612</v>
      </c>
      <c r="B573" s="7" t="s">
        <v>613</v>
      </c>
      <c r="C573" s="6" t="s">
        <v>16</v>
      </c>
      <c r="D573" s="9" t="n">
        <v>1</v>
      </c>
      <c r="E573" s="8" t="n">
        <v>2208</v>
      </c>
      <c r="F573" s="8" t="n">
        <v>2208</v>
      </c>
      <c r="G573" s="8" t="n">
        <v>2208</v>
      </c>
      <c r="H573" s="8" t="n">
        <v>2208</v>
      </c>
    </row>
    <row r="575" customFormat="false" ht="25.5" hidden="false" customHeight="true" outlineLevel="0" collapsed="false">
      <c r="A575" s="6" t="s">
        <v>614</v>
      </c>
      <c r="B575" s="7" t="s">
        <v>615</v>
      </c>
      <c r="C575" s="6" t="s">
        <v>16</v>
      </c>
      <c r="D575" s="9" t="n">
        <v>1</v>
      </c>
      <c r="E575" s="8" t="n">
        <v>2208</v>
      </c>
      <c r="F575" s="8" t="n">
        <v>2208</v>
      </c>
      <c r="G575" s="8" t="n">
        <v>2208</v>
      </c>
      <c r="H575" s="8" t="n">
        <v>2208</v>
      </c>
    </row>
    <row r="577" customFormat="false" ht="12.75" hidden="false" customHeight="true" outlineLevel="0" collapsed="false">
      <c r="A577" s="6" t="s">
        <v>616</v>
      </c>
      <c r="B577" s="7" t="s">
        <v>617</v>
      </c>
      <c r="C577" s="6" t="s">
        <v>16</v>
      </c>
      <c r="D577" s="9" t="n">
        <v>1</v>
      </c>
      <c r="E577" s="8" t="n">
        <v>1371.2</v>
      </c>
      <c r="F577" s="8" t="n">
        <v>1371.2</v>
      </c>
      <c r="G577" s="8" t="n">
        <v>1371.2</v>
      </c>
      <c r="H577" s="8" t="n">
        <v>1371.2</v>
      </c>
    </row>
    <row r="579" customFormat="false" ht="140.25" hidden="false" customHeight="true" outlineLevel="0" collapsed="false">
      <c r="A579" s="6" t="s">
        <v>618</v>
      </c>
      <c r="B579" s="7" t="s">
        <v>619</v>
      </c>
      <c r="C579" s="6" t="s">
        <v>16</v>
      </c>
      <c r="D579" s="9" t="n">
        <v>2</v>
      </c>
      <c r="E579" s="8" t="n">
        <v>3232.8</v>
      </c>
      <c r="F579" s="8" t="n">
        <v>6465.6</v>
      </c>
      <c r="G579" s="8" t="n">
        <v>3232.8</v>
      </c>
      <c r="H579" s="8" t="n">
        <v>6465.6</v>
      </c>
      <c r="I579" s="12" t="s">
        <v>87</v>
      </c>
      <c r="J579" s="13" t="s">
        <v>23</v>
      </c>
      <c r="K579" s="12" t="s">
        <v>620</v>
      </c>
    </row>
    <row r="581" customFormat="false" ht="89.25" hidden="false" customHeight="true" outlineLevel="0" collapsed="false">
      <c r="A581" s="6" t="s">
        <v>621</v>
      </c>
      <c r="B581" s="7" t="s">
        <v>622</v>
      </c>
      <c r="I581" s="14" t="s">
        <v>87</v>
      </c>
      <c r="J581" s="15" t="s">
        <v>31</v>
      </c>
      <c r="K581" s="14" t="s">
        <v>623</v>
      </c>
    </row>
    <row r="583" customFormat="false" ht="12.75" hidden="false" customHeight="true" outlineLevel="0" collapsed="false">
      <c r="A583" s="6" t="s">
        <v>624</v>
      </c>
      <c r="B583" s="7" t="s">
        <v>625</v>
      </c>
      <c r="C583" s="6" t="s">
        <v>16</v>
      </c>
      <c r="D583" s="9" t="n">
        <v>1</v>
      </c>
      <c r="E583" s="8" t="n">
        <v>7493.6</v>
      </c>
      <c r="F583" s="8" t="n">
        <v>7493.6</v>
      </c>
      <c r="G583" s="8" t="n">
        <v>7493.6</v>
      </c>
      <c r="H583" s="8" t="n">
        <v>7493.6</v>
      </c>
    </row>
    <row r="585" customFormat="false" ht="127.5" hidden="false" customHeight="true" outlineLevel="0" collapsed="false">
      <c r="A585" s="6" t="s">
        <v>626</v>
      </c>
      <c r="B585" s="7" t="s">
        <v>627</v>
      </c>
    </row>
    <row r="587" customFormat="false" ht="12.75" hidden="false" customHeight="true" outlineLevel="0" collapsed="false">
      <c r="A587" s="6" t="s">
        <v>628</v>
      </c>
      <c r="B587" s="7" t="s">
        <v>629</v>
      </c>
      <c r="C587" s="6" t="s">
        <v>16</v>
      </c>
      <c r="D587" s="9" t="n">
        <v>2</v>
      </c>
      <c r="E587" s="8" t="n">
        <v>1729.3</v>
      </c>
      <c r="F587" s="8" t="n">
        <v>3458.6</v>
      </c>
      <c r="G587" s="8" t="n">
        <v>1729.3</v>
      </c>
      <c r="H587" s="8" t="n">
        <v>3458.6</v>
      </c>
    </row>
    <row r="589" customFormat="false" ht="89.25" hidden="false" customHeight="true" outlineLevel="0" collapsed="false">
      <c r="A589" s="6" t="s">
        <v>630</v>
      </c>
      <c r="B589" s="7" t="s">
        <v>631</v>
      </c>
    </row>
    <row r="591" customFormat="false" ht="63.75" hidden="false" customHeight="true" outlineLevel="0" collapsed="false">
      <c r="A591" s="6" t="s">
        <v>632</v>
      </c>
      <c r="B591" s="7" t="s">
        <v>633</v>
      </c>
      <c r="C591" s="6" t="s">
        <v>16</v>
      </c>
      <c r="D591" s="9" t="n">
        <v>1</v>
      </c>
      <c r="E591" s="8" t="n">
        <v>917.8</v>
      </c>
      <c r="F591" s="8" t="n">
        <v>917.8</v>
      </c>
      <c r="G591" s="8" t="n">
        <v>917.8</v>
      </c>
      <c r="H591" s="8" t="n">
        <v>917.8</v>
      </c>
    </row>
    <row r="593" customFormat="false" ht="89.25" hidden="false" customHeight="true" outlineLevel="0" collapsed="false">
      <c r="A593" s="6" t="s">
        <v>634</v>
      </c>
      <c r="B593" s="7" t="s">
        <v>635</v>
      </c>
      <c r="C593" s="6" t="s">
        <v>16</v>
      </c>
      <c r="D593" s="9" t="n">
        <v>15</v>
      </c>
      <c r="E593" s="8" t="n">
        <v>438.64</v>
      </c>
      <c r="F593" s="8" t="n">
        <v>6579.6</v>
      </c>
      <c r="G593" s="8" t="n">
        <v>438.64</v>
      </c>
      <c r="H593" s="8" t="n">
        <v>6579.6</v>
      </c>
    </row>
    <row r="595" customFormat="false" ht="76.5" hidden="false" customHeight="true" outlineLevel="0" collapsed="false">
      <c r="A595" s="6" t="s">
        <v>636</v>
      </c>
      <c r="B595" s="7" t="s">
        <v>637</v>
      </c>
      <c r="C595" s="6" t="s">
        <v>16</v>
      </c>
      <c r="D595" s="9" t="n">
        <v>10</v>
      </c>
      <c r="E595" s="8" t="n">
        <v>119.58</v>
      </c>
      <c r="F595" s="8" t="n">
        <v>1195.8</v>
      </c>
      <c r="G595" s="8" t="n">
        <v>119.58</v>
      </c>
      <c r="H595" s="8" t="n">
        <v>1195.8</v>
      </c>
    </row>
    <row r="598" customFormat="false" ht="89.25" hidden="false" customHeight="true" outlineLevel="0" collapsed="false">
      <c r="A598" s="6" t="s">
        <v>638</v>
      </c>
      <c r="B598" s="7" t="s">
        <v>639</v>
      </c>
      <c r="I598" s="12" t="s">
        <v>91</v>
      </c>
      <c r="J598" s="13" t="s">
        <v>23</v>
      </c>
      <c r="K598" s="12" t="s">
        <v>640</v>
      </c>
    </row>
    <row r="600" customFormat="false" ht="12.75" hidden="false" customHeight="true" outlineLevel="0" collapsed="false">
      <c r="A600" s="6" t="s">
        <v>641</v>
      </c>
      <c r="B600" s="7" t="s">
        <v>642</v>
      </c>
      <c r="C600" s="6" t="s">
        <v>16</v>
      </c>
      <c r="D600" s="9" t="n">
        <v>8</v>
      </c>
      <c r="E600" s="8" t="n">
        <v>51.6</v>
      </c>
      <c r="F600" s="8" t="n">
        <v>412.8</v>
      </c>
      <c r="G600" s="8" t="n">
        <v>51.6</v>
      </c>
      <c r="H600" s="8" t="n">
        <v>412.8</v>
      </c>
    </row>
    <row r="602" customFormat="false" ht="12.75" hidden="false" customHeight="true" outlineLevel="0" collapsed="false">
      <c r="A602" s="6" t="s">
        <v>643</v>
      </c>
      <c r="B602" s="7" t="s">
        <v>644</v>
      </c>
      <c r="C602" s="6" t="s">
        <v>16</v>
      </c>
      <c r="D602" s="9" t="n">
        <v>8</v>
      </c>
      <c r="E602" s="8" t="n">
        <v>51.6</v>
      </c>
      <c r="F602" s="8" t="n">
        <v>412.8</v>
      </c>
      <c r="G602" s="8" t="n">
        <v>51.6</v>
      </c>
      <c r="H602" s="8" t="n">
        <v>412.8</v>
      </c>
    </row>
    <row r="604" customFormat="false" ht="12.75" hidden="false" customHeight="true" outlineLevel="0" collapsed="false">
      <c r="A604" s="6" t="s">
        <v>645</v>
      </c>
      <c r="B604" s="7" t="s">
        <v>646</v>
      </c>
      <c r="F604" s="8" t="n">
        <v>42529.8</v>
      </c>
      <c r="H604" s="8" t="n">
        <v>42529.8</v>
      </c>
    </row>
    <row r="606" customFormat="false" ht="153" hidden="false" customHeight="true" outlineLevel="0" collapsed="false">
      <c r="A606" s="6" t="s">
        <v>647</v>
      </c>
      <c r="B606" s="7" t="s">
        <v>648</v>
      </c>
    </row>
    <row r="608" customFormat="false" ht="12.75" hidden="false" customHeight="true" outlineLevel="0" collapsed="false">
      <c r="A608" s="6" t="s">
        <v>649</v>
      </c>
      <c r="B608" s="7" t="s">
        <v>650</v>
      </c>
      <c r="C608" s="6" t="s">
        <v>16</v>
      </c>
      <c r="D608" s="9" t="n">
        <v>1</v>
      </c>
      <c r="E608" s="8" t="n">
        <v>3168</v>
      </c>
      <c r="F608" s="8" t="n">
        <v>3168</v>
      </c>
      <c r="G608" s="8" t="n">
        <v>3168</v>
      </c>
      <c r="H608" s="8" t="n">
        <v>3168</v>
      </c>
    </row>
    <row r="610" customFormat="false" ht="12.75" hidden="false" customHeight="true" outlineLevel="0" collapsed="false">
      <c r="A610" s="6" t="s">
        <v>651</v>
      </c>
      <c r="B610" s="7" t="s">
        <v>652</v>
      </c>
      <c r="C610" s="6" t="s">
        <v>16</v>
      </c>
      <c r="D610" s="9" t="n">
        <v>1</v>
      </c>
      <c r="E610" s="8" t="n">
        <v>2970</v>
      </c>
      <c r="F610" s="8" t="n">
        <v>2970</v>
      </c>
      <c r="G610" s="8" t="n">
        <v>2970</v>
      </c>
      <c r="H610" s="8" t="n">
        <v>2970</v>
      </c>
    </row>
    <row r="612" customFormat="false" ht="255" hidden="false" customHeight="true" outlineLevel="0" collapsed="false">
      <c r="A612" s="6" t="s">
        <v>653</v>
      </c>
      <c r="B612" s="7" t="s">
        <v>654</v>
      </c>
    </row>
    <row r="614" customFormat="false" ht="12.75" hidden="false" customHeight="true" outlineLevel="0" collapsed="false">
      <c r="A614" s="6" t="s">
        <v>655</v>
      </c>
      <c r="B614" s="7" t="s">
        <v>656</v>
      </c>
      <c r="C614" s="6" t="s">
        <v>61</v>
      </c>
      <c r="D614" s="8" t="n">
        <v>4.2</v>
      </c>
      <c r="E614" s="8" t="n">
        <v>276</v>
      </c>
      <c r="F614" s="8" t="n">
        <v>1159.2</v>
      </c>
      <c r="G614" s="8" t="n">
        <v>276</v>
      </c>
      <c r="H614" s="8" t="n">
        <v>1159.2</v>
      </c>
    </row>
    <row r="616" customFormat="false" ht="12.75" hidden="false" customHeight="true" outlineLevel="0" collapsed="false">
      <c r="A616" s="6" t="s">
        <v>657</v>
      </c>
      <c r="B616" s="7" t="s">
        <v>658</v>
      </c>
      <c r="C616" s="6" t="s">
        <v>61</v>
      </c>
      <c r="D616" s="8" t="n">
        <v>3.65</v>
      </c>
      <c r="E616" s="8" t="n">
        <v>276</v>
      </c>
      <c r="F616" s="8" t="n">
        <v>1007.4</v>
      </c>
      <c r="G616" s="8" t="n">
        <v>276</v>
      </c>
      <c r="H616" s="8" t="n">
        <v>1007.4</v>
      </c>
    </row>
    <row r="618" customFormat="false" ht="12.75" hidden="false" customHeight="true" outlineLevel="0" collapsed="false">
      <c r="A618" s="6" t="s">
        <v>659</v>
      </c>
      <c r="B618" s="7" t="s">
        <v>660</v>
      </c>
      <c r="C618" s="6" t="s">
        <v>61</v>
      </c>
      <c r="D618" s="8" t="n">
        <v>7.7</v>
      </c>
      <c r="E618" s="8" t="n">
        <v>276</v>
      </c>
      <c r="F618" s="8" t="n">
        <v>2125.2</v>
      </c>
      <c r="G618" s="8" t="n">
        <v>276</v>
      </c>
      <c r="H618" s="8" t="n">
        <v>2125.2</v>
      </c>
    </row>
    <row r="620" customFormat="false" ht="12.75" hidden="false" customHeight="true" outlineLevel="0" collapsed="false">
      <c r="A620" s="6" t="s">
        <v>661</v>
      </c>
      <c r="B620" s="7" t="s">
        <v>662</v>
      </c>
      <c r="C620" s="6" t="s">
        <v>61</v>
      </c>
      <c r="D620" s="8" t="n">
        <v>6.8</v>
      </c>
      <c r="E620" s="8" t="n">
        <v>276</v>
      </c>
      <c r="F620" s="8" t="n">
        <v>1876.8</v>
      </c>
      <c r="G620" s="8" t="n">
        <v>276</v>
      </c>
      <c r="H620" s="8" t="n">
        <v>1876.8</v>
      </c>
    </row>
    <row r="622" customFormat="false" ht="12.75" hidden="false" customHeight="true" outlineLevel="0" collapsed="false">
      <c r="A622" s="6" t="s">
        <v>663</v>
      </c>
      <c r="B622" s="7" t="s">
        <v>664</v>
      </c>
      <c r="C622" s="6" t="s">
        <v>61</v>
      </c>
      <c r="D622" s="9" t="n">
        <v>11</v>
      </c>
      <c r="E622" s="8" t="n">
        <v>276</v>
      </c>
      <c r="F622" s="8" t="n">
        <v>3036</v>
      </c>
      <c r="G622" s="8" t="n">
        <v>276</v>
      </c>
      <c r="H622" s="8" t="n">
        <v>3036</v>
      </c>
    </row>
    <row r="624" customFormat="false" ht="12.75" hidden="false" customHeight="true" outlineLevel="0" collapsed="false">
      <c r="A624" s="6" t="s">
        <v>665</v>
      </c>
      <c r="B624" s="7" t="s">
        <v>666</v>
      </c>
      <c r="C624" s="6" t="s">
        <v>61</v>
      </c>
      <c r="D624" s="8" t="n">
        <v>10.5</v>
      </c>
      <c r="E624" s="8" t="n">
        <v>276</v>
      </c>
      <c r="F624" s="8" t="n">
        <v>2898</v>
      </c>
      <c r="G624" s="8" t="n">
        <v>276</v>
      </c>
      <c r="H624" s="8" t="n">
        <v>2898</v>
      </c>
    </row>
    <row r="626" customFormat="false" ht="12.75" hidden="false" customHeight="true" outlineLevel="0" collapsed="false">
      <c r="A626" s="6" t="s">
        <v>667</v>
      </c>
      <c r="B626" s="7" t="s">
        <v>668</v>
      </c>
      <c r="C626" s="6" t="s">
        <v>61</v>
      </c>
      <c r="D626" s="8" t="n">
        <v>6.1</v>
      </c>
      <c r="E626" s="8" t="n">
        <v>276</v>
      </c>
      <c r="F626" s="8" t="n">
        <v>1683.6</v>
      </c>
      <c r="G626" s="8" t="n">
        <v>276</v>
      </c>
      <c r="H626" s="8" t="n">
        <v>1683.6</v>
      </c>
    </row>
    <row r="628" customFormat="false" ht="12.75" hidden="false" customHeight="true" outlineLevel="0" collapsed="false">
      <c r="A628" s="6" t="s">
        <v>669</v>
      </c>
      <c r="B628" s="7" t="s">
        <v>670</v>
      </c>
      <c r="C628" s="6" t="s">
        <v>61</v>
      </c>
      <c r="D628" s="8" t="n">
        <v>5.6</v>
      </c>
      <c r="E628" s="8" t="n">
        <v>276</v>
      </c>
      <c r="F628" s="8" t="n">
        <v>1545.6</v>
      </c>
      <c r="G628" s="8" t="n">
        <v>276</v>
      </c>
      <c r="H628" s="8" t="n">
        <v>1545.6</v>
      </c>
    </row>
    <row r="630" customFormat="false" ht="89.25" hidden="false" customHeight="true" outlineLevel="0" collapsed="false">
      <c r="A630" s="6" t="s">
        <v>671</v>
      </c>
      <c r="B630" s="7" t="s">
        <v>672</v>
      </c>
    </row>
    <row r="632" customFormat="false" ht="12.75" hidden="false" customHeight="true" outlineLevel="0" collapsed="false">
      <c r="A632" s="6" t="s">
        <v>673</v>
      </c>
      <c r="B632" s="7" t="s">
        <v>674</v>
      </c>
      <c r="C632" s="6" t="s">
        <v>16</v>
      </c>
      <c r="D632" s="9" t="n">
        <v>4</v>
      </c>
      <c r="E632" s="8" t="n">
        <v>377</v>
      </c>
      <c r="F632" s="8" t="n">
        <v>1508</v>
      </c>
      <c r="G632" s="8" t="n">
        <v>377</v>
      </c>
      <c r="H632" s="8" t="n">
        <v>1508</v>
      </c>
    </row>
    <row r="634" customFormat="false" ht="12.75" hidden="false" customHeight="true" outlineLevel="0" collapsed="false">
      <c r="A634" s="6" t="s">
        <v>675</v>
      </c>
      <c r="B634" s="7" t="s">
        <v>656</v>
      </c>
      <c r="C634" s="6" t="s">
        <v>16</v>
      </c>
      <c r="D634" s="9" t="n">
        <v>4</v>
      </c>
      <c r="E634" s="8" t="n">
        <v>377</v>
      </c>
      <c r="F634" s="8" t="n">
        <v>1508</v>
      </c>
      <c r="G634" s="8" t="n">
        <v>377</v>
      </c>
      <c r="H634" s="8" t="n">
        <v>1508</v>
      </c>
    </row>
    <row r="636" customFormat="false" ht="12.75" hidden="false" customHeight="true" outlineLevel="0" collapsed="false">
      <c r="A636" s="6" t="s">
        <v>676</v>
      </c>
      <c r="B636" s="7" t="s">
        <v>658</v>
      </c>
      <c r="C636" s="6" t="s">
        <v>16</v>
      </c>
      <c r="D636" s="9" t="n">
        <v>4</v>
      </c>
      <c r="E636" s="8" t="n">
        <v>377</v>
      </c>
      <c r="F636" s="8" t="n">
        <v>1508</v>
      </c>
      <c r="G636" s="8" t="n">
        <v>377</v>
      </c>
      <c r="H636" s="8" t="n">
        <v>1508</v>
      </c>
    </row>
    <row r="638" customFormat="false" ht="12.75" hidden="false" customHeight="true" outlineLevel="0" collapsed="false">
      <c r="A638" s="6" t="s">
        <v>677</v>
      </c>
      <c r="B638" s="7" t="s">
        <v>664</v>
      </c>
      <c r="C638" s="6" t="s">
        <v>16</v>
      </c>
      <c r="D638" s="9" t="n">
        <v>12</v>
      </c>
      <c r="E638" s="8" t="n">
        <v>377</v>
      </c>
      <c r="F638" s="8" t="n">
        <v>4524</v>
      </c>
      <c r="G638" s="8" t="n">
        <v>377</v>
      </c>
      <c r="H638" s="8" t="n">
        <v>4524</v>
      </c>
    </row>
    <row r="640" customFormat="false" ht="12.75" hidden="false" customHeight="true" outlineLevel="0" collapsed="false">
      <c r="A640" s="6" t="s">
        <v>678</v>
      </c>
      <c r="B640" s="7" t="s">
        <v>666</v>
      </c>
      <c r="C640" s="6" t="s">
        <v>16</v>
      </c>
      <c r="D640" s="9" t="n">
        <v>12</v>
      </c>
      <c r="E640" s="8" t="n">
        <v>377</v>
      </c>
      <c r="F640" s="8" t="n">
        <v>4524</v>
      </c>
      <c r="G640" s="8" t="n">
        <v>377</v>
      </c>
      <c r="H640" s="8" t="n">
        <v>4524</v>
      </c>
    </row>
    <row r="642" customFormat="false" ht="89.25" hidden="false" customHeight="true" outlineLevel="0" collapsed="false">
      <c r="A642" s="6" t="s">
        <v>679</v>
      </c>
      <c r="B642" s="7" t="s">
        <v>680</v>
      </c>
      <c r="C642" s="6" t="s">
        <v>61</v>
      </c>
      <c r="D642" s="9" t="n">
        <v>52</v>
      </c>
      <c r="E642" s="8" t="n">
        <v>144</v>
      </c>
      <c r="F642" s="8" t="n">
        <v>7488</v>
      </c>
      <c r="G642" s="8" t="n">
        <v>144</v>
      </c>
      <c r="H642" s="8" t="n">
        <v>7488</v>
      </c>
      <c r="I642" s="14" t="s">
        <v>192</v>
      </c>
      <c r="J642" s="15" t="s">
        <v>31</v>
      </c>
      <c r="K642" s="14" t="s">
        <v>681</v>
      </c>
    </row>
    <row r="644" customFormat="false" ht="12.75" hidden="false" customHeight="true" outlineLevel="0" collapsed="false">
      <c r="A644" s="6" t="s">
        <v>682</v>
      </c>
      <c r="B644" s="7" t="s">
        <v>683</v>
      </c>
      <c r="F644" s="8" t="n">
        <v>54482.43</v>
      </c>
      <c r="H644" s="8" t="n">
        <v>54482.43</v>
      </c>
    </row>
    <row r="646" customFormat="false" ht="127.5" hidden="false" customHeight="true" outlineLevel="0" collapsed="false">
      <c r="A646" s="6" t="s">
        <v>684</v>
      </c>
      <c r="B646" s="7" t="s">
        <v>685</v>
      </c>
      <c r="C646" s="6" t="s">
        <v>61</v>
      </c>
      <c r="D646" s="9" t="n">
        <v>122</v>
      </c>
      <c r="E646" s="8" t="n">
        <v>150</v>
      </c>
      <c r="F646" s="8" t="n">
        <v>18300</v>
      </c>
      <c r="G646" s="8" t="n">
        <v>150</v>
      </c>
      <c r="H646" s="8" t="n">
        <v>18300</v>
      </c>
    </row>
    <row r="648" customFormat="false" ht="127.5" hidden="false" customHeight="true" outlineLevel="0" collapsed="false">
      <c r="A648" s="6" t="s">
        <v>686</v>
      </c>
      <c r="B648" s="7" t="s">
        <v>687</v>
      </c>
      <c r="C648" s="6" t="s">
        <v>61</v>
      </c>
      <c r="D648" s="9" t="n">
        <v>42</v>
      </c>
      <c r="E648" s="8" t="n">
        <v>150</v>
      </c>
      <c r="F648" s="8" t="n">
        <v>6300</v>
      </c>
      <c r="G648" s="8" t="n">
        <v>150</v>
      </c>
      <c r="H648" s="8" t="n">
        <v>6300</v>
      </c>
    </row>
    <row r="651" customFormat="false" ht="102" hidden="false" customHeight="true" outlineLevel="0" collapsed="false">
      <c r="A651" s="6" t="s">
        <v>688</v>
      </c>
      <c r="B651" s="7" t="s">
        <v>689</v>
      </c>
      <c r="C651" s="6" t="s">
        <v>61</v>
      </c>
      <c r="D651" s="9" t="n">
        <v>21</v>
      </c>
      <c r="E651" s="8" t="n">
        <v>145</v>
      </c>
      <c r="F651" s="8" t="n">
        <v>3045</v>
      </c>
      <c r="G651" s="8" t="n">
        <v>145</v>
      </c>
      <c r="H651" s="8" t="n">
        <v>3045</v>
      </c>
    </row>
    <row r="653" customFormat="false" ht="102" hidden="false" customHeight="true" outlineLevel="0" collapsed="false">
      <c r="A653" s="6" t="s">
        <v>690</v>
      </c>
      <c r="B653" s="7" t="s">
        <v>691</v>
      </c>
      <c r="C653" s="6" t="s">
        <v>61</v>
      </c>
      <c r="D653" s="9" t="n">
        <v>31</v>
      </c>
      <c r="E653" s="8" t="n">
        <v>145</v>
      </c>
      <c r="F653" s="8" t="n">
        <v>4495</v>
      </c>
      <c r="G653" s="8" t="n">
        <v>145</v>
      </c>
      <c r="H653" s="8" t="n">
        <v>4495</v>
      </c>
      <c r="I653" s="14" t="s">
        <v>87</v>
      </c>
      <c r="J653" s="15" t="s">
        <v>31</v>
      </c>
      <c r="K653" s="14" t="s">
        <v>692</v>
      </c>
    </row>
    <row r="655" customFormat="false" ht="102" hidden="false" customHeight="true" outlineLevel="0" collapsed="false">
      <c r="A655" s="6" t="s">
        <v>693</v>
      </c>
      <c r="B655" s="7" t="s">
        <v>694</v>
      </c>
      <c r="C655" s="6" t="s">
        <v>61</v>
      </c>
      <c r="D655" s="9" t="n">
        <v>86</v>
      </c>
      <c r="E655" s="8" t="n">
        <v>60</v>
      </c>
      <c r="F655" s="8" t="n">
        <v>5160</v>
      </c>
      <c r="G655" s="8" t="n">
        <v>60</v>
      </c>
      <c r="H655" s="8" t="n">
        <v>5160</v>
      </c>
      <c r="I655" s="14" t="s">
        <v>62</v>
      </c>
      <c r="J655" s="15" t="s">
        <v>31</v>
      </c>
      <c r="K655" s="14" t="s">
        <v>695</v>
      </c>
    </row>
    <row r="657" customFormat="false" ht="140.25" hidden="false" customHeight="true" outlineLevel="0" collapsed="false">
      <c r="A657" s="6" t="s">
        <v>696</v>
      </c>
      <c r="B657" s="7" t="s">
        <v>697</v>
      </c>
      <c r="C657" s="6" t="s">
        <v>16</v>
      </c>
      <c r="D657" s="9" t="n">
        <v>3</v>
      </c>
      <c r="E657" s="8" t="n">
        <v>1548.81</v>
      </c>
      <c r="F657" s="8" t="n">
        <v>4646.43</v>
      </c>
      <c r="G657" s="8" t="n">
        <v>1548.81</v>
      </c>
      <c r="H657" s="8" t="n">
        <v>4646.43</v>
      </c>
    </row>
    <row r="659" customFormat="false" ht="76.5" hidden="false" customHeight="true" outlineLevel="0" collapsed="false">
      <c r="A659" s="6" t="s">
        <v>698</v>
      </c>
      <c r="B659" s="7" t="s">
        <v>699</v>
      </c>
      <c r="C659" s="6" t="s">
        <v>16</v>
      </c>
      <c r="D659" s="9" t="n">
        <v>1</v>
      </c>
      <c r="E659" s="8" t="n">
        <v>2500</v>
      </c>
      <c r="F659" s="8" t="n">
        <v>2500</v>
      </c>
      <c r="G659" s="8" t="n">
        <v>2500</v>
      </c>
      <c r="H659" s="8" t="n">
        <v>2500</v>
      </c>
    </row>
    <row r="661" customFormat="false" ht="89.25" hidden="false" customHeight="true" outlineLevel="0" collapsed="false">
      <c r="A661" s="6" t="s">
        <v>700</v>
      </c>
      <c r="B661" s="7" t="s">
        <v>701</v>
      </c>
      <c r="C661" s="6" t="s">
        <v>61</v>
      </c>
      <c r="D661" s="9" t="n">
        <v>220</v>
      </c>
      <c r="E661" s="8" t="n">
        <v>25</v>
      </c>
      <c r="F661" s="8" t="n">
        <v>5500</v>
      </c>
      <c r="G661" s="8" t="n">
        <v>25</v>
      </c>
      <c r="H661" s="8" t="n">
        <v>5500</v>
      </c>
    </row>
    <row r="663" customFormat="false" ht="357" hidden="false" customHeight="true" outlineLevel="0" collapsed="false">
      <c r="A663" s="6" t="s">
        <v>702</v>
      </c>
      <c r="B663" s="7" t="s">
        <v>703</v>
      </c>
      <c r="C663" s="6" t="s">
        <v>61</v>
      </c>
      <c r="D663" s="9" t="n">
        <v>20</v>
      </c>
      <c r="E663" s="8" t="n">
        <v>56.8</v>
      </c>
      <c r="F663" s="8" t="n">
        <v>1136</v>
      </c>
      <c r="G663" s="8" t="n">
        <v>56.8</v>
      </c>
      <c r="H663" s="8" t="n">
        <v>1136</v>
      </c>
    </row>
    <row r="665" customFormat="false" ht="89.25" hidden="false" customHeight="true" outlineLevel="0" collapsed="false">
      <c r="A665" s="6" t="s">
        <v>704</v>
      </c>
      <c r="B665" s="7" t="s">
        <v>705</v>
      </c>
      <c r="C665" s="6" t="s">
        <v>61</v>
      </c>
      <c r="D665" s="9" t="n">
        <v>170</v>
      </c>
      <c r="E665" s="8" t="n">
        <v>20</v>
      </c>
      <c r="F665" s="8" t="n">
        <v>3400</v>
      </c>
      <c r="G665" s="8" t="n">
        <v>20</v>
      </c>
      <c r="H665" s="8" t="n">
        <v>3400</v>
      </c>
    </row>
    <row r="667" customFormat="false" ht="12.75" hidden="false" customHeight="true" outlineLevel="0" collapsed="false">
      <c r="A667" s="6" t="s">
        <v>706</v>
      </c>
      <c r="B667" s="7" t="s">
        <v>707</v>
      </c>
      <c r="F667" s="8" t="n">
        <v>1933.4</v>
      </c>
      <c r="H667" s="8" t="n">
        <v>1933.4</v>
      </c>
    </row>
    <row r="669" customFormat="false" ht="89.25" hidden="false" customHeight="true" outlineLevel="0" collapsed="false">
      <c r="A669" s="6" t="s">
        <v>708</v>
      </c>
      <c r="B669" s="7" t="s">
        <v>709</v>
      </c>
      <c r="C669" s="6" t="s">
        <v>16</v>
      </c>
      <c r="D669" s="9" t="n">
        <v>20</v>
      </c>
      <c r="E669" s="8" t="n">
        <v>96.67</v>
      </c>
      <c r="F669" s="8" t="n">
        <v>1933.4</v>
      </c>
      <c r="G669" s="8" t="n">
        <v>96.67</v>
      </c>
      <c r="H669" s="8" t="n">
        <v>1933.4</v>
      </c>
    </row>
    <row r="671" customFormat="false" ht="63.75" hidden="false" customHeight="true" outlineLevel="0" collapsed="false">
      <c r="A671" s="6" t="s">
        <v>710</v>
      </c>
      <c r="B671" s="7" t="s">
        <v>711</v>
      </c>
    </row>
    <row r="673" customFormat="false" ht="12.75" hidden="false" customHeight="true" outlineLevel="0" collapsed="false">
      <c r="A673" s="6" t="s">
        <v>712</v>
      </c>
      <c r="B673" s="7" t="s">
        <v>713</v>
      </c>
      <c r="F673" s="8" t="n">
        <v>36713.1</v>
      </c>
      <c r="H673" s="8" t="n">
        <v>36713.42</v>
      </c>
    </row>
    <row r="675" customFormat="false" ht="102" hidden="false" customHeight="true" outlineLevel="0" collapsed="false">
      <c r="A675" s="6" t="s">
        <v>714</v>
      </c>
      <c r="B675" s="7" t="s">
        <v>715</v>
      </c>
      <c r="C675" s="6" t="s">
        <v>86</v>
      </c>
      <c r="D675" s="9" t="n">
        <v>250</v>
      </c>
      <c r="E675" s="8" t="n">
        <v>7.35</v>
      </c>
      <c r="F675" s="8" t="n">
        <v>1838.75</v>
      </c>
      <c r="G675" s="8" t="n">
        <v>7.35</v>
      </c>
      <c r="H675" s="8" t="n">
        <v>1837.5</v>
      </c>
    </row>
    <row r="677" customFormat="false" ht="114.75" hidden="false" customHeight="true" outlineLevel="0" collapsed="false">
      <c r="A677" s="6" t="s">
        <v>716</v>
      </c>
      <c r="B677" s="7" t="s">
        <v>717</v>
      </c>
      <c r="C677" s="6" t="s">
        <v>86</v>
      </c>
      <c r="D677" s="9" t="n">
        <v>580</v>
      </c>
      <c r="E677" s="8" t="n">
        <v>7.35</v>
      </c>
      <c r="F677" s="8" t="n">
        <v>4265.89</v>
      </c>
      <c r="G677" s="8" t="n">
        <v>7.35</v>
      </c>
      <c r="H677" s="8" t="n">
        <v>4263</v>
      </c>
    </row>
    <row r="679" customFormat="false" ht="102" hidden="false" customHeight="true" outlineLevel="0" collapsed="false">
      <c r="A679" s="6" t="s">
        <v>718</v>
      </c>
      <c r="B679" s="7" t="s">
        <v>719</v>
      </c>
    </row>
    <row r="681" customFormat="false" ht="12.75" hidden="false" customHeight="true" outlineLevel="0" collapsed="false">
      <c r="A681" s="6" t="s">
        <v>720</v>
      </c>
      <c r="B681" s="7" t="s">
        <v>721</v>
      </c>
      <c r="C681" s="6" t="s">
        <v>86</v>
      </c>
      <c r="D681" s="9" t="n">
        <v>196</v>
      </c>
      <c r="E681" s="8" t="n">
        <v>7.35</v>
      </c>
      <c r="F681" s="8" t="n">
        <v>1441.58</v>
      </c>
      <c r="G681" s="8" t="n">
        <v>7.35</v>
      </c>
      <c r="H681" s="8" t="n">
        <v>1440.6</v>
      </c>
    </row>
    <row r="683" customFormat="false" ht="12.75" hidden="false" customHeight="true" outlineLevel="0" collapsed="false">
      <c r="A683" s="6" t="s">
        <v>722</v>
      </c>
      <c r="B683" s="7" t="s">
        <v>723</v>
      </c>
      <c r="C683" s="6" t="s">
        <v>86</v>
      </c>
      <c r="D683" s="9" t="n">
        <v>196</v>
      </c>
      <c r="E683" s="8" t="n">
        <v>7.35</v>
      </c>
      <c r="F683" s="8" t="n">
        <v>1441.58</v>
      </c>
      <c r="G683" s="8" t="n">
        <v>7.35</v>
      </c>
      <c r="H683" s="8" t="n">
        <v>1440.6</v>
      </c>
    </row>
    <row r="685" customFormat="false" ht="12.75" hidden="false" customHeight="true" outlineLevel="0" collapsed="false">
      <c r="A685" s="6" t="s">
        <v>724</v>
      </c>
      <c r="B685" s="7" t="s">
        <v>725</v>
      </c>
      <c r="C685" s="6" t="s">
        <v>86</v>
      </c>
      <c r="D685" s="9" t="n">
        <v>28</v>
      </c>
      <c r="E685" s="8" t="n">
        <v>7.35</v>
      </c>
      <c r="F685" s="8" t="n">
        <v>205.94</v>
      </c>
      <c r="G685" s="8" t="n">
        <v>7.35</v>
      </c>
      <c r="H685" s="8" t="n">
        <v>205.8</v>
      </c>
    </row>
    <row r="687" customFormat="false" ht="12.75" hidden="false" customHeight="true" outlineLevel="0" collapsed="false">
      <c r="A687" s="6" t="s">
        <v>726</v>
      </c>
      <c r="B687" s="7" t="s">
        <v>727</v>
      </c>
      <c r="C687" s="6" t="s">
        <v>86</v>
      </c>
      <c r="D687" s="9" t="n">
        <v>26</v>
      </c>
      <c r="E687" s="8" t="n">
        <v>7.35</v>
      </c>
      <c r="F687" s="8" t="n">
        <v>191.23</v>
      </c>
      <c r="G687" s="8" t="n">
        <v>7.35</v>
      </c>
      <c r="H687" s="8" t="n">
        <v>191.1</v>
      </c>
    </row>
    <row r="689" customFormat="false" ht="25.5" hidden="false" customHeight="true" outlineLevel="0" collapsed="false">
      <c r="A689" s="6" t="s">
        <v>728</v>
      </c>
      <c r="B689" s="7" t="s">
        <v>729</v>
      </c>
      <c r="C689" s="6" t="s">
        <v>86</v>
      </c>
      <c r="D689" s="9" t="n">
        <v>36</v>
      </c>
      <c r="E689" s="8" t="n">
        <v>7.35</v>
      </c>
      <c r="F689" s="8" t="n">
        <v>264.78</v>
      </c>
      <c r="G689" s="8" t="n">
        <v>7.35</v>
      </c>
      <c r="H689" s="8" t="n">
        <v>264.6</v>
      </c>
    </row>
    <row r="692" customFormat="false" ht="114.75" hidden="false" customHeight="true" outlineLevel="0" collapsed="false">
      <c r="A692" s="6" t="s">
        <v>730</v>
      </c>
      <c r="B692" s="7" t="s">
        <v>731</v>
      </c>
    </row>
    <row r="694" customFormat="false" ht="12.75" hidden="false" customHeight="true" outlineLevel="0" collapsed="false">
      <c r="A694" s="6" t="s">
        <v>732</v>
      </c>
      <c r="B694" s="7" t="s">
        <v>733</v>
      </c>
      <c r="C694" s="6" t="s">
        <v>86</v>
      </c>
      <c r="D694" s="9" t="n">
        <v>36</v>
      </c>
      <c r="E694" s="8" t="n">
        <v>7.02</v>
      </c>
      <c r="F694" s="8" t="n">
        <v>252.57</v>
      </c>
      <c r="G694" s="8" t="n">
        <v>7.02</v>
      </c>
      <c r="H694" s="8" t="n">
        <v>252.72</v>
      </c>
    </row>
    <row r="696" customFormat="false" ht="12.75" hidden="false" customHeight="true" outlineLevel="0" collapsed="false">
      <c r="A696" s="6" t="s">
        <v>734</v>
      </c>
      <c r="B696" s="7" t="s">
        <v>735</v>
      </c>
      <c r="C696" s="6" t="s">
        <v>86</v>
      </c>
      <c r="D696" s="9" t="n">
        <v>37</v>
      </c>
      <c r="E696" s="8" t="n">
        <v>7.02</v>
      </c>
      <c r="F696" s="8" t="n">
        <v>259.58</v>
      </c>
      <c r="G696" s="8" t="n">
        <v>7.02</v>
      </c>
      <c r="H696" s="8" t="n">
        <v>259.74</v>
      </c>
    </row>
    <row r="698" customFormat="false" ht="12.75" hidden="false" customHeight="true" outlineLevel="0" collapsed="false">
      <c r="A698" s="6" t="s">
        <v>736</v>
      </c>
      <c r="B698" s="7" t="s">
        <v>737</v>
      </c>
      <c r="C698" s="6" t="s">
        <v>86</v>
      </c>
      <c r="D698" s="9" t="n">
        <v>140</v>
      </c>
      <c r="E698" s="8" t="n">
        <v>7.02</v>
      </c>
      <c r="F698" s="8" t="n">
        <v>982.2</v>
      </c>
      <c r="G698" s="8" t="n">
        <v>7.02</v>
      </c>
      <c r="H698" s="8" t="n">
        <v>982.8</v>
      </c>
    </row>
    <row r="700" customFormat="false" ht="12.75" hidden="false" customHeight="true" outlineLevel="0" collapsed="false">
      <c r="A700" s="6" t="s">
        <v>738</v>
      </c>
      <c r="B700" s="7" t="s">
        <v>739</v>
      </c>
      <c r="C700" s="6" t="s">
        <v>86</v>
      </c>
      <c r="D700" s="9" t="n">
        <v>138</v>
      </c>
      <c r="E700" s="8" t="n">
        <v>7.02</v>
      </c>
      <c r="F700" s="8" t="n">
        <v>968.17</v>
      </c>
      <c r="G700" s="8" t="n">
        <v>7.02</v>
      </c>
      <c r="H700" s="8" t="n">
        <v>968.76</v>
      </c>
    </row>
    <row r="702" customFormat="false" ht="12.75" hidden="false" customHeight="true" outlineLevel="0" collapsed="false">
      <c r="A702" s="6" t="s">
        <v>740</v>
      </c>
      <c r="B702" s="7" t="s">
        <v>741</v>
      </c>
      <c r="C702" s="6" t="s">
        <v>86</v>
      </c>
      <c r="D702" s="9" t="n">
        <v>850</v>
      </c>
      <c r="E702" s="8" t="n">
        <v>7.02</v>
      </c>
      <c r="F702" s="8" t="n">
        <v>5963.38</v>
      </c>
      <c r="G702" s="8" t="n">
        <v>7.02</v>
      </c>
      <c r="H702" s="8" t="n">
        <v>5967</v>
      </c>
    </row>
    <row r="704" customFormat="false" ht="12.75" hidden="false" customHeight="true" outlineLevel="0" collapsed="false">
      <c r="A704" s="6" t="s">
        <v>742</v>
      </c>
      <c r="B704" s="7" t="s">
        <v>743</v>
      </c>
      <c r="C704" s="6" t="s">
        <v>86</v>
      </c>
      <c r="D704" s="9" t="n">
        <v>20</v>
      </c>
      <c r="E704" s="8" t="n">
        <v>7.02</v>
      </c>
      <c r="F704" s="8" t="n">
        <v>140.31</v>
      </c>
      <c r="G704" s="8" t="n">
        <v>7.02</v>
      </c>
      <c r="H704" s="8" t="n">
        <v>140.4</v>
      </c>
    </row>
    <row r="706" customFormat="false" ht="12.75" hidden="false" customHeight="true" outlineLevel="0" collapsed="false">
      <c r="A706" s="6" t="s">
        <v>744</v>
      </c>
      <c r="B706" s="7" t="s">
        <v>745</v>
      </c>
      <c r="C706" s="6" t="s">
        <v>86</v>
      </c>
      <c r="D706" s="9" t="n">
        <v>38</v>
      </c>
      <c r="E706" s="8" t="n">
        <v>7.02</v>
      </c>
      <c r="F706" s="8" t="n">
        <v>266.6</v>
      </c>
      <c r="G706" s="8" t="n">
        <v>7.02</v>
      </c>
      <c r="H706" s="8" t="n">
        <v>266.76</v>
      </c>
    </row>
    <row r="708" customFormat="false" ht="12.75" hidden="false" customHeight="true" outlineLevel="0" collapsed="false">
      <c r="A708" s="6" t="s">
        <v>746</v>
      </c>
      <c r="B708" s="7" t="s">
        <v>747</v>
      </c>
      <c r="C708" s="6" t="s">
        <v>86</v>
      </c>
      <c r="D708" s="9" t="n">
        <v>77</v>
      </c>
      <c r="E708" s="8" t="n">
        <v>7.02</v>
      </c>
      <c r="F708" s="8" t="n">
        <v>540.21</v>
      </c>
      <c r="G708" s="8" t="n">
        <v>7.02</v>
      </c>
      <c r="H708" s="8" t="n">
        <v>540.54</v>
      </c>
    </row>
    <row r="710" customFormat="false" ht="12.75" hidden="false" customHeight="true" outlineLevel="0" collapsed="false">
      <c r="A710" s="6" t="s">
        <v>748</v>
      </c>
      <c r="B710" s="7" t="s">
        <v>749</v>
      </c>
      <c r="C710" s="6" t="s">
        <v>86</v>
      </c>
      <c r="D710" s="9" t="n">
        <v>275</v>
      </c>
      <c r="E710" s="8" t="n">
        <v>7.02</v>
      </c>
      <c r="F710" s="8" t="n">
        <v>1929.33</v>
      </c>
      <c r="G710" s="8" t="n">
        <v>7.02</v>
      </c>
      <c r="H710" s="8" t="n">
        <v>1930.5</v>
      </c>
    </row>
    <row r="712" customFormat="false" ht="114.75" hidden="false" customHeight="true" outlineLevel="0" collapsed="false">
      <c r="A712" s="6" t="s">
        <v>750</v>
      </c>
      <c r="B712" s="7" t="s">
        <v>751</v>
      </c>
    </row>
    <row r="714" customFormat="false" ht="12.75" hidden="false" customHeight="true" outlineLevel="0" collapsed="false">
      <c r="A714" s="6" t="s">
        <v>752</v>
      </c>
      <c r="B714" s="7" t="s">
        <v>320</v>
      </c>
      <c r="C714" s="6" t="s">
        <v>86</v>
      </c>
      <c r="D714" s="9" t="n">
        <v>450</v>
      </c>
      <c r="E714" s="8" t="n">
        <v>7</v>
      </c>
      <c r="F714" s="8" t="n">
        <v>3150</v>
      </c>
      <c r="G714" s="8" t="n">
        <v>7</v>
      </c>
      <c r="H714" s="8" t="n">
        <v>3150</v>
      </c>
    </row>
    <row r="716" customFormat="false" ht="12.75" hidden="false" customHeight="true" outlineLevel="0" collapsed="false">
      <c r="A716" s="6" t="s">
        <v>753</v>
      </c>
      <c r="B716" s="7" t="s">
        <v>349</v>
      </c>
      <c r="C716" s="6" t="s">
        <v>86</v>
      </c>
      <c r="D716" s="9" t="n">
        <v>45</v>
      </c>
      <c r="E716" s="8" t="n">
        <v>7</v>
      </c>
      <c r="F716" s="8" t="n">
        <v>315</v>
      </c>
      <c r="G716" s="8" t="n">
        <v>7</v>
      </c>
      <c r="H716" s="8" t="n">
        <v>315</v>
      </c>
    </row>
    <row r="718" customFormat="false" ht="102" hidden="false" customHeight="true" outlineLevel="0" collapsed="false">
      <c r="A718" s="6" t="s">
        <v>754</v>
      </c>
      <c r="B718" s="7" t="s">
        <v>755</v>
      </c>
      <c r="C718" s="6" t="s">
        <v>86</v>
      </c>
      <c r="D718" s="9" t="n">
        <v>153</v>
      </c>
      <c r="E718" s="8" t="n">
        <v>7</v>
      </c>
      <c r="F718" s="8" t="n">
        <v>1071</v>
      </c>
      <c r="G718" s="8" t="n">
        <v>7</v>
      </c>
      <c r="H718" s="8" t="n">
        <v>1071</v>
      </c>
    </row>
    <row r="720" customFormat="false" ht="102" hidden="false" customHeight="true" outlineLevel="0" collapsed="false">
      <c r="A720" s="6" t="s">
        <v>756</v>
      </c>
      <c r="B720" s="7" t="s">
        <v>757</v>
      </c>
      <c r="C720" s="6" t="s">
        <v>86</v>
      </c>
      <c r="D720" s="9" t="n">
        <v>250</v>
      </c>
      <c r="E720" s="8" t="n">
        <v>7</v>
      </c>
      <c r="F720" s="8" t="n">
        <v>1750</v>
      </c>
      <c r="G720" s="8" t="n">
        <v>7</v>
      </c>
      <c r="H720" s="8" t="n">
        <v>1750</v>
      </c>
    </row>
    <row r="722" customFormat="false" ht="102" hidden="false" customHeight="true" outlineLevel="0" collapsed="false">
      <c r="A722" s="6" t="s">
        <v>758</v>
      </c>
      <c r="B722" s="7" t="s">
        <v>759</v>
      </c>
      <c r="C722" s="6" t="s">
        <v>86</v>
      </c>
      <c r="D722" s="9" t="n">
        <v>1050</v>
      </c>
      <c r="E722" s="8" t="n">
        <v>5.5</v>
      </c>
      <c r="F722" s="8" t="n">
        <v>5775</v>
      </c>
      <c r="G722" s="8" t="n">
        <v>5.5</v>
      </c>
      <c r="H722" s="8" t="n">
        <v>5775</v>
      </c>
    </row>
    <row r="724" customFormat="false" ht="38.25" hidden="false" customHeight="true" outlineLevel="0" collapsed="false">
      <c r="A724" s="6" t="s">
        <v>760</v>
      </c>
      <c r="B724" s="7" t="s">
        <v>761</v>
      </c>
    </row>
    <row r="726" customFormat="false" ht="12.75" hidden="false" customHeight="true" outlineLevel="0" collapsed="false">
      <c r="A726" s="6" t="s">
        <v>762</v>
      </c>
      <c r="B726" s="7" t="s">
        <v>763</v>
      </c>
      <c r="C726" s="6" t="s">
        <v>86</v>
      </c>
      <c r="D726" s="9" t="n">
        <v>1100</v>
      </c>
      <c r="E726" s="8" t="n">
        <v>2.5</v>
      </c>
      <c r="F726" s="8" t="n">
        <v>2750</v>
      </c>
      <c r="G726" s="8" t="n">
        <v>2.5</v>
      </c>
      <c r="H726" s="8" t="n">
        <v>2750</v>
      </c>
    </row>
    <row r="728" customFormat="false" ht="12.75" hidden="false" customHeight="true" outlineLevel="0" collapsed="false">
      <c r="A728" s="6" t="s">
        <v>764</v>
      </c>
      <c r="B728" s="7" t="s">
        <v>765</v>
      </c>
      <c r="C728" s="6" t="s">
        <v>86</v>
      </c>
      <c r="D728" s="9" t="n">
        <v>380</v>
      </c>
      <c r="E728" s="8" t="n">
        <v>2.5</v>
      </c>
      <c r="F728" s="8" t="n">
        <v>950</v>
      </c>
      <c r="G728" s="8" t="n">
        <v>2.5</v>
      </c>
      <c r="H728" s="8" t="n">
        <v>950</v>
      </c>
      <c r="I728" s="10" t="s">
        <v>62</v>
      </c>
      <c r="J728" s="11" t="s">
        <v>18</v>
      </c>
      <c r="K728" s="10" t="s">
        <v>766</v>
      </c>
    </row>
    <row r="730" customFormat="false" ht="12.75" hidden="false" customHeight="true" outlineLevel="0" collapsed="false">
      <c r="A730" s="6" t="s">
        <v>767</v>
      </c>
      <c r="B730" s="7" t="s">
        <v>768</v>
      </c>
      <c r="F730" s="8" t="n">
        <v>53902.6</v>
      </c>
      <c r="H730" s="8" t="n">
        <v>53902.6</v>
      </c>
    </row>
    <row r="732" customFormat="false" ht="12.75" hidden="false" customHeight="true" outlineLevel="0" collapsed="false">
      <c r="A732" s="6" t="s">
        <v>769</v>
      </c>
      <c r="B732" s="7" t="s">
        <v>770</v>
      </c>
    </row>
    <row r="734" customFormat="false" ht="191.25" hidden="false" customHeight="true" outlineLevel="0" collapsed="false">
      <c r="A734" s="6" t="s">
        <v>771</v>
      </c>
      <c r="B734" s="7" t="s">
        <v>772</v>
      </c>
      <c r="C734" s="6" t="s">
        <v>16</v>
      </c>
      <c r="D734" s="9" t="n">
        <v>6</v>
      </c>
      <c r="E734" s="8" t="n">
        <v>448.23</v>
      </c>
      <c r="F734" s="8" t="n">
        <v>2689.38</v>
      </c>
      <c r="G734" s="8" t="n">
        <v>448.23</v>
      </c>
      <c r="H734" s="8" t="n">
        <v>2689.38</v>
      </c>
    </row>
    <row r="736" customFormat="false" ht="140.25" hidden="false" customHeight="true" outlineLevel="0" collapsed="false">
      <c r="A736" s="6" t="s">
        <v>773</v>
      </c>
      <c r="B736" s="7" t="s">
        <v>774</v>
      </c>
      <c r="C736" s="6" t="s">
        <v>16</v>
      </c>
      <c r="D736" s="9" t="n">
        <v>15</v>
      </c>
      <c r="E736" s="8" t="n">
        <v>336.41</v>
      </c>
      <c r="F736" s="8" t="n">
        <v>5046.15</v>
      </c>
      <c r="G736" s="8" t="n">
        <v>336.41</v>
      </c>
      <c r="H736" s="8" t="n">
        <v>5046.15</v>
      </c>
    </row>
    <row r="738" customFormat="false" ht="140.25" hidden="false" customHeight="true" outlineLevel="0" collapsed="false">
      <c r="A738" s="6" t="s">
        <v>775</v>
      </c>
      <c r="B738" s="7" t="s">
        <v>776</v>
      </c>
      <c r="C738" s="6" t="s">
        <v>16</v>
      </c>
      <c r="D738" s="9" t="n">
        <v>20</v>
      </c>
      <c r="E738" s="8" t="n">
        <v>189.26</v>
      </c>
      <c r="F738" s="8" t="n">
        <v>3785.2</v>
      </c>
      <c r="G738" s="8" t="n">
        <v>189.26</v>
      </c>
      <c r="H738" s="8" t="n">
        <v>3785.2</v>
      </c>
      <c r="I738" s="10" t="s">
        <v>45</v>
      </c>
      <c r="J738" s="11" t="s">
        <v>18</v>
      </c>
      <c r="K738" s="10" t="s">
        <v>777</v>
      </c>
    </row>
    <row r="741" customFormat="false" ht="114.75" hidden="false" customHeight="true" outlineLevel="0" collapsed="false">
      <c r="A741" s="6" t="s">
        <v>778</v>
      </c>
      <c r="B741" s="7" t="s">
        <v>779</v>
      </c>
      <c r="C741" s="6" t="s">
        <v>16</v>
      </c>
      <c r="D741" s="9" t="n">
        <v>6</v>
      </c>
      <c r="E741" s="8" t="n">
        <v>195.03</v>
      </c>
      <c r="F741" s="8" t="n">
        <v>1170.18</v>
      </c>
      <c r="G741" s="8" t="n">
        <v>195.03</v>
      </c>
      <c r="H741" s="8" t="n">
        <v>1170.18</v>
      </c>
      <c r="I741" s="10" t="s">
        <v>45</v>
      </c>
      <c r="J741" s="11" t="s">
        <v>18</v>
      </c>
      <c r="K741" s="10" t="s">
        <v>780</v>
      </c>
    </row>
    <row r="743" customFormat="false" ht="114.75" hidden="false" customHeight="true" outlineLevel="0" collapsed="false">
      <c r="A743" s="6" t="s">
        <v>781</v>
      </c>
      <c r="B743" s="7" t="s">
        <v>782</v>
      </c>
      <c r="C743" s="6" t="s">
        <v>16</v>
      </c>
      <c r="D743" s="9" t="n">
        <v>2</v>
      </c>
      <c r="E743" s="8" t="n">
        <v>172.26</v>
      </c>
      <c r="F743" s="8" t="n">
        <v>344.52</v>
      </c>
      <c r="G743" s="8" t="n">
        <v>172.26</v>
      </c>
      <c r="H743" s="8" t="n">
        <v>344.52</v>
      </c>
    </row>
    <row r="745" customFormat="false" ht="102" hidden="false" customHeight="true" outlineLevel="0" collapsed="false">
      <c r="A745" s="6" t="s">
        <v>783</v>
      </c>
      <c r="B745" s="7" t="s">
        <v>784</v>
      </c>
      <c r="C745" s="6" t="s">
        <v>16</v>
      </c>
      <c r="D745" s="9" t="n">
        <v>16</v>
      </c>
      <c r="E745" s="8" t="n">
        <v>63.1</v>
      </c>
      <c r="F745" s="8" t="n">
        <v>1009.6</v>
      </c>
      <c r="G745" s="8" t="n">
        <v>63.1</v>
      </c>
      <c r="H745" s="8" t="n">
        <v>1009.6</v>
      </c>
      <c r="I745" s="10" t="s">
        <v>62</v>
      </c>
      <c r="J745" s="11" t="s">
        <v>18</v>
      </c>
      <c r="K745" s="10" t="s">
        <v>785</v>
      </c>
    </row>
    <row r="747" customFormat="false" ht="102" hidden="false" customHeight="true" outlineLevel="0" collapsed="false">
      <c r="A747" s="6" t="s">
        <v>786</v>
      </c>
      <c r="B747" s="7" t="s">
        <v>787</v>
      </c>
      <c r="C747" s="6" t="s">
        <v>16</v>
      </c>
      <c r="D747" s="9" t="n">
        <v>6</v>
      </c>
      <c r="E747" s="8" t="n">
        <v>69.7</v>
      </c>
      <c r="F747" s="8" t="n">
        <v>418.2</v>
      </c>
      <c r="G747" s="8" t="n">
        <v>69.7</v>
      </c>
      <c r="H747" s="8" t="n">
        <v>418.2</v>
      </c>
    </row>
    <row r="749" customFormat="false" ht="89.25" hidden="false" customHeight="true" outlineLevel="0" collapsed="false">
      <c r="A749" s="6" t="s">
        <v>788</v>
      </c>
      <c r="B749" s="7" t="s">
        <v>789</v>
      </c>
      <c r="C749" s="6" t="s">
        <v>16</v>
      </c>
      <c r="D749" s="9" t="n">
        <v>32</v>
      </c>
      <c r="E749" s="8" t="n">
        <v>206.45</v>
      </c>
      <c r="F749" s="8" t="n">
        <v>6606.4</v>
      </c>
      <c r="G749" s="8" t="n">
        <v>206.45</v>
      </c>
      <c r="H749" s="8" t="n">
        <v>6606.4</v>
      </c>
    </row>
    <row r="751" customFormat="false" ht="127.5" hidden="false" customHeight="true" outlineLevel="0" collapsed="false">
      <c r="A751" s="6" t="s">
        <v>790</v>
      </c>
      <c r="B751" s="7" t="s">
        <v>791</v>
      </c>
      <c r="C751" s="6" t="s">
        <v>16</v>
      </c>
      <c r="D751" s="9" t="n">
        <v>6</v>
      </c>
      <c r="E751" s="8" t="n">
        <v>58.91</v>
      </c>
      <c r="F751" s="8" t="n">
        <v>353.46</v>
      </c>
      <c r="G751" s="8" t="n">
        <v>58.91</v>
      </c>
      <c r="H751" s="8" t="n">
        <v>353.46</v>
      </c>
    </row>
    <row r="753" customFormat="false" ht="76.5" hidden="false" customHeight="true" outlineLevel="0" collapsed="false">
      <c r="A753" s="6" t="s">
        <v>792</v>
      </c>
      <c r="B753" s="7" t="s">
        <v>793</v>
      </c>
    </row>
    <row r="755" customFormat="false" ht="12.75" hidden="false" customHeight="true" outlineLevel="0" collapsed="false">
      <c r="A755" s="6" t="s">
        <v>794</v>
      </c>
      <c r="B755" s="7" t="s">
        <v>795</v>
      </c>
      <c r="C755" s="6" t="s">
        <v>16</v>
      </c>
      <c r="D755" s="9" t="n">
        <v>4</v>
      </c>
      <c r="E755" s="8" t="n">
        <v>47.74</v>
      </c>
      <c r="F755" s="8" t="n">
        <v>190.96</v>
      </c>
      <c r="G755" s="8" t="n">
        <v>47.74</v>
      </c>
      <c r="H755" s="8" t="n">
        <v>190.96</v>
      </c>
    </row>
    <row r="757" customFormat="false" ht="12.75" hidden="false" customHeight="true" outlineLevel="0" collapsed="false">
      <c r="A757" s="6" t="s">
        <v>796</v>
      </c>
      <c r="B757" s="7" t="s">
        <v>797</v>
      </c>
      <c r="C757" s="6" t="s">
        <v>16</v>
      </c>
      <c r="D757" s="9" t="n">
        <v>21</v>
      </c>
      <c r="E757" s="8" t="n">
        <v>47.74</v>
      </c>
      <c r="F757" s="8" t="n">
        <v>1002.54</v>
      </c>
      <c r="G757" s="8" t="n">
        <v>47.74</v>
      </c>
      <c r="H757" s="8" t="n">
        <v>1002.54</v>
      </c>
    </row>
    <row r="759" customFormat="false" ht="12.75" hidden="false" customHeight="true" outlineLevel="0" collapsed="false">
      <c r="A759" s="6" t="s">
        <v>798</v>
      </c>
      <c r="B759" s="7" t="s">
        <v>799</v>
      </c>
      <c r="C759" s="6" t="s">
        <v>16</v>
      </c>
      <c r="D759" s="9" t="n">
        <v>28</v>
      </c>
      <c r="E759" s="8" t="n">
        <v>47.74</v>
      </c>
      <c r="F759" s="8" t="n">
        <v>1336.72</v>
      </c>
      <c r="G759" s="8" t="n">
        <v>47.74</v>
      </c>
      <c r="H759" s="8" t="n">
        <v>1336.72</v>
      </c>
    </row>
    <row r="761" customFormat="false" ht="12.75" hidden="false" customHeight="true" outlineLevel="0" collapsed="false">
      <c r="A761" s="6" t="s">
        <v>800</v>
      </c>
      <c r="B761" s="7" t="s">
        <v>801</v>
      </c>
      <c r="C761" s="6" t="s">
        <v>16</v>
      </c>
      <c r="D761" s="9" t="n">
        <v>102</v>
      </c>
      <c r="E761" s="8" t="n">
        <v>47.74</v>
      </c>
      <c r="F761" s="8" t="n">
        <v>4869.48</v>
      </c>
      <c r="G761" s="8" t="n">
        <v>47.74</v>
      </c>
      <c r="H761" s="8" t="n">
        <v>4869.48</v>
      </c>
    </row>
    <row r="763" customFormat="false" ht="89.25" hidden="false" customHeight="true" outlineLevel="0" collapsed="false">
      <c r="A763" s="6" t="s">
        <v>802</v>
      </c>
      <c r="B763" s="7" t="s">
        <v>803</v>
      </c>
      <c r="C763" s="6" t="s">
        <v>16</v>
      </c>
      <c r="D763" s="9" t="n">
        <v>21</v>
      </c>
      <c r="E763" s="8" t="n">
        <v>51.7</v>
      </c>
      <c r="F763" s="8" t="n">
        <v>1085.7</v>
      </c>
      <c r="G763" s="8" t="n">
        <v>51.7</v>
      </c>
      <c r="H763" s="8" t="n">
        <v>1085.7</v>
      </c>
    </row>
    <row r="765" customFormat="false" ht="89.25" hidden="false" customHeight="true" outlineLevel="0" collapsed="false">
      <c r="A765" s="6" t="s">
        <v>804</v>
      </c>
      <c r="B765" s="7" t="s">
        <v>805</v>
      </c>
      <c r="C765" s="6" t="s">
        <v>16</v>
      </c>
      <c r="D765" s="9" t="n">
        <v>21</v>
      </c>
      <c r="E765" s="8" t="n">
        <v>183.98</v>
      </c>
      <c r="F765" s="8" t="n">
        <v>3863.58</v>
      </c>
      <c r="G765" s="8" t="n">
        <v>183.98</v>
      </c>
      <c r="H765" s="8" t="n">
        <v>3863.58</v>
      </c>
    </row>
    <row r="767" customFormat="false" ht="102" hidden="false" customHeight="true" outlineLevel="0" collapsed="false">
      <c r="A767" s="6" t="s">
        <v>806</v>
      </c>
      <c r="B767" s="7" t="s">
        <v>807</v>
      </c>
      <c r="C767" s="6" t="s">
        <v>16</v>
      </c>
      <c r="D767" s="9" t="n">
        <v>16</v>
      </c>
      <c r="E767" s="8" t="n">
        <v>338.74</v>
      </c>
      <c r="F767" s="8" t="n">
        <v>5419.84</v>
      </c>
      <c r="G767" s="8" t="n">
        <v>338.74</v>
      </c>
      <c r="H767" s="8" t="n">
        <v>5419.84</v>
      </c>
    </row>
    <row r="769" customFormat="false" ht="102" hidden="false" customHeight="true" outlineLevel="0" collapsed="false">
      <c r="A769" s="6" t="s">
        <v>808</v>
      </c>
      <c r="B769" s="7" t="s">
        <v>809</v>
      </c>
      <c r="I769" s="14" t="s">
        <v>22</v>
      </c>
      <c r="J769" s="15" t="s">
        <v>31</v>
      </c>
      <c r="K769" s="14" t="s">
        <v>810</v>
      </c>
    </row>
    <row r="772" customFormat="false" ht="25.5" hidden="false" customHeight="true" outlineLevel="0" collapsed="false">
      <c r="A772" s="6" t="s">
        <v>811</v>
      </c>
      <c r="B772" s="7" t="s">
        <v>812</v>
      </c>
      <c r="C772" s="6" t="s">
        <v>16</v>
      </c>
      <c r="D772" s="9" t="n">
        <v>6</v>
      </c>
      <c r="E772" s="8" t="n">
        <v>62.1</v>
      </c>
      <c r="F772" s="8" t="n">
        <v>372.6</v>
      </c>
      <c r="G772" s="8" t="n">
        <v>62.1</v>
      </c>
      <c r="H772" s="8" t="n">
        <v>372.6</v>
      </c>
    </row>
    <row r="774" customFormat="false" ht="25.5" hidden="false" customHeight="true" outlineLevel="0" collapsed="false">
      <c r="A774" s="6" t="s">
        <v>813</v>
      </c>
      <c r="B774" s="7" t="s">
        <v>814</v>
      </c>
      <c r="C774" s="6" t="s">
        <v>16</v>
      </c>
      <c r="D774" s="9" t="n">
        <v>4</v>
      </c>
      <c r="E774" s="8" t="n">
        <v>62.1</v>
      </c>
      <c r="F774" s="8" t="n">
        <v>248.4</v>
      </c>
      <c r="G774" s="8" t="n">
        <v>62.1</v>
      </c>
      <c r="H774" s="8" t="n">
        <v>248.4</v>
      </c>
    </row>
    <row r="776" customFormat="false" ht="89.25" hidden="false" customHeight="true" outlineLevel="0" collapsed="false">
      <c r="A776" s="6" t="s">
        <v>815</v>
      </c>
      <c r="B776" s="7" t="s">
        <v>816</v>
      </c>
      <c r="C776" s="6" t="s">
        <v>16</v>
      </c>
      <c r="D776" s="9" t="n">
        <v>4</v>
      </c>
      <c r="E776" s="8" t="n">
        <v>190.63</v>
      </c>
      <c r="F776" s="8" t="n">
        <v>762.52</v>
      </c>
      <c r="G776" s="8" t="n">
        <v>190.63</v>
      </c>
      <c r="H776" s="8" t="n">
        <v>762.52</v>
      </c>
    </row>
    <row r="778" customFormat="false" ht="89.25" hidden="false" customHeight="true" outlineLevel="0" collapsed="false">
      <c r="A778" s="6" t="s">
        <v>817</v>
      </c>
      <c r="B778" s="7" t="s">
        <v>818</v>
      </c>
      <c r="C778" s="6" t="s">
        <v>16</v>
      </c>
      <c r="D778" s="9" t="n">
        <v>21</v>
      </c>
      <c r="E778" s="8" t="n">
        <v>53.24</v>
      </c>
      <c r="F778" s="8" t="n">
        <v>1118.04</v>
      </c>
      <c r="G778" s="8" t="n">
        <v>53.24</v>
      </c>
      <c r="H778" s="8" t="n">
        <v>1118.04</v>
      </c>
    </row>
    <row r="780" customFormat="false" ht="89.25" hidden="false" customHeight="true" outlineLevel="0" collapsed="false">
      <c r="A780" s="6" t="s">
        <v>819</v>
      </c>
      <c r="B780" s="7" t="s">
        <v>820</v>
      </c>
      <c r="C780" s="6" t="s">
        <v>16</v>
      </c>
      <c r="D780" s="9" t="n">
        <v>20</v>
      </c>
      <c r="E780" s="8" t="n">
        <v>122.43</v>
      </c>
      <c r="F780" s="8" t="n">
        <v>2448.6</v>
      </c>
      <c r="G780" s="8" t="n">
        <v>122.43</v>
      </c>
      <c r="H780" s="8" t="n">
        <v>2448.6</v>
      </c>
      <c r="I780" s="10" t="s">
        <v>192</v>
      </c>
      <c r="J780" s="11" t="s">
        <v>18</v>
      </c>
      <c r="K780" s="10" t="s">
        <v>821</v>
      </c>
    </row>
    <row r="782" customFormat="false" ht="140.25" hidden="false" customHeight="true" outlineLevel="0" collapsed="false">
      <c r="A782" s="6" t="s">
        <v>822</v>
      </c>
      <c r="B782" s="7" t="s">
        <v>823</v>
      </c>
      <c r="C782" s="6" t="s">
        <v>61</v>
      </c>
      <c r="D782" s="9" t="n">
        <v>28</v>
      </c>
      <c r="E782" s="8" t="n">
        <v>269.61</v>
      </c>
      <c r="F782" s="8" t="n">
        <v>7549.08</v>
      </c>
      <c r="G782" s="8" t="n">
        <v>269.61</v>
      </c>
      <c r="H782" s="8" t="n">
        <v>7549.08</v>
      </c>
      <c r="I782" s="12" t="s">
        <v>45</v>
      </c>
      <c r="J782" s="13" t="s">
        <v>23</v>
      </c>
      <c r="K782" s="12" t="s">
        <v>824</v>
      </c>
    </row>
    <row r="784" customFormat="false" ht="153" hidden="false" customHeight="true" outlineLevel="0" collapsed="false">
      <c r="A784" s="6" t="s">
        <v>825</v>
      </c>
      <c r="B784" s="7" t="s">
        <v>826</v>
      </c>
      <c r="C784" s="6" t="s">
        <v>16</v>
      </c>
      <c r="D784" s="9" t="n">
        <v>15</v>
      </c>
      <c r="E784" s="8" t="n">
        <v>87.43</v>
      </c>
      <c r="F784" s="8" t="n">
        <v>1311.45</v>
      </c>
      <c r="G784" s="8" t="n">
        <v>87.43</v>
      </c>
      <c r="H784" s="8" t="n">
        <v>1311.45</v>
      </c>
    </row>
    <row r="786" customFormat="false" ht="89.25" hidden="false" customHeight="true" outlineLevel="0" collapsed="false">
      <c r="A786" s="6" t="s">
        <v>827</v>
      </c>
      <c r="B786" s="7" t="s">
        <v>828</v>
      </c>
      <c r="C786" s="6" t="s">
        <v>16</v>
      </c>
      <c r="D786" s="9" t="n">
        <v>1</v>
      </c>
      <c r="E786" s="8" t="n">
        <v>300</v>
      </c>
      <c r="F786" s="8" t="n">
        <v>300</v>
      </c>
      <c r="G786" s="8" t="n">
        <v>300</v>
      </c>
      <c r="H786" s="8" t="n">
        <v>300</v>
      </c>
    </row>
    <row r="788" customFormat="false" ht="76.5" hidden="false" customHeight="true" outlineLevel="0" collapsed="false">
      <c r="A788" s="6" t="s">
        <v>829</v>
      </c>
      <c r="B788" s="7" t="s">
        <v>830</v>
      </c>
      <c r="C788" s="6" t="s">
        <v>16</v>
      </c>
      <c r="D788" s="9" t="n">
        <v>1</v>
      </c>
      <c r="E788" s="8" t="n">
        <v>200</v>
      </c>
      <c r="F788" s="8" t="n">
        <v>200</v>
      </c>
      <c r="G788" s="8" t="n">
        <v>200</v>
      </c>
      <c r="H788" s="8" t="n">
        <v>200</v>
      </c>
    </row>
    <row r="790" customFormat="false" ht="76.5" hidden="false" customHeight="true" outlineLevel="0" collapsed="false">
      <c r="A790" s="6" t="s">
        <v>831</v>
      </c>
      <c r="B790" s="7" t="s">
        <v>832</v>
      </c>
      <c r="C790" s="6" t="s">
        <v>16</v>
      </c>
      <c r="D790" s="9" t="n">
        <v>2</v>
      </c>
      <c r="E790" s="8" t="n">
        <v>200</v>
      </c>
      <c r="F790" s="8" t="n">
        <v>400</v>
      </c>
      <c r="G790" s="8" t="n">
        <v>200</v>
      </c>
      <c r="H790" s="8" t="n">
        <v>400</v>
      </c>
    </row>
    <row r="792" customFormat="false" ht="165.75" hidden="false" customHeight="true" outlineLevel="0" collapsed="false">
      <c r="A792" s="6" t="s">
        <v>833</v>
      </c>
      <c r="B792" s="7" t="s">
        <v>834</v>
      </c>
    </row>
    <row r="794" customFormat="false" ht="12.75" hidden="false" customHeight="true" outlineLevel="0" collapsed="false">
      <c r="A794" s="6" t="s">
        <v>835</v>
      </c>
      <c r="B794" s="7" t="s">
        <v>225</v>
      </c>
      <c r="F794" s="8" t="n">
        <v>178139.52</v>
      </c>
      <c r="H794" s="8" t="n">
        <v>178140.39</v>
      </c>
    </row>
    <row r="796" customFormat="false" ht="76.5" hidden="false" customHeight="true" outlineLevel="0" collapsed="false">
      <c r="A796" s="6" t="s">
        <v>836</v>
      </c>
      <c r="B796" s="7" t="s">
        <v>837</v>
      </c>
      <c r="C796" s="6" t="s">
        <v>61</v>
      </c>
      <c r="D796" s="9" t="n">
        <v>187</v>
      </c>
      <c r="E796" s="8" t="n">
        <v>208.26</v>
      </c>
      <c r="F796" s="8" t="n">
        <v>38943.75</v>
      </c>
      <c r="G796" s="8" t="n">
        <v>208.26</v>
      </c>
      <c r="H796" s="8" t="n">
        <v>38944.62</v>
      </c>
    </row>
    <row r="798" customFormat="false" ht="267.75" hidden="false" customHeight="true" outlineLevel="0" collapsed="false">
      <c r="A798" s="6" t="s">
        <v>838</v>
      </c>
      <c r="B798" s="7" t="s">
        <v>839</v>
      </c>
    </row>
    <row r="801" customFormat="false" ht="12.75" hidden="false" customHeight="true" outlineLevel="0" collapsed="false">
      <c r="A801" s="6" t="s">
        <v>840</v>
      </c>
      <c r="B801" s="7" t="s">
        <v>841</v>
      </c>
      <c r="C801" s="6" t="s">
        <v>86</v>
      </c>
      <c r="D801" s="9" t="n">
        <v>775</v>
      </c>
      <c r="E801" s="8" t="n">
        <v>25</v>
      </c>
      <c r="F801" s="8" t="n">
        <v>19375</v>
      </c>
      <c r="G801" s="8" t="n">
        <v>25</v>
      </c>
      <c r="H801" s="8" t="n">
        <v>19375</v>
      </c>
    </row>
    <row r="803" customFormat="false" ht="140.25" hidden="false" customHeight="true" outlineLevel="0" collapsed="false">
      <c r="A803" s="6" t="s">
        <v>842</v>
      </c>
      <c r="B803" s="7" t="s">
        <v>843</v>
      </c>
      <c r="C803" s="6" t="s">
        <v>16</v>
      </c>
      <c r="D803" s="9" t="n">
        <v>1</v>
      </c>
      <c r="E803" s="8" t="n">
        <v>71350</v>
      </c>
      <c r="F803" s="8" t="n">
        <v>71350</v>
      </c>
      <c r="G803" s="8" t="n">
        <v>71350</v>
      </c>
      <c r="H803" s="8" t="n">
        <v>71350</v>
      </c>
    </row>
    <row r="805" customFormat="false" ht="127.5" hidden="false" customHeight="true" outlineLevel="0" collapsed="false">
      <c r="A805" s="6" t="s">
        <v>844</v>
      </c>
      <c r="B805" s="7" t="s">
        <v>845</v>
      </c>
    </row>
    <row r="807" customFormat="false" ht="12.75" hidden="false" customHeight="true" outlineLevel="0" collapsed="false">
      <c r="A807" s="6" t="s">
        <v>846</v>
      </c>
      <c r="B807" s="7" t="s">
        <v>847</v>
      </c>
      <c r="C807" s="6" t="s">
        <v>16</v>
      </c>
      <c r="D807" s="9" t="n">
        <v>114</v>
      </c>
      <c r="E807" s="8" t="n">
        <v>30</v>
      </c>
      <c r="F807" s="8" t="n">
        <v>3420</v>
      </c>
      <c r="G807" s="8" t="n">
        <v>30</v>
      </c>
      <c r="H807" s="8" t="n">
        <v>3420</v>
      </c>
    </row>
    <row r="809" customFormat="false" ht="204" hidden="false" customHeight="true" outlineLevel="0" collapsed="false">
      <c r="A809" s="6" t="s">
        <v>848</v>
      </c>
      <c r="B809" s="7" t="s">
        <v>849</v>
      </c>
    </row>
    <row r="811" customFormat="false" ht="12.75" hidden="false" customHeight="true" outlineLevel="0" collapsed="false">
      <c r="A811" s="6" t="s">
        <v>850</v>
      </c>
      <c r="B811" s="7" t="s">
        <v>851</v>
      </c>
      <c r="C811" s="6" t="s">
        <v>16</v>
      </c>
      <c r="D811" s="9" t="n">
        <v>1</v>
      </c>
      <c r="E811" s="8" t="n">
        <v>2500</v>
      </c>
      <c r="F811" s="8" t="n">
        <v>2500</v>
      </c>
      <c r="G811" s="8" t="n">
        <v>2500</v>
      </c>
      <c r="H811" s="8" t="n">
        <v>2500</v>
      </c>
    </row>
    <row r="813" customFormat="false" ht="12.75" hidden="false" customHeight="true" outlineLevel="0" collapsed="false">
      <c r="A813" s="6" t="s">
        <v>852</v>
      </c>
      <c r="B813" s="7" t="s">
        <v>853</v>
      </c>
    </row>
    <row r="815" customFormat="false" ht="140.25" hidden="false" customHeight="true" outlineLevel="0" collapsed="false">
      <c r="A815" s="6" t="s">
        <v>854</v>
      </c>
      <c r="B815" s="7" t="s">
        <v>855</v>
      </c>
      <c r="I815" s="10" t="s">
        <v>17</v>
      </c>
      <c r="J815" s="11" t="s">
        <v>18</v>
      </c>
      <c r="K815" s="10" t="s">
        <v>856</v>
      </c>
    </row>
    <row r="817" customFormat="false" ht="12.75" hidden="false" customHeight="true" outlineLevel="0" collapsed="false">
      <c r="A817" s="6" t="s">
        <v>857</v>
      </c>
      <c r="B817" s="7" t="s">
        <v>858</v>
      </c>
      <c r="C817" s="6" t="s">
        <v>16</v>
      </c>
      <c r="D817" s="9" t="n">
        <v>2</v>
      </c>
      <c r="E817" s="8" t="n">
        <v>16</v>
      </c>
      <c r="F817" s="8" t="n">
        <v>32</v>
      </c>
      <c r="G817" s="8" t="n">
        <v>16</v>
      </c>
      <c r="H817" s="8" t="n">
        <v>32</v>
      </c>
    </row>
    <row r="819" customFormat="false" ht="12.75" hidden="false" customHeight="true" outlineLevel="0" collapsed="false">
      <c r="A819" s="6" t="s">
        <v>859</v>
      </c>
      <c r="B819" s="7" t="s">
        <v>860</v>
      </c>
      <c r="C819" s="6" t="s">
        <v>16</v>
      </c>
      <c r="D819" s="9" t="n">
        <v>1</v>
      </c>
      <c r="E819" s="8" t="n">
        <v>16</v>
      </c>
      <c r="F819" s="8" t="n">
        <v>16</v>
      </c>
      <c r="G819" s="8" t="n">
        <v>16</v>
      </c>
      <c r="H819" s="8" t="n">
        <v>16</v>
      </c>
    </row>
    <row r="821" customFormat="false" ht="12.75" hidden="false" customHeight="true" outlineLevel="0" collapsed="false">
      <c r="A821" s="6" t="s">
        <v>861</v>
      </c>
      <c r="B821" s="7" t="s">
        <v>862</v>
      </c>
      <c r="C821" s="6" t="s">
        <v>16</v>
      </c>
      <c r="D821" s="9" t="n">
        <v>2</v>
      </c>
      <c r="E821" s="8" t="n">
        <v>16</v>
      </c>
      <c r="F821" s="8" t="n">
        <v>32</v>
      </c>
      <c r="G821" s="8" t="n">
        <v>16</v>
      </c>
      <c r="H821" s="8" t="n">
        <v>32</v>
      </c>
    </row>
    <row r="823" customFormat="false" ht="12.75" hidden="false" customHeight="true" outlineLevel="0" collapsed="false">
      <c r="A823" s="6" t="s">
        <v>863</v>
      </c>
      <c r="B823" s="7" t="s">
        <v>864</v>
      </c>
      <c r="C823" s="6" t="s">
        <v>16</v>
      </c>
      <c r="D823" s="9" t="n">
        <v>1</v>
      </c>
      <c r="E823" s="8" t="n">
        <v>16</v>
      </c>
      <c r="F823" s="8" t="n">
        <v>16</v>
      </c>
      <c r="G823" s="8" t="n">
        <v>16</v>
      </c>
      <c r="H823" s="8" t="n">
        <v>16</v>
      </c>
    </row>
    <row r="825" customFormat="false" ht="12.75" hidden="false" customHeight="true" outlineLevel="0" collapsed="false">
      <c r="A825" s="6" t="s">
        <v>865</v>
      </c>
      <c r="B825" s="7" t="s">
        <v>866</v>
      </c>
      <c r="C825" s="6" t="s">
        <v>16</v>
      </c>
      <c r="D825" s="9" t="n">
        <v>1</v>
      </c>
      <c r="E825" s="8" t="n">
        <v>16</v>
      </c>
      <c r="F825" s="8" t="n">
        <v>16</v>
      </c>
      <c r="G825" s="8" t="n">
        <v>16</v>
      </c>
      <c r="H825" s="8" t="n">
        <v>16</v>
      </c>
    </row>
    <row r="827" customFormat="false" ht="12.75" hidden="false" customHeight="true" outlineLevel="0" collapsed="false">
      <c r="A827" s="6" t="s">
        <v>867</v>
      </c>
      <c r="B827" s="7" t="s">
        <v>868</v>
      </c>
      <c r="C827" s="6" t="s">
        <v>16</v>
      </c>
      <c r="D827" s="9" t="n">
        <v>1</v>
      </c>
      <c r="E827" s="8" t="n">
        <v>16</v>
      </c>
      <c r="F827" s="8" t="n">
        <v>16</v>
      </c>
      <c r="G827" s="8" t="n">
        <v>16</v>
      </c>
      <c r="H827" s="8" t="n">
        <v>16</v>
      </c>
    </row>
    <row r="829" customFormat="false" ht="12.75" hidden="false" customHeight="true" outlineLevel="0" collapsed="false">
      <c r="A829" s="6" t="s">
        <v>869</v>
      </c>
      <c r="B829" s="7" t="s">
        <v>870</v>
      </c>
      <c r="C829" s="6" t="s">
        <v>16</v>
      </c>
      <c r="D829" s="9" t="n">
        <v>4</v>
      </c>
      <c r="E829" s="8" t="n">
        <v>16</v>
      </c>
      <c r="F829" s="8" t="n">
        <v>64</v>
      </c>
      <c r="G829" s="8" t="n">
        <v>16</v>
      </c>
      <c r="H829" s="8" t="n">
        <v>64</v>
      </c>
    </row>
    <row r="831" customFormat="false" ht="12.75" hidden="false" customHeight="true" outlineLevel="0" collapsed="false">
      <c r="A831" s="6" t="s">
        <v>871</v>
      </c>
      <c r="B831" s="7" t="s">
        <v>872</v>
      </c>
      <c r="C831" s="6" t="s">
        <v>16</v>
      </c>
      <c r="D831" s="9" t="n">
        <v>1</v>
      </c>
      <c r="E831" s="8" t="n">
        <v>16</v>
      </c>
      <c r="F831" s="8" t="n">
        <v>16</v>
      </c>
      <c r="G831" s="8" t="n">
        <v>16</v>
      </c>
      <c r="H831" s="8" t="n">
        <v>16</v>
      </c>
    </row>
    <row r="833" customFormat="false" ht="12.75" hidden="false" customHeight="true" outlineLevel="0" collapsed="false">
      <c r="A833" s="6" t="s">
        <v>873</v>
      </c>
      <c r="B833" s="7" t="s">
        <v>874</v>
      </c>
      <c r="C833" s="6" t="s">
        <v>16</v>
      </c>
      <c r="D833" s="9" t="n">
        <v>1</v>
      </c>
      <c r="E833" s="8" t="n">
        <v>16</v>
      </c>
      <c r="F833" s="8" t="n">
        <v>16</v>
      </c>
      <c r="G833" s="8" t="n">
        <v>16</v>
      </c>
      <c r="H833" s="8" t="n">
        <v>16</v>
      </c>
    </row>
    <row r="835" customFormat="false" ht="12.75" hidden="false" customHeight="true" outlineLevel="0" collapsed="false">
      <c r="A835" s="6" t="s">
        <v>875</v>
      </c>
      <c r="B835" s="7" t="s">
        <v>876</v>
      </c>
      <c r="C835" s="6" t="s">
        <v>16</v>
      </c>
      <c r="D835" s="9" t="n">
        <v>1</v>
      </c>
      <c r="E835" s="8" t="n">
        <v>16</v>
      </c>
      <c r="F835" s="8" t="n">
        <v>16</v>
      </c>
      <c r="G835" s="8" t="n">
        <v>16</v>
      </c>
      <c r="H835" s="8" t="n">
        <v>16</v>
      </c>
    </row>
    <row r="837" customFormat="false" ht="12.75" hidden="false" customHeight="true" outlineLevel="0" collapsed="false">
      <c r="A837" s="6" t="s">
        <v>877</v>
      </c>
      <c r="B837" s="7" t="s">
        <v>878</v>
      </c>
      <c r="C837" s="6" t="s">
        <v>16</v>
      </c>
      <c r="D837" s="9" t="n">
        <v>1</v>
      </c>
      <c r="E837" s="8" t="n">
        <v>16</v>
      </c>
      <c r="F837" s="8" t="n">
        <v>16</v>
      </c>
      <c r="G837" s="8" t="n">
        <v>16</v>
      </c>
      <c r="H837" s="8" t="n">
        <v>16</v>
      </c>
    </row>
    <row r="839" customFormat="false" ht="12.75" hidden="false" customHeight="true" outlineLevel="0" collapsed="false">
      <c r="A839" s="6" t="s">
        <v>879</v>
      </c>
      <c r="B839" s="7" t="s">
        <v>880</v>
      </c>
      <c r="C839" s="6" t="s">
        <v>16</v>
      </c>
      <c r="D839" s="9" t="n">
        <v>1</v>
      </c>
      <c r="E839" s="8" t="n">
        <v>16</v>
      </c>
      <c r="F839" s="8" t="n">
        <v>16</v>
      </c>
      <c r="G839" s="8" t="n">
        <v>16</v>
      </c>
      <c r="H839" s="8" t="n">
        <v>16</v>
      </c>
    </row>
    <row r="841" customFormat="false" ht="12.75" hidden="false" customHeight="true" outlineLevel="0" collapsed="false">
      <c r="A841" s="6" t="s">
        <v>881</v>
      </c>
      <c r="B841" s="7" t="s">
        <v>882</v>
      </c>
      <c r="C841" s="6" t="s">
        <v>16</v>
      </c>
      <c r="D841" s="9" t="n">
        <v>1</v>
      </c>
      <c r="E841" s="8" t="n">
        <v>16</v>
      </c>
      <c r="F841" s="8" t="n">
        <v>16</v>
      </c>
      <c r="G841" s="8" t="n">
        <v>16</v>
      </c>
      <c r="H841" s="8" t="n">
        <v>16</v>
      </c>
    </row>
    <row r="843" customFormat="false" ht="12.75" hidden="false" customHeight="true" outlineLevel="0" collapsed="false">
      <c r="A843" s="6" t="s">
        <v>883</v>
      </c>
      <c r="B843" s="7" t="s">
        <v>884</v>
      </c>
      <c r="C843" s="6" t="s">
        <v>16</v>
      </c>
      <c r="D843" s="9" t="n">
        <v>2</v>
      </c>
      <c r="E843" s="8" t="n">
        <v>16</v>
      </c>
      <c r="F843" s="8" t="n">
        <v>32</v>
      </c>
      <c r="G843" s="8" t="n">
        <v>16</v>
      </c>
      <c r="H843" s="8" t="n">
        <v>32</v>
      </c>
    </row>
    <row r="845" customFormat="false" ht="12.75" hidden="false" customHeight="true" outlineLevel="0" collapsed="false">
      <c r="A845" s="6" t="s">
        <v>885</v>
      </c>
      <c r="B845" s="7" t="s">
        <v>886</v>
      </c>
      <c r="C845" s="6" t="s">
        <v>16</v>
      </c>
      <c r="D845" s="9" t="n">
        <v>1</v>
      </c>
      <c r="E845" s="8" t="n">
        <v>16</v>
      </c>
      <c r="F845" s="8" t="n">
        <v>16</v>
      </c>
      <c r="G845" s="8" t="n">
        <v>16</v>
      </c>
      <c r="H845" s="8" t="n">
        <v>16</v>
      </c>
    </row>
    <row r="847" customFormat="false" ht="12.75" hidden="false" customHeight="true" outlineLevel="0" collapsed="false">
      <c r="A847" s="6" t="s">
        <v>887</v>
      </c>
      <c r="B847" s="7" t="s">
        <v>888</v>
      </c>
      <c r="C847" s="6" t="s">
        <v>16</v>
      </c>
      <c r="D847" s="9" t="n">
        <v>1</v>
      </c>
      <c r="E847" s="8" t="n">
        <v>16</v>
      </c>
      <c r="F847" s="8" t="n">
        <v>16</v>
      </c>
      <c r="G847" s="8" t="n">
        <v>16</v>
      </c>
      <c r="H847" s="8" t="n">
        <v>16</v>
      </c>
    </row>
    <row r="849" customFormat="false" ht="12.75" hidden="false" customHeight="true" outlineLevel="0" collapsed="false">
      <c r="A849" s="6" t="s">
        <v>889</v>
      </c>
      <c r="B849" s="7" t="s">
        <v>890</v>
      </c>
      <c r="C849" s="6" t="s">
        <v>16</v>
      </c>
      <c r="D849" s="9" t="n">
        <v>1</v>
      </c>
      <c r="E849" s="8" t="n">
        <v>16</v>
      </c>
      <c r="F849" s="8" t="n">
        <v>16</v>
      </c>
      <c r="G849" s="8" t="n">
        <v>16</v>
      </c>
      <c r="H849" s="8" t="n">
        <v>16</v>
      </c>
    </row>
    <row r="851" customFormat="false" ht="242.25" hidden="false" customHeight="true" outlineLevel="0" collapsed="false">
      <c r="A851" s="6" t="s">
        <v>891</v>
      </c>
      <c r="B851" s="7" t="s">
        <v>892</v>
      </c>
    </row>
    <row r="853" customFormat="false" ht="12.75" hidden="false" customHeight="true" outlineLevel="0" collapsed="false">
      <c r="A853" s="6" t="s">
        <v>893</v>
      </c>
      <c r="B853" s="7" t="s">
        <v>841</v>
      </c>
      <c r="C853" s="6" t="s">
        <v>61</v>
      </c>
      <c r="D853" s="9" t="n">
        <v>90</v>
      </c>
      <c r="E853" s="8" t="n">
        <v>80</v>
      </c>
      <c r="F853" s="8" t="n">
        <v>7200</v>
      </c>
      <c r="G853" s="8" t="n">
        <v>80</v>
      </c>
      <c r="H853" s="8" t="n">
        <v>7200</v>
      </c>
    </row>
    <row r="855" customFormat="false" ht="204" hidden="false" customHeight="true" outlineLevel="0" collapsed="false">
      <c r="A855" s="6" t="s">
        <v>894</v>
      </c>
      <c r="B855" s="7" t="s">
        <v>895</v>
      </c>
    </row>
    <row r="857" customFormat="false" ht="12.75" hidden="false" customHeight="true" outlineLevel="0" collapsed="false">
      <c r="A857" s="6" t="s">
        <v>896</v>
      </c>
      <c r="B857" s="7" t="s">
        <v>297</v>
      </c>
      <c r="C857" s="6" t="s">
        <v>61</v>
      </c>
      <c r="D857" s="9" t="n">
        <v>12</v>
      </c>
      <c r="E857" s="8" t="n">
        <v>519.27</v>
      </c>
      <c r="F857" s="8" t="n">
        <v>6231.24</v>
      </c>
      <c r="G857" s="8" t="n">
        <v>519.27</v>
      </c>
      <c r="H857" s="8" t="n">
        <v>6231.24</v>
      </c>
    </row>
    <row r="859" customFormat="false" ht="12.75" hidden="false" customHeight="true" outlineLevel="0" collapsed="false">
      <c r="A859" s="6" t="s">
        <v>897</v>
      </c>
      <c r="B859" s="7" t="s">
        <v>898</v>
      </c>
      <c r="C859" s="6" t="s">
        <v>61</v>
      </c>
      <c r="D859" s="9" t="n">
        <v>39</v>
      </c>
      <c r="E859" s="8" t="n">
        <v>519.27</v>
      </c>
      <c r="F859" s="8" t="n">
        <v>20251.53</v>
      </c>
      <c r="G859" s="8" t="n">
        <v>519.27</v>
      </c>
      <c r="H859" s="8" t="n">
        <v>20251.53</v>
      </c>
    </row>
    <row r="861" customFormat="false" ht="89.25" hidden="false" customHeight="true" outlineLevel="0" collapsed="false">
      <c r="A861" s="6" t="s">
        <v>899</v>
      </c>
      <c r="B861" s="7" t="s">
        <v>900</v>
      </c>
      <c r="C861" s="6" t="s">
        <v>61</v>
      </c>
      <c r="D861" s="9" t="n">
        <v>65</v>
      </c>
      <c r="E861" s="8" t="n">
        <v>50</v>
      </c>
      <c r="F861" s="8" t="n">
        <v>3250</v>
      </c>
      <c r="G861" s="8" t="n">
        <v>50</v>
      </c>
      <c r="H861" s="8" t="n">
        <v>3250</v>
      </c>
    </row>
    <row r="864" customFormat="false" ht="12.75" hidden="false" customHeight="true" outlineLevel="0" collapsed="false">
      <c r="A864" s="6" t="s">
        <v>901</v>
      </c>
      <c r="B864" s="7" t="s">
        <v>902</v>
      </c>
      <c r="C864" s="6" t="s">
        <v>16</v>
      </c>
      <c r="D864" s="9" t="n">
        <v>1</v>
      </c>
      <c r="E864" s="8" t="n">
        <v>4000</v>
      </c>
      <c r="F864" s="8" t="n">
        <v>4000</v>
      </c>
      <c r="G864" s="8" t="n">
        <v>4000</v>
      </c>
      <c r="H864" s="8" t="n">
        <v>4000</v>
      </c>
    </row>
    <row r="866" customFormat="false" ht="12.75" hidden="false" customHeight="true" outlineLevel="0" collapsed="false">
      <c r="A866" s="6" t="s">
        <v>903</v>
      </c>
      <c r="B866" s="7" t="s">
        <v>904</v>
      </c>
      <c r="C866" s="6" t="s">
        <v>16</v>
      </c>
      <c r="D866" s="9" t="n">
        <v>1</v>
      </c>
      <c r="E866" s="8" t="n">
        <v>1250</v>
      </c>
      <c r="F866" s="8" t="n">
        <v>1250</v>
      </c>
      <c r="G866" s="8" t="n">
        <v>1250</v>
      </c>
      <c r="H866" s="8" t="n">
        <v>1250</v>
      </c>
    </row>
    <row r="868" customFormat="false" ht="12.75" hidden="false" customHeight="true" outlineLevel="0" collapsed="false">
      <c r="A868" s="6" t="s">
        <v>905</v>
      </c>
      <c r="B868" s="7" t="s">
        <v>906</v>
      </c>
      <c r="F868" s="8" t="n">
        <v>78339.7</v>
      </c>
      <c r="H868" s="8" t="n">
        <v>78339.7</v>
      </c>
    </row>
    <row r="870" customFormat="false" ht="12.75" hidden="false" customHeight="true" outlineLevel="0" collapsed="false">
      <c r="A870" s="6" t="s">
        <v>907</v>
      </c>
      <c r="B870" s="7" t="s">
        <v>908</v>
      </c>
      <c r="F870" s="8" t="n">
        <v>800.42</v>
      </c>
      <c r="H870" s="8" t="n">
        <v>800.42</v>
      </c>
    </row>
    <row r="872" customFormat="false" ht="140.25" hidden="false" customHeight="true" outlineLevel="0" collapsed="false">
      <c r="A872" s="6" t="s">
        <v>909</v>
      </c>
      <c r="B872" s="7" t="s">
        <v>910</v>
      </c>
      <c r="C872" s="6" t="s">
        <v>44</v>
      </c>
      <c r="D872" s="8" t="n">
        <v>39.5</v>
      </c>
      <c r="E872" s="8" t="n">
        <v>5.5</v>
      </c>
      <c r="F872" s="8" t="n">
        <v>217.25</v>
      </c>
      <c r="G872" s="8" t="n">
        <v>5.5</v>
      </c>
      <c r="H872" s="8" t="n">
        <v>217.25</v>
      </c>
      <c r="I872" s="14" t="s">
        <v>22</v>
      </c>
      <c r="J872" s="15" t="s">
        <v>31</v>
      </c>
      <c r="K872" s="14" t="s">
        <v>911</v>
      </c>
    </row>
    <row r="874" customFormat="false" ht="63.75" hidden="false" customHeight="true" outlineLevel="0" collapsed="false">
      <c r="A874" s="6" t="s">
        <v>912</v>
      </c>
      <c r="B874" s="7" t="s">
        <v>913</v>
      </c>
      <c r="C874" s="6" t="s">
        <v>44</v>
      </c>
      <c r="D874" s="8" t="n">
        <v>8.89</v>
      </c>
      <c r="E874" s="8" t="n">
        <v>46.66</v>
      </c>
      <c r="F874" s="8" t="n">
        <v>414.81</v>
      </c>
      <c r="G874" s="8" t="n">
        <v>46.66</v>
      </c>
      <c r="H874" s="8" t="n">
        <v>414.81</v>
      </c>
    </row>
    <row r="876" customFormat="false" ht="89.25" hidden="false" customHeight="true" outlineLevel="0" collapsed="false">
      <c r="A876" s="6" t="s">
        <v>914</v>
      </c>
      <c r="B876" s="7" t="s">
        <v>915</v>
      </c>
      <c r="C876" s="6" t="s">
        <v>44</v>
      </c>
      <c r="D876" s="8" t="n">
        <v>30.61</v>
      </c>
      <c r="E876" s="8" t="n">
        <v>5.5</v>
      </c>
      <c r="F876" s="8" t="n">
        <v>168.36</v>
      </c>
      <c r="G876" s="8" t="n">
        <v>5.5</v>
      </c>
      <c r="H876" s="8" t="n">
        <v>168.36</v>
      </c>
    </row>
    <row r="878" customFormat="false" ht="12.75" hidden="false" customHeight="true" outlineLevel="0" collapsed="false">
      <c r="A878" s="6" t="s">
        <v>916</v>
      </c>
      <c r="B878" s="7" t="s">
        <v>917</v>
      </c>
      <c r="F878" s="8" t="n">
        <v>48659.68</v>
      </c>
      <c r="H878" s="8" t="n">
        <v>48659.68</v>
      </c>
    </row>
    <row r="880" customFormat="false" ht="140.25" hidden="false" customHeight="true" outlineLevel="0" collapsed="false">
      <c r="A880" s="6" t="s">
        <v>918</v>
      </c>
      <c r="B880" s="7" t="s">
        <v>919</v>
      </c>
    </row>
    <row r="882" customFormat="false" ht="12.75" hidden="false" customHeight="true" outlineLevel="0" collapsed="false">
      <c r="A882" s="6" t="s">
        <v>920</v>
      </c>
      <c r="B882" s="7" t="s">
        <v>921</v>
      </c>
      <c r="C882" s="6" t="s">
        <v>922</v>
      </c>
      <c r="D882" s="8" t="n">
        <v>98.43</v>
      </c>
      <c r="E882" s="8" t="n">
        <v>4.89</v>
      </c>
      <c r="F882" s="8" t="n">
        <v>481.32</v>
      </c>
      <c r="G882" s="8" t="n">
        <v>4.89</v>
      </c>
      <c r="H882" s="8" t="n">
        <v>481.32</v>
      </c>
    </row>
    <row r="884" customFormat="false" ht="12.75" hidden="false" customHeight="true" outlineLevel="0" collapsed="false">
      <c r="A884" s="6" t="s">
        <v>923</v>
      </c>
      <c r="B884" s="7" t="s">
        <v>924</v>
      </c>
      <c r="C884" s="6" t="s">
        <v>922</v>
      </c>
      <c r="D884" s="8" t="n">
        <v>57.92</v>
      </c>
      <c r="E884" s="8" t="n">
        <v>7.05</v>
      </c>
      <c r="F884" s="8" t="n">
        <v>408.34</v>
      </c>
      <c r="G884" s="8" t="n">
        <v>7.05</v>
      </c>
      <c r="H884" s="8" t="n">
        <v>408.34</v>
      </c>
    </row>
    <row r="886" customFormat="false" ht="12.75" hidden="false" customHeight="true" outlineLevel="0" collapsed="false">
      <c r="A886" s="6" t="s">
        <v>925</v>
      </c>
      <c r="B886" s="7" t="s">
        <v>926</v>
      </c>
      <c r="C886" s="6" t="s">
        <v>922</v>
      </c>
      <c r="D886" s="8" t="n">
        <v>72.49</v>
      </c>
      <c r="E886" s="8" t="n">
        <v>11.46</v>
      </c>
      <c r="F886" s="8" t="n">
        <v>830.74</v>
      </c>
      <c r="G886" s="8" t="n">
        <v>11.46</v>
      </c>
      <c r="H886" s="8" t="n">
        <v>830.74</v>
      </c>
    </row>
    <row r="888" customFormat="false" ht="12.75" hidden="false" customHeight="true" outlineLevel="0" collapsed="false">
      <c r="A888" s="6" t="s">
        <v>927</v>
      </c>
      <c r="B888" s="7" t="s">
        <v>928</v>
      </c>
      <c r="C888" s="6" t="s">
        <v>922</v>
      </c>
      <c r="D888" s="8" t="n">
        <v>38.9</v>
      </c>
      <c r="E888" s="8" t="n">
        <v>18.21</v>
      </c>
      <c r="F888" s="8" t="n">
        <v>708.37</v>
      </c>
      <c r="G888" s="8" t="n">
        <v>18.21</v>
      </c>
      <c r="H888" s="8" t="n">
        <v>708.37</v>
      </c>
    </row>
    <row r="890" customFormat="false" ht="12.75" hidden="false" customHeight="true" outlineLevel="0" collapsed="false">
      <c r="A890" s="6" t="s">
        <v>929</v>
      </c>
      <c r="B890" s="7" t="s">
        <v>930</v>
      </c>
      <c r="C890" s="6" t="s">
        <v>922</v>
      </c>
      <c r="D890" s="8" t="n">
        <v>26.59</v>
      </c>
      <c r="E890" s="8" t="n">
        <v>36.77</v>
      </c>
      <c r="F890" s="8" t="n">
        <v>977.71</v>
      </c>
      <c r="G890" s="8" t="n">
        <v>36.77</v>
      </c>
      <c r="H890" s="8" t="n">
        <v>977.71</v>
      </c>
    </row>
    <row r="892" customFormat="false" ht="12.75" hidden="false" customHeight="true" outlineLevel="0" collapsed="false">
      <c r="A892" s="6" t="s">
        <v>931</v>
      </c>
      <c r="B892" s="7" t="s">
        <v>932</v>
      </c>
      <c r="C892" s="6" t="s">
        <v>922</v>
      </c>
      <c r="D892" s="8" t="n">
        <v>3.68</v>
      </c>
      <c r="E892" s="8" t="n">
        <v>104.85</v>
      </c>
      <c r="F892" s="8" t="n">
        <v>385.85</v>
      </c>
      <c r="G892" s="8" t="n">
        <v>104.85</v>
      </c>
      <c r="H892" s="8" t="n">
        <v>385.85</v>
      </c>
    </row>
    <row r="894" customFormat="false" ht="12.75" hidden="false" customHeight="true" outlineLevel="0" collapsed="false">
      <c r="A894" s="6" t="s">
        <v>933</v>
      </c>
      <c r="B894" s="7" t="s">
        <v>934</v>
      </c>
      <c r="C894" s="6" t="s">
        <v>922</v>
      </c>
      <c r="D894" s="8" t="n">
        <v>3.78</v>
      </c>
      <c r="E894" s="8" t="n">
        <v>178.38</v>
      </c>
      <c r="F894" s="8" t="n">
        <v>674.28</v>
      </c>
      <c r="G894" s="8" t="n">
        <v>178.38</v>
      </c>
      <c r="H894" s="8" t="n">
        <v>674.28</v>
      </c>
    </row>
    <row r="896" customFormat="false" ht="153" hidden="false" customHeight="true" outlineLevel="0" collapsed="false">
      <c r="A896" s="6" t="s">
        <v>935</v>
      </c>
      <c r="B896" s="7" t="s">
        <v>936</v>
      </c>
    </row>
    <row r="898" customFormat="false" ht="12.75" hidden="false" customHeight="true" outlineLevel="0" collapsed="false">
      <c r="A898" s="6" t="s">
        <v>937</v>
      </c>
      <c r="B898" s="7" t="s">
        <v>921</v>
      </c>
      <c r="C898" s="6" t="s">
        <v>922</v>
      </c>
      <c r="D898" s="8" t="n">
        <v>2.31</v>
      </c>
      <c r="E898" s="8" t="n">
        <v>4.89</v>
      </c>
      <c r="F898" s="8" t="n">
        <v>11.3</v>
      </c>
      <c r="G898" s="8" t="n">
        <v>4.89</v>
      </c>
      <c r="H898" s="8" t="n">
        <v>11.3</v>
      </c>
    </row>
    <row r="900" customFormat="false" ht="12.75" hidden="false" customHeight="true" outlineLevel="0" collapsed="false">
      <c r="A900" s="6" t="s">
        <v>938</v>
      </c>
      <c r="B900" s="7" t="s">
        <v>924</v>
      </c>
      <c r="C900" s="6" t="s">
        <v>922</v>
      </c>
      <c r="D900" s="8" t="n">
        <v>9.92</v>
      </c>
      <c r="E900" s="8" t="n">
        <v>7.05</v>
      </c>
      <c r="F900" s="8" t="n">
        <v>69.94</v>
      </c>
      <c r="G900" s="8" t="n">
        <v>7.05</v>
      </c>
      <c r="H900" s="8" t="n">
        <v>69.94</v>
      </c>
    </row>
    <row r="902" customFormat="false" ht="12.75" hidden="false" customHeight="true" outlineLevel="0" collapsed="false">
      <c r="A902" s="6" t="s">
        <v>939</v>
      </c>
      <c r="B902" s="7" t="s">
        <v>926</v>
      </c>
      <c r="C902" s="6" t="s">
        <v>922</v>
      </c>
      <c r="D902" s="8" t="n">
        <v>10.5</v>
      </c>
      <c r="E902" s="8" t="n">
        <v>11.46</v>
      </c>
      <c r="F902" s="8" t="n">
        <v>120.33</v>
      </c>
      <c r="G902" s="8" t="n">
        <v>11.46</v>
      </c>
      <c r="H902" s="8" t="n">
        <v>120.33</v>
      </c>
    </row>
    <row r="904" customFormat="false" ht="12.75" hidden="false" customHeight="true" outlineLevel="0" collapsed="false">
      <c r="A904" s="6" t="s">
        <v>940</v>
      </c>
      <c r="B904" s="7" t="s">
        <v>928</v>
      </c>
      <c r="C904" s="6" t="s">
        <v>922</v>
      </c>
      <c r="D904" s="8" t="n">
        <v>15.54</v>
      </c>
      <c r="E904" s="8" t="n">
        <v>18.21</v>
      </c>
      <c r="F904" s="8" t="n">
        <v>282.98</v>
      </c>
      <c r="G904" s="8" t="n">
        <v>18.21</v>
      </c>
      <c r="H904" s="8" t="n">
        <v>282.98</v>
      </c>
    </row>
    <row r="906" customFormat="false" ht="12.75" hidden="false" customHeight="true" outlineLevel="0" collapsed="false">
      <c r="A906" s="6" t="s">
        <v>941</v>
      </c>
      <c r="B906" s="7" t="s">
        <v>930</v>
      </c>
      <c r="C906" s="6" t="s">
        <v>922</v>
      </c>
      <c r="D906" s="8" t="n">
        <v>13.13</v>
      </c>
      <c r="E906" s="8" t="n">
        <v>36.77</v>
      </c>
      <c r="F906" s="8" t="n">
        <v>482.79</v>
      </c>
      <c r="G906" s="8" t="n">
        <v>36.77</v>
      </c>
      <c r="H906" s="8" t="n">
        <v>482.79</v>
      </c>
    </row>
    <row r="908" customFormat="false" ht="12.75" hidden="false" customHeight="true" outlineLevel="0" collapsed="false">
      <c r="A908" s="6" t="s">
        <v>942</v>
      </c>
      <c r="B908" s="7" t="s">
        <v>943</v>
      </c>
      <c r="C908" s="6" t="s">
        <v>922</v>
      </c>
      <c r="D908" s="8" t="n">
        <v>30.45</v>
      </c>
      <c r="E908" s="8" t="n">
        <v>64.96</v>
      </c>
      <c r="F908" s="8" t="n">
        <v>1978.03</v>
      </c>
      <c r="G908" s="8" t="n">
        <v>64.96</v>
      </c>
      <c r="H908" s="8" t="n">
        <v>1978.03</v>
      </c>
    </row>
    <row r="910" customFormat="false" ht="12.75" hidden="false" customHeight="true" outlineLevel="0" collapsed="false">
      <c r="A910" s="6" t="s">
        <v>944</v>
      </c>
      <c r="B910" s="7" t="s">
        <v>932</v>
      </c>
      <c r="C910" s="6" t="s">
        <v>922</v>
      </c>
      <c r="D910" s="8" t="n">
        <v>3.1</v>
      </c>
      <c r="E910" s="8" t="n">
        <v>104.85</v>
      </c>
      <c r="F910" s="8" t="n">
        <v>325.04</v>
      </c>
      <c r="G910" s="8" t="n">
        <v>104.85</v>
      </c>
      <c r="H910" s="8" t="n">
        <v>325.04</v>
      </c>
    </row>
    <row r="912" customFormat="false" ht="12.75" hidden="false" customHeight="true" outlineLevel="0" collapsed="false">
      <c r="A912" s="6" t="s">
        <v>945</v>
      </c>
      <c r="B912" s="7" t="s">
        <v>934</v>
      </c>
      <c r="C912" s="6" t="s">
        <v>922</v>
      </c>
      <c r="D912" s="8" t="n">
        <v>72.98</v>
      </c>
      <c r="E912" s="8" t="n">
        <v>178.38</v>
      </c>
      <c r="F912" s="8" t="n">
        <v>13018.17</v>
      </c>
      <c r="G912" s="8" t="n">
        <v>178.38</v>
      </c>
      <c r="H912" s="8" t="n">
        <v>13018.17</v>
      </c>
      <c r="I912" s="10" t="s">
        <v>17</v>
      </c>
      <c r="J912" s="11" t="s">
        <v>18</v>
      </c>
      <c r="K912" s="10" t="s">
        <v>946</v>
      </c>
    </row>
    <row r="914" customFormat="false" ht="191.25" hidden="false" customHeight="true" outlineLevel="0" collapsed="false">
      <c r="A914" s="6" t="s">
        <v>947</v>
      </c>
      <c r="B914" s="7" t="s">
        <v>948</v>
      </c>
    </row>
    <row r="916" customFormat="false" ht="12.75" hidden="false" customHeight="true" outlineLevel="0" collapsed="false">
      <c r="A916" s="6" t="s">
        <v>949</v>
      </c>
      <c r="B916" s="7" t="s">
        <v>921</v>
      </c>
      <c r="C916" s="6" t="s">
        <v>922</v>
      </c>
      <c r="D916" s="8" t="n">
        <v>51.87</v>
      </c>
      <c r="E916" s="8" t="n">
        <v>12.22</v>
      </c>
      <c r="F916" s="8" t="n">
        <v>633.85</v>
      </c>
      <c r="G916" s="8" t="n">
        <v>12.22</v>
      </c>
      <c r="H916" s="8" t="n">
        <v>633.85</v>
      </c>
    </row>
    <row r="918" customFormat="false" ht="12.75" hidden="false" customHeight="true" outlineLevel="0" collapsed="false">
      <c r="A918" s="6" t="s">
        <v>950</v>
      </c>
      <c r="B918" s="7" t="s">
        <v>924</v>
      </c>
      <c r="C918" s="6" t="s">
        <v>922</v>
      </c>
      <c r="D918" s="8" t="n">
        <v>3.05</v>
      </c>
      <c r="E918" s="8" t="n">
        <v>15.17</v>
      </c>
      <c r="F918" s="8" t="n">
        <v>46.27</v>
      </c>
      <c r="G918" s="8" t="n">
        <v>15.17</v>
      </c>
      <c r="H918" s="8" t="n">
        <v>46.27</v>
      </c>
    </row>
    <row r="920" customFormat="false" ht="12.75" hidden="false" customHeight="true" outlineLevel="0" collapsed="false">
      <c r="A920" s="6" t="s">
        <v>951</v>
      </c>
      <c r="B920" s="7" t="s">
        <v>926</v>
      </c>
      <c r="C920" s="6" t="s">
        <v>922</v>
      </c>
      <c r="D920" s="8" t="n">
        <v>6.05</v>
      </c>
      <c r="E920" s="8" t="n">
        <v>21.13</v>
      </c>
      <c r="F920" s="8" t="n">
        <v>127.84</v>
      </c>
      <c r="G920" s="8" t="n">
        <v>21.13</v>
      </c>
      <c r="H920" s="8" t="n">
        <v>127.84</v>
      </c>
    </row>
    <row r="922" customFormat="false" ht="12.75" hidden="false" customHeight="true" outlineLevel="0" collapsed="false">
      <c r="A922" s="6" t="s">
        <v>952</v>
      </c>
      <c r="B922" s="7" t="s">
        <v>928</v>
      </c>
      <c r="C922" s="6" t="s">
        <v>922</v>
      </c>
      <c r="D922" s="8" t="n">
        <v>36.56</v>
      </c>
      <c r="E922" s="8" t="n">
        <v>29.08</v>
      </c>
      <c r="F922" s="8" t="n">
        <v>1063.16</v>
      </c>
      <c r="G922" s="8" t="n">
        <v>29.08</v>
      </c>
      <c r="H922" s="8" t="n">
        <v>1063.16</v>
      </c>
    </row>
    <row r="924" customFormat="false" ht="12.75" hidden="false" customHeight="true" outlineLevel="0" collapsed="false">
      <c r="A924" s="6" t="s">
        <v>953</v>
      </c>
      <c r="B924" s="7" t="s">
        <v>930</v>
      </c>
      <c r="C924" s="6" t="s">
        <v>922</v>
      </c>
      <c r="D924" s="8" t="n">
        <v>20.94</v>
      </c>
      <c r="E924" s="8" t="n">
        <v>49.26</v>
      </c>
      <c r="F924" s="8" t="n">
        <v>1031.5</v>
      </c>
      <c r="G924" s="8" t="n">
        <v>49.26</v>
      </c>
      <c r="H924" s="8" t="n">
        <v>1031.5</v>
      </c>
    </row>
    <row r="926" customFormat="false" ht="12.75" hidden="false" customHeight="true" outlineLevel="0" collapsed="false">
      <c r="A926" s="6" t="s">
        <v>954</v>
      </c>
      <c r="B926" s="7" t="s">
        <v>932</v>
      </c>
      <c r="C926" s="6" t="s">
        <v>922</v>
      </c>
      <c r="D926" s="8" t="n">
        <v>7.51</v>
      </c>
      <c r="E926" s="8" t="n">
        <v>126.76</v>
      </c>
      <c r="F926" s="8" t="n">
        <v>951.97</v>
      </c>
      <c r="G926" s="8" t="n">
        <v>126.76</v>
      </c>
      <c r="H926" s="8" t="n">
        <v>951.97</v>
      </c>
    </row>
    <row r="928" customFormat="false" ht="191.25" hidden="false" customHeight="true" outlineLevel="0" collapsed="false">
      <c r="A928" s="6" t="s">
        <v>955</v>
      </c>
      <c r="B928" s="7" t="s">
        <v>956</v>
      </c>
    </row>
    <row r="931" customFormat="false" ht="12.75" hidden="false" customHeight="true" outlineLevel="0" collapsed="false">
      <c r="A931" s="6" t="s">
        <v>957</v>
      </c>
      <c r="B931" s="7" t="s">
        <v>921</v>
      </c>
      <c r="C931" s="6" t="s">
        <v>922</v>
      </c>
      <c r="D931" s="8" t="n">
        <v>2.1</v>
      </c>
      <c r="E931" s="8" t="n">
        <v>12.22</v>
      </c>
      <c r="F931" s="8" t="n">
        <v>25.66</v>
      </c>
      <c r="G931" s="8" t="n">
        <v>12.22</v>
      </c>
      <c r="H931" s="8" t="n">
        <v>25.66</v>
      </c>
    </row>
    <row r="933" customFormat="false" ht="12.75" hidden="false" customHeight="true" outlineLevel="0" collapsed="false">
      <c r="A933" s="6" t="s">
        <v>958</v>
      </c>
      <c r="B933" s="7" t="s">
        <v>924</v>
      </c>
      <c r="C933" s="6" t="s">
        <v>922</v>
      </c>
      <c r="D933" s="8" t="n">
        <v>14.18</v>
      </c>
      <c r="E933" s="8" t="n">
        <v>15.17</v>
      </c>
      <c r="F933" s="8" t="n">
        <v>215.11</v>
      </c>
      <c r="G933" s="8" t="n">
        <v>15.17</v>
      </c>
      <c r="H933" s="8" t="n">
        <v>215.11</v>
      </c>
    </row>
    <row r="935" customFormat="false" ht="12.75" hidden="false" customHeight="true" outlineLevel="0" collapsed="false">
      <c r="A935" s="6" t="s">
        <v>959</v>
      </c>
      <c r="B935" s="7" t="s">
        <v>928</v>
      </c>
      <c r="C935" s="6" t="s">
        <v>922</v>
      </c>
      <c r="D935" s="8" t="n">
        <v>5.25</v>
      </c>
      <c r="E935" s="8" t="n">
        <v>29.08</v>
      </c>
      <c r="F935" s="8" t="n">
        <v>152.67</v>
      </c>
      <c r="G935" s="8" t="n">
        <v>29.08</v>
      </c>
      <c r="H935" s="8" t="n">
        <v>152.67</v>
      </c>
    </row>
    <row r="937" customFormat="false" ht="12.75" hidden="false" customHeight="true" outlineLevel="0" collapsed="false">
      <c r="A937" s="6" t="s">
        <v>960</v>
      </c>
      <c r="B937" s="7" t="s">
        <v>930</v>
      </c>
      <c r="C937" s="6" t="s">
        <v>922</v>
      </c>
      <c r="D937" s="8" t="n">
        <v>9.78</v>
      </c>
      <c r="E937" s="8" t="n">
        <v>49.26</v>
      </c>
      <c r="F937" s="8" t="n">
        <v>481.76</v>
      </c>
      <c r="G937" s="8" t="n">
        <v>49.26</v>
      </c>
      <c r="H937" s="8" t="n">
        <v>481.76</v>
      </c>
    </row>
    <row r="939" customFormat="false" ht="12.75" hidden="false" customHeight="true" outlineLevel="0" collapsed="false">
      <c r="A939" s="6" t="s">
        <v>961</v>
      </c>
      <c r="B939" s="7" t="s">
        <v>943</v>
      </c>
      <c r="C939" s="6" t="s">
        <v>922</v>
      </c>
      <c r="D939" s="8" t="n">
        <v>30.77</v>
      </c>
      <c r="E939" s="8" t="n">
        <v>85.95</v>
      </c>
      <c r="F939" s="8" t="n">
        <v>2644.68</v>
      </c>
      <c r="G939" s="8" t="n">
        <v>85.95</v>
      </c>
      <c r="H939" s="8" t="n">
        <v>2644.68</v>
      </c>
    </row>
    <row r="941" customFormat="false" ht="12.75" hidden="false" customHeight="true" outlineLevel="0" collapsed="false">
      <c r="A941" s="6" t="s">
        <v>962</v>
      </c>
      <c r="B941" s="7" t="s">
        <v>932</v>
      </c>
      <c r="C941" s="6" t="s">
        <v>922</v>
      </c>
      <c r="D941" s="8" t="n">
        <v>49.35</v>
      </c>
      <c r="E941" s="8" t="n">
        <v>126.76</v>
      </c>
      <c r="F941" s="8" t="n">
        <v>6255.61</v>
      </c>
      <c r="G941" s="8" t="n">
        <v>126.76</v>
      </c>
      <c r="H941" s="8" t="n">
        <v>6255.61</v>
      </c>
    </row>
    <row r="943" customFormat="false" ht="242.25" hidden="false" customHeight="true" outlineLevel="0" collapsed="false">
      <c r="A943" s="6" t="s">
        <v>963</v>
      </c>
      <c r="B943" s="7" t="s">
        <v>964</v>
      </c>
    </row>
    <row r="945" customFormat="false" ht="12.75" hidden="false" customHeight="true" outlineLevel="0" collapsed="false">
      <c r="A945" s="6" t="s">
        <v>965</v>
      </c>
      <c r="B945" s="7" t="s">
        <v>921</v>
      </c>
      <c r="C945" s="6" t="s">
        <v>922</v>
      </c>
      <c r="D945" s="8" t="n">
        <v>16.8</v>
      </c>
      <c r="E945" s="8" t="n">
        <v>12.22</v>
      </c>
      <c r="F945" s="8" t="n">
        <v>205.3</v>
      </c>
      <c r="G945" s="8" t="n">
        <v>12.22</v>
      </c>
      <c r="H945" s="8" t="n">
        <v>205.3</v>
      </c>
    </row>
    <row r="947" customFormat="false" ht="12.75" hidden="false" customHeight="true" outlineLevel="0" collapsed="false">
      <c r="A947" s="6" t="s">
        <v>966</v>
      </c>
      <c r="B947" s="7" t="s">
        <v>924</v>
      </c>
      <c r="C947" s="6" t="s">
        <v>922</v>
      </c>
      <c r="D947" s="8" t="n">
        <v>90.41</v>
      </c>
      <c r="E947" s="8" t="n">
        <v>15.17</v>
      </c>
      <c r="F947" s="8" t="n">
        <v>1371.52</v>
      </c>
      <c r="G947" s="8" t="n">
        <v>15.17</v>
      </c>
      <c r="H947" s="8" t="n">
        <v>1371.52</v>
      </c>
    </row>
    <row r="949" customFormat="false" ht="140.25" hidden="false" customHeight="true" outlineLevel="0" collapsed="false">
      <c r="A949" s="6" t="s">
        <v>967</v>
      </c>
      <c r="B949" s="7" t="s">
        <v>968</v>
      </c>
    </row>
    <row r="951" customFormat="false" ht="12.75" hidden="false" customHeight="true" outlineLevel="0" collapsed="false">
      <c r="A951" s="6" t="s">
        <v>969</v>
      </c>
      <c r="B951" s="7" t="s">
        <v>970</v>
      </c>
      <c r="C951" s="6" t="s">
        <v>922</v>
      </c>
      <c r="D951" s="8" t="n">
        <v>70.98</v>
      </c>
      <c r="E951" s="8" t="n">
        <v>34.85</v>
      </c>
      <c r="F951" s="8" t="n">
        <v>2473.65</v>
      </c>
      <c r="G951" s="8" t="n">
        <v>34.85</v>
      </c>
      <c r="H951" s="8" t="n">
        <v>2473.65</v>
      </c>
    </row>
    <row r="953" customFormat="false" ht="12.75" hidden="false" customHeight="true" outlineLevel="0" collapsed="false">
      <c r="A953" s="6" t="s">
        <v>971</v>
      </c>
      <c r="B953" s="7" t="s">
        <v>972</v>
      </c>
      <c r="C953" s="6" t="s">
        <v>922</v>
      </c>
      <c r="D953" s="8" t="n">
        <v>75.6</v>
      </c>
      <c r="E953" s="8" t="n">
        <v>44.53</v>
      </c>
      <c r="F953" s="8" t="n">
        <v>3366.47</v>
      </c>
      <c r="G953" s="8" t="n">
        <v>44.53</v>
      </c>
      <c r="H953" s="8" t="n">
        <v>3366.47</v>
      </c>
    </row>
    <row r="955" customFormat="false" ht="12.75" hidden="false" customHeight="true" outlineLevel="0" collapsed="false">
      <c r="A955" s="6" t="s">
        <v>973</v>
      </c>
      <c r="B955" s="7" t="s">
        <v>974</v>
      </c>
      <c r="C955" s="6" t="s">
        <v>922</v>
      </c>
      <c r="D955" s="8" t="n">
        <v>34.44</v>
      </c>
      <c r="E955" s="8" t="n">
        <v>57.75</v>
      </c>
      <c r="F955" s="8" t="n">
        <v>1988.91</v>
      </c>
      <c r="G955" s="8" t="n">
        <v>57.75</v>
      </c>
      <c r="H955" s="8" t="n">
        <v>1988.91</v>
      </c>
    </row>
    <row r="957" customFormat="false" ht="12.75" hidden="false" customHeight="true" outlineLevel="0" collapsed="false">
      <c r="A957" s="6" t="s">
        <v>975</v>
      </c>
      <c r="B957" s="7" t="s">
        <v>976</v>
      </c>
      <c r="C957" s="6" t="s">
        <v>922</v>
      </c>
      <c r="D957" s="8" t="n">
        <v>31.03</v>
      </c>
      <c r="E957" s="8" t="n">
        <v>73.86</v>
      </c>
      <c r="F957" s="8" t="n">
        <v>2291.88</v>
      </c>
      <c r="G957" s="8" t="n">
        <v>73.86</v>
      </c>
      <c r="H957" s="8" t="n">
        <v>2291.88</v>
      </c>
    </row>
    <row r="959" customFormat="false" ht="140.25" hidden="false" customHeight="true" outlineLevel="0" collapsed="false">
      <c r="A959" s="6" t="s">
        <v>977</v>
      </c>
      <c r="B959" s="7" t="s">
        <v>978</v>
      </c>
    </row>
    <row r="961" customFormat="false" ht="12.75" hidden="false" customHeight="true" outlineLevel="0" collapsed="false">
      <c r="A961" s="6" t="s">
        <v>979</v>
      </c>
      <c r="B961" s="7" t="s">
        <v>930</v>
      </c>
      <c r="C961" s="6" t="s">
        <v>922</v>
      </c>
      <c r="D961" s="8" t="n">
        <v>12.71</v>
      </c>
      <c r="E961" s="8" t="n">
        <v>4.89</v>
      </c>
      <c r="F961" s="8" t="n">
        <v>62.15</v>
      </c>
      <c r="G961" s="8" t="n">
        <v>4.89</v>
      </c>
      <c r="H961" s="8" t="n">
        <v>62.15</v>
      </c>
    </row>
    <row r="963" customFormat="false" ht="12.75" hidden="false" customHeight="true" outlineLevel="0" collapsed="false">
      <c r="A963" s="6" t="s">
        <v>980</v>
      </c>
      <c r="B963" s="7" t="s">
        <v>943</v>
      </c>
      <c r="C963" s="6" t="s">
        <v>922</v>
      </c>
      <c r="D963" s="8" t="n">
        <v>3.68</v>
      </c>
      <c r="E963" s="8" t="n">
        <v>17.67</v>
      </c>
      <c r="F963" s="8" t="n">
        <v>65.03</v>
      </c>
      <c r="G963" s="8" t="n">
        <v>17.67</v>
      </c>
      <c r="H963" s="8" t="n">
        <v>65.03</v>
      </c>
    </row>
    <row r="965" customFormat="false" ht="12.75" hidden="false" customHeight="true" outlineLevel="0" collapsed="false">
      <c r="A965" s="6" t="s">
        <v>981</v>
      </c>
      <c r="B965" s="7" t="s">
        <v>934</v>
      </c>
      <c r="C965" s="6" t="s">
        <v>922</v>
      </c>
      <c r="D965" s="8" t="n">
        <v>15.97</v>
      </c>
      <c r="E965" s="8" t="n">
        <v>30.18</v>
      </c>
      <c r="F965" s="8" t="n">
        <v>481.97</v>
      </c>
      <c r="G965" s="8" t="n">
        <v>30.18</v>
      </c>
      <c r="H965" s="8" t="n">
        <v>481.97</v>
      </c>
    </row>
    <row r="967" customFormat="false" ht="12.75" hidden="false" customHeight="true" outlineLevel="0" collapsed="false">
      <c r="A967" s="6" t="s">
        <v>982</v>
      </c>
      <c r="B967" s="7" t="s">
        <v>983</v>
      </c>
      <c r="C967" s="6" t="s">
        <v>922</v>
      </c>
      <c r="D967" s="8" t="n">
        <v>37.91</v>
      </c>
      <c r="E967" s="8" t="n">
        <v>51.9</v>
      </c>
      <c r="F967" s="8" t="n">
        <v>1967.53</v>
      </c>
      <c r="G967" s="8" t="n">
        <v>51.9</v>
      </c>
      <c r="H967" s="8" t="n">
        <v>1967.53</v>
      </c>
    </row>
    <row r="969" customFormat="false" ht="12.75" hidden="false" customHeight="true" outlineLevel="0" collapsed="false">
      <c r="A969" s="6" t="s">
        <v>984</v>
      </c>
      <c r="B969" s="7" t="s">
        <v>985</v>
      </c>
      <c r="F969" s="8" t="n">
        <v>21483</v>
      </c>
      <c r="H969" s="8" t="n">
        <v>21483</v>
      </c>
    </row>
    <row r="971" customFormat="false" ht="127.5" hidden="false" customHeight="true" outlineLevel="0" collapsed="false">
      <c r="A971" s="6" t="s">
        <v>986</v>
      </c>
      <c r="B971" s="7" t="s">
        <v>987</v>
      </c>
    </row>
    <row r="973" customFormat="false" ht="12.75" hidden="false" customHeight="true" outlineLevel="0" collapsed="false">
      <c r="A973" s="6" t="s">
        <v>988</v>
      </c>
      <c r="B973" s="7" t="s">
        <v>921</v>
      </c>
      <c r="C973" s="6" t="s">
        <v>16</v>
      </c>
      <c r="D973" s="9" t="n">
        <v>21</v>
      </c>
      <c r="E973" s="8" t="n">
        <v>30</v>
      </c>
      <c r="F973" s="8" t="n">
        <v>630</v>
      </c>
      <c r="G973" s="8" t="n">
        <v>30</v>
      </c>
      <c r="H973" s="8" t="n">
        <v>630</v>
      </c>
    </row>
    <row r="975" customFormat="false" ht="102" hidden="false" customHeight="true" outlineLevel="0" collapsed="false">
      <c r="A975" s="6" t="s">
        <v>989</v>
      </c>
      <c r="B975" s="7" t="s">
        <v>990</v>
      </c>
    </row>
    <row r="977" customFormat="false" ht="12.75" hidden="false" customHeight="true" outlineLevel="0" collapsed="false">
      <c r="A977" s="6" t="s">
        <v>991</v>
      </c>
      <c r="B977" s="7" t="s">
        <v>921</v>
      </c>
      <c r="C977" s="6" t="s">
        <v>16</v>
      </c>
      <c r="D977" s="9" t="n">
        <v>6</v>
      </c>
      <c r="E977" s="8" t="n">
        <v>30</v>
      </c>
      <c r="F977" s="8" t="n">
        <v>180</v>
      </c>
      <c r="G977" s="8" t="n">
        <v>30</v>
      </c>
      <c r="H977" s="8" t="n">
        <v>180</v>
      </c>
    </row>
    <row r="979" customFormat="false" ht="12.75" hidden="false" customHeight="true" outlineLevel="0" collapsed="false">
      <c r="A979" s="6" t="s">
        <v>992</v>
      </c>
      <c r="B979" s="7" t="s">
        <v>924</v>
      </c>
      <c r="C979" s="6" t="s">
        <v>16</v>
      </c>
      <c r="D979" s="9" t="n">
        <v>8</v>
      </c>
      <c r="E979" s="8" t="n">
        <v>32</v>
      </c>
      <c r="F979" s="8" t="n">
        <v>256</v>
      </c>
      <c r="G979" s="8" t="n">
        <v>32</v>
      </c>
      <c r="H979" s="8" t="n">
        <v>256</v>
      </c>
    </row>
    <row r="981" customFormat="false" ht="12.75" hidden="false" customHeight="true" outlineLevel="0" collapsed="false">
      <c r="A981" s="6" t="s">
        <v>993</v>
      </c>
      <c r="B981" s="7" t="s">
        <v>926</v>
      </c>
      <c r="C981" s="6" t="s">
        <v>16</v>
      </c>
      <c r="D981" s="9" t="n">
        <v>11</v>
      </c>
      <c r="E981" s="8" t="n">
        <v>34</v>
      </c>
      <c r="F981" s="8" t="n">
        <v>374</v>
      </c>
      <c r="G981" s="8" t="n">
        <v>34</v>
      </c>
      <c r="H981" s="8" t="n">
        <v>374</v>
      </c>
    </row>
    <row r="983" customFormat="false" ht="12.75" hidden="false" customHeight="true" outlineLevel="0" collapsed="false">
      <c r="A983" s="6" t="s">
        <v>994</v>
      </c>
      <c r="B983" s="7" t="s">
        <v>928</v>
      </c>
      <c r="C983" s="6" t="s">
        <v>16</v>
      </c>
      <c r="D983" s="9" t="n">
        <v>4</v>
      </c>
      <c r="E983" s="8" t="n">
        <v>36</v>
      </c>
      <c r="F983" s="8" t="n">
        <v>144</v>
      </c>
      <c r="G983" s="8" t="n">
        <v>36</v>
      </c>
      <c r="H983" s="8" t="n">
        <v>144</v>
      </c>
    </row>
    <row r="985" customFormat="false" ht="12.75" hidden="false" customHeight="true" outlineLevel="0" collapsed="false">
      <c r="A985" s="6" t="s">
        <v>995</v>
      </c>
      <c r="B985" s="7" t="s">
        <v>930</v>
      </c>
      <c r="C985" s="6" t="s">
        <v>16</v>
      </c>
      <c r="D985" s="9" t="n">
        <v>4</v>
      </c>
      <c r="E985" s="8" t="n">
        <v>45</v>
      </c>
      <c r="F985" s="8" t="n">
        <v>180</v>
      </c>
      <c r="G985" s="8" t="n">
        <v>45</v>
      </c>
      <c r="H985" s="8" t="n">
        <v>180</v>
      </c>
    </row>
    <row r="987" customFormat="false" ht="12.75" hidden="false" customHeight="true" outlineLevel="0" collapsed="false">
      <c r="A987" s="6" t="s">
        <v>996</v>
      </c>
      <c r="B987" s="7" t="s">
        <v>932</v>
      </c>
      <c r="C987" s="6" t="s">
        <v>16</v>
      </c>
      <c r="D987" s="9" t="n">
        <v>2</v>
      </c>
      <c r="E987" s="8" t="n">
        <v>90</v>
      </c>
      <c r="F987" s="8" t="n">
        <v>180</v>
      </c>
      <c r="G987" s="8" t="n">
        <v>90</v>
      </c>
      <c r="H987" s="8" t="n">
        <v>180</v>
      </c>
    </row>
    <row r="989" customFormat="false" ht="102" hidden="false" customHeight="true" outlineLevel="0" collapsed="false">
      <c r="A989" s="6" t="s">
        <v>997</v>
      </c>
      <c r="B989" s="7" t="s">
        <v>998</v>
      </c>
    </row>
    <row r="992" customFormat="false" ht="12.75" hidden="false" customHeight="true" outlineLevel="0" collapsed="false">
      <c r="A992" s="6" t="s">
        <v>999</v>
      </c>
      <c r="B992" s="7" t="s">
        <v>921</v>
      </c>
      <c r="C992" s="6" t="s">
        <v>16</v>
      </c>
      <c r="D992" s="9" t="n">
        <v>1</v>
      </c>
      <c r="E992" s="8" t="n">
        <v>30</v>
      </c>
      <c r="F992" s="8" t="n">
        <v>30</v>
      </c>
      <c r="G992" s="8" t="n">
        <v>30</v>
      </c>
      <c r="H992" s="8" t="n">
        <v>30</v>
      </c>
    </row>
    <row r="994" customFormat="false" ht="12.75" hidden="false" customHeight="true" outlineLevel="0" collapsed="false">
      <c r="A994" s="6" t="s">
        <v>1000</v>
      </c>
      <c r="B994" s="7" t="s">
        <v>924</v>
      </c>
      <c r="C994" s="6" t="s">
        <v>16</v>
      </c>
      <c r="D994" s="9" t="n">
        <v>2</v>
      </c>
      <c r="E994" s="8" t="n">
        <v>32</v>
      </c>
      <c r="F994" s="8" t="n">
        <v>64</v>
      </c>
      <c r="G994" s="8" t="n">
        <v>32</v>
      </c>
      <c r="H994" s="8" t="n">
        <v>64</v>
      </c>
    </row>
    <row r="996" customFormat="false" ht="12.75" hidden="false" customHeight="true" outlineLevel="0" collapsed="false">
      <c r="A996" s="6" t="s">
        <v>1001</v>
      </c>
      <c r="B996" s="7" t="s">
        <v>932</v>
      </c>
      <c r="C996" s="6" t="s">
        <v>16</v>
      </c>
      <c r="D996" s="9" t="n">
        <v>1</v>
      </c>
      <c r="E996" s="8" t="n">
        <v>90</v>
      </c>
      <c r="F996" s="8" t="n">
        <v>90</v>
      </c>
      <c r="G996" s="8" t="n">
        <v>90</v>
      </c>
      <c r="H996" s="8" t="n">
        <v>90</v>
      </c>
    </row>
    <row r="998" customFormat="false" ht="114.75" hidden="false" customHeight="true" outlineLevel="0" collapsed="false">
      <c r="A998" s="6" t="s">
        <v>1002</v>
      </c>
      <c r="B998" s="7" t="s">
        <v>1003</v>
      </c>
    </row>
    <row r="1000" customFormat="false" ht="12.75" hidden="false" customHeight="true" outlineLevel="0" collapsed="false">
      <c r="A1000" s="6" t="s">
        <v>1004</v>
      </c>
      <c r="B1000" s="7" t="s">
        <v>924</v>
      </c>
      <c r="C1000" s="6" t="s">
        <v>16</v>
      </c>
      <c r="D1000" s="9" t="n">
        <v>5</v>
      </c>
      <c r="E1000" s="8" t="n">
        <v>25</v>
      </c>
      <c r="F1000" s="8" t="n">
        <v>125</v>
      </c>
      <c r="G1000" s="8" t="n">
        <v>25</v>
      </c>
      <c r="H1000" s="8" t="n">
        <v>125</v>
      </c>
    </row>
    <row r="1002" customFormat="false" ht="114.75" hidden="false" customHeight="true" outlineLevel="0" collapsed="false">
      <c r="A1002" s="6" t="s">
        <v>1005</v>
      </c>
      <c r="B1002" s="7" t="s">
        <v>1006</v>
      </c>
    </row>
    <row r="1004" customFormat="false" ht="12.75" hidden="false" customHeight="true" outlineLevel="0" collapsed="false">
      <c r="A1004" s="6" t="s">
        <v>1007</v>
      </c>
      <c r="B1004" s="7" t="s">
        <v>924</v>
      </c>
      <c r="C1004" s="6" t="s">
        <v>16</v>
      </c>
      <c r="D1004" s="9" t="n">
        <v>1</v>
      </c>
      <c r="E1004" s="8" t="n">
        <v>35</v>
      </c>
      <c r="F1004" s="8" t="n">
        <v>35</v>
      </c>
      <c r="G1004" s="8" t="n">
        <v>35</v>
      </c>
      <c r="H1004" s="8" t="n">
        <v>35</v>
      </c>
    </row>
    <row r="1006" customFormat="false" ht="127.5" hidden="false" customHeight="true" outlineLevel="0" collapsed="false">
      <c r="A1006" s="6" t="s">
        <v>1008</v>
      </c>
      <c r="B1006" s="7" t="s">
        <v>1009</v>
      </c>
      <c r="I1006" s="10" t="s">
        <v>45</v>
      </c>
      <c r="J1006" s="11" t="s">
        <v>18</v>
      </c>
      <c r="K1006" s="10" t="s">
        <v>1010</v>
      </c>
    </row>
    <row r="1008" customFormat="false" ht="12.75" hidden="false" customHeight="true" outlineLevel="0" collapsed="false">
      <c r="A1008" s="6" t="s">
        <v>1011</v>
      </c>
      <c r="B1008" s="7" t="s">
        <v>924</v>
      </c>
      <c r="C1008" s="6" t="s">
        <v>16</v>
      </c>
      <c r="D1008" s="9" t="n">
        <v>1</v>
      </c>
      <c r="E1008" s="8" t="n">
        <v>678</v>
      </c>
      <c r="F1008" s="8" t="n">
        <v>678</v>
      </c>
      <c r="G1008" s="8" t="n">
        <v>678</v>
      </c>
      <c r="H1008" s="8" t="n">
        <v>678</v>
      </c>
    </row>
    <row r="1010" customFormat="false" ht="191.25" hidden="false" customHeight="true" outlineLevel="0" collapsed="false">
      <c r="A1010" s="6" t="s">
        <v>1012</v>
      </c>
      <c r="B1010" s="7" t="s">
        <v>1013</v>
      </c>
    </row>
    <row r="1012" customFormat="false" ht="12.75" hidden="false" customHeight="true" outlineLevel="0" collapsed="false">
      <c r="A1012" s="6" t="s">
        <v>1014</v>
      </c>
      <c r="B1012" s="7" t="s">
        <v>921</v>
      </c>
      <c r="C1012" s="6" t="s">
        <v>16</v>
      </c>
      <c r="D1012" s="9" t="n">
        <v>1</v>
      </c>
      <c r="E1012" s="8" t="n">
        <v>328</v>
      </c>
      <c r="F1012" s="8" t="n">
        <v>328</v>
      </c>
      <c r="G1012" s="8" t="n">
        <v>328</v>
      </c>
      <c r="H1012" s="8" t="n">
        <v>328</v>
      </c>
    </row>
    <row r="1014" customFormat="false" ht="12.75" hidden="false" customHeight="true" outlineLevel="0" collapsed="false">
      <c r="A1014" s="6" t="s">
        <v>1015</v>
      </c>
      <c r="B1014" s="7" t="s">
        <v>924</v>
      </c>
      <c r="C1014" s="6" t="s">
        <v>16</v>
      </c>
      <c r="D1014" s="9" t="n">
        <v>1</v>
      </c>
      <c r="E1014" s="8" t="n">
        <v>360</v>
      </c>
      <c r="F1014" s="8" t="n">
        <v>360</v>
      </c>
      <c r="G1014" s="8" t="n">
        <v>360</v>
      </c>
      <c r="H1014" s="8" t="n">
        <v>360</v>
      </c>
    </row>
    <row r="1016" customFormat="false" ht="114.75" hidden="false" customHeight="true" outlineLevel="0" collapsed="false">
      <c r="A1016" s="6" t="s">
        <v>1016</v>
      </c>
      <c r="B1016" s="7" t="s">
        <v>1017</v>
      </c>
      <c r="I1016" s="10" t="s">
        <v>17</v>
      </c>
      <c r="J1016" s="11" t="s">
        <v>18</v>
      </c>
      <c r="K1016" s="10" t="s">
        <v>1018</v>
      </c>
    </row>
    <row r="1018" customFormat="false" ht="12.75" hidden="false" customHeight="true" outlineLevel="0" collapsed="false">
      <c r="A1018" s="6" t="s">
        <v>1019</v>
      </c>
      <c r="B1018" s="7" t="s">
        <v>932</v>
      </c>
      <c r="C1018" s="6" t="s">
        <v>16</v>
      </c>
      <c r="D1018" s="9" t="n">
        <v>1</v>
      </c>
      <c r="E1018" s="8" t="n">
        <v>255</v>
      </c>
      <c r="F1018" s="8" t="n">
        <v>255</v>
      </c>
      <c r="G1018" s="8" t="n">
        <v>255</v>
      </c>
      <c r="H1018" s="8" t="n">
        <v>255</v>
      </c>
    </row>
    <row r="1020" customFormat="false" ht="140.25" hidden="false" customHeight="true" outlineLevel="0" collapsed="false">
      <c r="A1020" s="6" t="s">
        <v>1020</v>
      </c>
      <c r="B1020" s="7" t="s">
        <v>1021</v>
      </c>
    </row>
    <row r="1022" customFormat="false" ht="12.75" hidden="false" customHeight="true" outlineLevel="0" collapsed="false">
      <c r="A1022" s="6" t="s">
        <v>1022</v>
      </c>
      <c r="B1022" s="7" t="s">
        <v>1023</v>
      </c>
      <c r="C1022" s="6" t="s">
        <v>16</v>
      </c>
      <c r="D1022" s="9" t="n">
        <v>1</v>
      </c>
      <c r="E1022" s="8" t="n">
        <v>3000</v>
      </c>
      <c r="F1022" s="8" t="n">
        <v>3000</v>
      </c>
      <c r="G1022" s="8" t="n">
        <v>3000</v>
      </c>
      <c r="H1022" s="8" t="n">
        <v>3000</v>
      </c>
    </row>
    <row r="1024" customFormat="false" ht="127.5" hidden="false" customHeight="true" outlineLevel="0" collapsed="false">
      <c r="A1024" s="6" t="s">
        <v>1024</v>
      </c>
      <c r="B1024" s="7" t="s">
        <v>1025</v>
      </c>
      <c r="C1024" s="6" t="s">
        <v>16</v>
      </c>
      <c r="D1024" s="9" t="n">
        <v>1</v>
      </c>
      <c r="E1024" s="8" t="n">
        <v>900</v>
      </c>
      <c r="F1024" s="8" t="n">
        <v>900</v>
      </c>
      <c r="G1024" s="8" t="n">
        <v>900</v>
      </c>
      <c r="H1024" s="8" t="n">
        <v>900</v>
      </c>
    </row>
    <row r="1026" customFormat="false" ht="267.75" hidden="false" customHeight="true" outlineLevel="0" collapsed="false">
      <c r="A1026" s="6" t="s">
        <v>1026</v>
      </c>
      <c r="B1026" s="7" t="s">
        <v>1027</v>
      </c>
      <c r="C1026" s="6" t="s">
        <v>16</v>
      </c>
      <c r="D1026" s="9" t="n">
        <v>10</v>
      </c>
      <c r="E1026" s="8" t="n">
        <v>499.9</v>
      </c>
      <c r="F1026" s="8" t="n">
        <v>4999</v>
      </c>
      <c r="G1026" s="8" t="n">
        <v>499.9</v>
      </c>
      <c r="H1026" s="8" t="n">
        <v>4999</v>
      </c>
      <c r="I1026" s="14" t="s">
        <v>17</v>
      </c>
      <c r="J1026" s="15" t="s">
        <v>31</v>
      </c>
      <c r="K1026" s="14" t="s">
        <v>1028</v>
      </c>
    </row>
    <row r="1029" customFormat="false" ht="102" hidden="false" customHeight="true" outlineLevel="0" collapsed="false">
      <c r="A1029" s="6" t="s">
        <v>1029</v>
      </c>
      <c r="B1029" s="7" t="s">
        <v>1030</v>
      </c>
      <c r="C1029" s="6" t="s">
        <v>16</v>
      </c>
      <c r="D1029" s="9" t="n">
        <v>3</v>
      </c>
      <c r="E1029" s="8" t="n">
        <v>30</v>
      </c>
      <c r="F1029" s="8" t="n">
        <v>90</v>
      </c>
      <c r="G1029" s="8" t="n">
        <v>30</v>
      </c>
      <c r="H1029" s="8" t="n">
        <v>90</v>
      </c>
    </row>
    <row r="1031" customFormat="false" ht="63.75" hidden="false" customHeight="true" outlineLevel="0" collapsed="false">
      <c r="A1031" s="6" t="s">
        <v>1031</v>
      </c>
      <c r="B1031" s="7" t="s">
        <v>1032</v>
      </c>
      <c r="C1031" s="6" t="s">
        <v>16</v>
      </c>
      <c r="D1031" s="9" t="n">
        <v>3</v>
      </c>
      <c r="E1031" s="8" t="n">
        <v>45</v>
      </c>
      <c r="F1031" s="8" t="n">
        <v>135</v>
      </c>
      <c r="G1031" s="8" t="n">
        <v>45</v>
      </c>
      <c r="H1031" s="8" t="n">
        <v>135</v>
      </c>
    </row>
    <row r="1033" customFormat="false" ht="153" hidden="false" customHeight="true" outlineLevel="0" collapsed="false">
      <c r="A1033" s="6" t="s">
        <v>1033</v>
      </c>
      <c r="B1033" s="7" t="s">
        <v>1034</v>
      </c>
      <c r="C1033" s="6" t="s">
        <v>16</v>
      </c>
      <c r="D1033" s="9" t="n">
        <v>2</v>
      </c>
      <c r="E1033" s="8" t="n">
        <v>1850</v>
      </c>
      <c r="F1033" s="8" t="n">
        <v>3700</v>
      </c>
      <c r="G1033" s="8" t="n">
        <v>1850</v>
      </c>
      <c r="H1033" s="8" t="n">
        <v>3700</v>
      </c>
    </row>
    <row r="1035" customFormat="false" ht="140.25" hidden="false" customHeight="true" outlineLevel="0" collapsed="false">
      <c r="A1035" s="6" t="s">
        <v>1035</v>
      </c>
      <c r="B1035" s="7" t="s">
        <v>1036</v>
      </c>
      <c r="C1035" s="6" t="s">
        <v>16</v>
      </c>
      <c r="D1035" s="9" t="n">
        <v>1</v>
      </c>
      <c r="E1035" s="8" t="n">
        <v>3250</v>
      </c>
      <c r="F1035" s="8" t="n">
        <v>3250</v>
      </c>
      <c r="G1035" s="8" t="n">
        <v>3250</v>
      </c>
      <c r="H1035" s="8" t="n">
        <v>3250</v>
      </c>
    </row>
    <row r="1037" customFormat="false" ht="127.5" hidden="false" customHeight="true" outlineLevel="0" collapsed="false">
      <c r="A1037" s="6" t="s">
        <v>1037</v>
      </c>
      <c r="B1037" s="7" t="s">
        <v>1038</v>
      </c>
      <c r="C1037" s="6" t="s">
        <v>16</v>
      </c>
      <c r="D1037" s="9" t="n">
        <v>1</v>
      </c>
      <c r="E1037" s="8" t="n">
        <v>1500</v>
      </c>
      <c r="F1037" s="8" t="n">
        <v>1500</v>
      </c>
      <c r="G1037" s="8" t="n">
        <v>1500</v>
      </c>
      <c r="H1037" s="8" t="n">
        <v>1500</v>
      </c>
    </row>
    <row r="1039" customFormat="false" ht="12.75" hidden="false" customHeight="true" outlineLevel="0" collapsed="false">
      <c r="A1039" s="6" t="s">
        <v>1039</v>
      </c>
      <c r="B1039" s="7" t="s">
        <v>768</v>
      </c>
      <c r="F1039" s="8" t="n">
        <v>1410.2</v>
      </c>
      <c r="H1039" s="8" t="n">
        <v>1410.2</v>
      </c>
    </row>
    <row r="1041" customFormat="false" ht="140.25" hidden="false" customHeight="true" outlineLevel="0" collapsed="false">
      <c r="A1041" s="6" t="s">
        <v>1040</v>
      </c>
      <c r="B1041" s="7" t="s">
        <v>1041</v>
      </c>
      <c r="I1041" s="10" t="s">
        <v>17</v>
      </c>
      <c r="J1041" s="11" t="s">
        <v>18</v>
      </c>
      <c r="K1041" s="10" t="s">
        <v>1042</v>
      </c>
    </row>
    <row r="1043" customFormat="false" ht="12.75" hidden="false" customHeight="true" outlineLevel="0" collapsed="false">
      <c r="A1043" s="6" t="s">
        <v>1043</v>
      </c>
      <c r="B1043" s="7" t="s">
        <v>1044</v>
      </c>
      <c r="C1043" s="6" t="s">
        <v>16</v>
      </c>
      <c r="D1043" s="9" t="n">
        <v>1</v>
      </c>
      <c r="E1043" s="8" t="n">
        <v>1410.2</v>
      </c>
      <c r="F1043" s="8" t="n">
        <v>1410.2</v>
      </c>
      <c r="G1043" s="8" t="n">
        <v>1410.2</v>
      </c>
      <c r="H1043" s="8" t="n">
        <v>1410.2</v>
      </c>
    </row>
    <row r="1045" customFormat="false" ht="25.5" hidden="false" customHeight="true" outlineLevel="0" collapsed="false">
      <c r="A1045" s="6" t="s">
        <v>1045</v>
      </c>
      <c r="B1045" s="7" t="s">
        <v>1046</v>
      </c>
      <c r="F1045" s="8" t="n">
        <v>5986.4</v>
      </c>
      <c r="H1045" s="8" t="n">
        <v>5986.4</v>
      </c>
    </row>
    <row r="1047" customFormat="false" ht="191.25" hidden="false" customHeight="true" outlineLevel="0" collapsed="false">
      <c r="A1047" s="6" t="s">
        <v>1047</v>
      </c>
      <c r="B1047" s="7" t="s">
        <v>1048</v>
      </c>
      <c r="I1047" s="14" t="s">
        <v>22</v>
      </c>
      <c r="J1047" s="15" t="s">
        <v>31</v>
      </c>
      <c r="K1047" s="14" t="s">
        <v>1049</v>
      </c>
    </row>
    <row r="1049" customFormat="false" ht="12.75" hidden="false" customHeight="true" outlineLevel="0" collapsed="false">
      <c r="A1049" s="6" t="s">
        <v>1050</v>
      </c>
      <c r="B1049" s="7" t="s">
        <v>983</v>
      </c>
      <c r="C1049" s="6" t="s">
        <v>16</v>
      </c>
      <c r="D1049" s="9" t="n">
        <v>3</v>
      </c>
      <c r="E1049" s="8" t="n">
        <v>750</v>
      </c>
      <c r="F1049" s="8" t="n">
        <v>2250</v>
      </c>
      <c r="G1049" s="8" t="n">
        <v>750</v>
      </c>
      <c r="H1049" s="8" t="n">
        <v>2250</v>
      </c>
    </row>
    <row r="1051" customFormat="false" ht="280.5" hidden="false" customHeight="true" outlineLevel="0" collapsed="false">
      <c r="A1051" s="6" t="s">
        <v>1051</v>
      </c>
      <c r="B1051" s="7" t="s">
        <v>1052</v>
      </c>
      <c r="C1051" s="6" t="s">
        <v>16</v>
      </c>
      <c r="D1051" s="9" t="n">
        <v>1</v>
      </c>
      <c r="E1051" s="8" t="n">
        <v>700</v>
      </c>
      <c r="F1051" s="8" t="n">
        <v>700</v>
      </c>
      <c r="G1051" s="8" t="n">
        <v>700</v>
      </c>
      <c r="H1051" s="8" t="n">
        <v>700</v>
      </c>
    </row>
    <row r="1054" customFormat="false" ht="89.25" hidden="false" customHeight="true" outlineLevel="0" collapsed="false">
      <c r="A1054" s="6" t="s">
        <v>1053</v>
      </c>
      <c r="B1054" s="7" t="s">
        <v>1054</v>
      </c>
      <c r="C1054" s="6" t="s">
        <v>16</v>
      </c>
      <c r="D1054" s="9" t="n">
        <v>2</v>
      </c>
      <c r="E1054" s="8" t="n">
        <v>250</v>
      </c>
      <c r="F1054" s="8" t="n">
        <v>500</v>
      </c>
      <c r="G1054" s="8" t="n">
        <v>250</v>
      </c>
      <c r="H1054" s="8" t="n">
        <v>500</v>
      </c>
    </row>
    <row r="1056" customFormat="false" ht="102" hidden="false" customHeight="true" outlineLevel="0" collapsed="false">
      <c r="A1056" s="6" t="s">
        <v>1055</v>
      </c>
      <c r="B1056" s="7" t="s">
        <v>1056</v>
      </c>
      <c r="C1056" s="6" t="s">
        <v>16</v>
      </c>
      <c r="D1056" s="9" t="n">
        <v>1</v>
      </c>
      <c r="E1056" s="8" t="n">
        <v>350</v>
      </c>
      <c r="F1056" s="8" t="n">
        <v>350</v>
      </c>
      <c r="G1056" s="8" t="n">
        <v>350</v>
      </c>
      <c r="H1056" s="8" t="n">
        <v>350</v>
      </c>
    </row>
    <row r="1058" customFormat="false" ht="140.25" hidden="false" customHeight="true" outlineLevel="0" collapsed="false">
      <c r="A1058" s="6" t="s">
        <v>1057</v>
      </c>
      <c r="B1058" s="7" t="s">
        <v>1058</v>
      </c>
      <c r="C1058" s="6" t="s">
        <v>16</v>
      </c>
      <c r="D1058" s="9" t="n">
        <v>1</v>
      </c>
      <c r="E1058" s="8" t="n">
        <v>250</v>
      </c>
      <c r="F1058" s="8" t="n">
        <v>250</v>
      </c>
      <c r="G1058" s="8" t="n">
        <v>250</v>
      </c>
      <c r="H1058" s="8" t="n">
        <v>250</v>
      </c>
    </row>
    <row r="1060" customFormat="false" ht="51" hidden="false" customHeight="true" outlineLevel="0" collapsed="false">
      <c r="A1060" s="6" t="s">
        <v>1059</v>
      </c>
      <c r="B1060" s="7" t="s">
        <v>1060</v>
      </c>
      <c r="C1060" s="6" t="s">
        <v>16</v>
      </c>
      <c r="D1060" s="9" t="n">
        <v>1</v>
      </c>
      <c r="E1060" s="8" t="n">
        <v>1190.93</v>
      </c>
      <c r="F1060" s="8" t="n">
        <v>1190.93</v>
      </c>
      <c r="G1060" s="8" t="n">
        <v>1190.93</v>
      </c>
      <c r="H1060" s="8" t="n">
        <v>1190.93</v>
      </c>
    </row>
    <row r="1062" customFormat="false" ht="89.25" hidden="false" customHeight="true" outlineLevel="0" collapsed="false">
      <c r="A1062" s="6" t="s">
        <v>1061</v>
      </c>
      <c r="B1062" s="7" t="s">
        <v>1062</v>
      </c>
      <c r="C1062" s="6" t="s">
        <v>16</v>
      </c>
      <c r="D1062" s="9" t="n">
        <v>1</v>
      </c>
      <c r="E1062" s="8" t="n">
        <v>595.47</v>
      </c>
      <c r="F1062" s="8" t="n">
        <v>595.47</v>
      </c>
      <c r="G1062" s="8" t="n">
        <v>595.47</v>
      </c>
      <c r="H1062" s="8" t="n">
        <v>595.47</v>
      </c>
      <c r="I1062" s="10" t="s">
        <v>22</v>
      </c>
      <c r="J1062" s="11" t="s">
        <v>18</v>
      </c>
      <c r="K1062" s="10" t="s">
        <v>1063</v>
      </c>
    </row>
    <row r="1064" customFormat="false" ht="63.75" hidden="false" customHeight="true" outlineLevel="0" collapsed="false">
      <c r="A1064" s="6" t="s">
        <v>1064</v>
      </c>
      <c r="B1064" s="7" t="s">
        <v>1065</v>
      </c>
      <c r="C1064" s="6" t="s">
        <v>16</v>
      </c>
      <c r="D1064" s="9" t="n">
        <v>1</v>
      </c>
      <c r="E1064" s="8" t="n">
        <v>150</v>
      </c>
      <c r="F1064" s="8" t="n">
        <v>150</v>
      </c>
      <c r="G1064" s="8" t="n">
        <v>150</v>
      </c>
      <c r="H1064" s="8" t="n">
        <v>150</v>
      </c>
    </row>
    <row r="1066" customFormat="false" ht="25.5" hidden="false" customHeight="true" outlineLevel="0" collapsed="false">
      <c r="A1066" s="6" t="s">
        <v>1066</v>
      </c>
      <c r="B1066" s="7" t="s">
        <v>1067</v>
      </c>
      <c r="F1066" s="8" t="n">
        <v>40966.31</v>
      </c>
      <c r="H1066" s="8" t="n">
        <v>40966.25</v>
      </c>
    </row>
    <row r="1068" customFormat="false" ht="12.75" hidden="false" customHeight="true" outlineLevel="0" collapsed="false">
      <c r="A1068" s="6" t="s">
        <v>1068</v>
      </c>
      <c r="B1068" s="7" t="s">
        <v>908</v>
      </c>
      <c r="F1068" s="8" t="n">
        <v>7744.68</v>
      </c>
      <c r="H1068" s="8" t="n">
        <v>7744.63</v>
      </c>
    </row>
    <row r="1070" customFormat="false" ht="140.25" hidden="false" customHeight="true" outlineLevel="0" collapsed="false">
      <c r="A1070" s="6" t="s">
        <v>1069</v>
      </c>
      <c r="B1070" s="7" t="s">
        <v>1070</v>
      </c>
      <c r="C1070" s="6" t="s">
        <v>44</v>
      </c>
      <c r="D1070" s="8" t="n">
        <v>448.52</v>
      </c>
      <c r="E1070" s="8" t="n">
        <v>5.5</v>
      </c>
      <c r="F1070" s="8" t="n">
        <v>2466.86</v>
      </c>
      <c r="G1070" s="8" t="n">
        <v>5.5</v>
      </c>
      <c r="H1070" s="8" t="n">
        <v>2466.86</v>
      </c>
      <c r="I1070" s="14" t="s">
        <v>22</v>
      </c>
      <c r="J1070" s="15" t="s">
        <v>31</v>
      </c>
      <c r="K1070" s="14" t="s">
        <v>1071</v>
      </c>
    </row>
    <row r="1072" customFormat="false" ht="102" hidden="false" customHeight="true" outlineLevel="0" collapsed="false">
      <c r="A1072" s="6" t="s">
        <v>1072</v>
      </c>
      <c r="B1072" s="7" t="s">
        <v>1073</v>
      </c>
      <c r="C1072" s="6" t="s">
        <v>44</v>
      </c>
      <c r="D1072" s="8" t="n">
        <v>66.61</v>
      </c>
      <c r="E1072" s="8" t="n">
        <v>46.66</v>
      </c>
      <c r="F1072" s="8" t="n">
        <v>3108.07</v>
      </c>
      <c r="G1072" s="8" t="n">
        <v>46.66</v>
      </c>
      <c r="H1072" s="8" t="n">
        <v>3108.02</v>
      </c>
    </row>
    <row r="1074" customFormat="false" ht="102" hidden="false" customHeight="true" outlineLevel="0" collapsed="false">
      <c r="A1074" s="6" t="s">
        <v>1074</v>
      </c>
      <c r="B1074" s="7" t="s">
        <v>1075</v>
      </c>
      <c r="C1074" s="6" t="s">
        <v>44</v>
      </c>
      <c r="D1074" s="8" t="n">
        <v>394.5</v>
      </c>
      <c r="E1074" s="8" t="n">
        <v>5.5</v>
      </c>
      <c r="F1074" s="8" t="n">
        <v>2169.75</v>
      </c>
      <c r="G1074" s="8" t="n">
        <v>5.5</v>
      </c>
      <c r="H1074" s="8" t="n">
        <v>2169.75</v>
      </c>
    </row>
    <row r="1076" customFormat="false" ht="12.75" hidden="false" customHeight="true" outlineLevel="0" collapsed="false">
      <c r="A1076" s="6" t="s">
        <v>1076</v>
      </c>
      <c r="B1076" s="7" t="s">
        <v>1077</v>
      </c>
      <c r="F1076" s="8" t="n">
        <v>8045.54</v>
      </c>
      <c r="H1076" s="8" t="n">
        <v>8045.54</v>
      </c>
    </row>
    <row r="1078" customFormat="false" ht="242.25" hidden="false" customHeight="true" outlineLevel="0" collapsed="false">
      <c r="A1078" s="6" t="s">
        <v>1078</v>
      </c>
      <c r="B1078" s="7" t="s">
        <v>1079</v>
      </c>
    </row>
    <row r="1080" customFormat="false" ht="12.75" hidden="false" customHeight="true" outlineLevel="0" collapsed="false">
      <c r="A1080" s="6" t="s">
        <v>1080</v>
      </c>
      <c r="B1080" s="7" t="s">
        <v>930</v>
      </c>
      <c r="C1080" s="6" t="s">
        <v>922</v>
      </c>
      <c r="D1080" s="8" t="n">
        <v>30.14</v>
      </c>
      <c r="E1080" s="8" t="n">
        <v>6.93</v>
      </c>
      <c r="F1080" s="8" t="n">
        <v>208.87</v>
      </c>
      <c r="G1080" s="8" t="n">
        <v>6.93</v>
      </c>
      <c r="H1080" s="8" t="n">
        <v>208.87</v>
      </c>
    </row>
    <row r="1083" customFormat="false" ht="12.75" hidden="false" customHeight="true" outlineLevel="0" collapsed="false">
      <c r="A1083" s="6" t="s">
        <v>1081</v>
      </c>
      <c r="B1083" s="7" t="s">
        <v>970</v>
      </c>
      <c r="C1083" s="6" t="s">
        <v>922</v>
      </c>
      <c r="D1083" s="8" t="n">
        <v>12.6</v>
      </c>
      <c r="E1083" s="8" t="n">
        <v>8.82</v>
      </c>
      <c r="F1083" s="8" t="n">
        <v>111.13</v>
      </c>
      <c r="G1083" s="8" t="n">
        <v>8.82</v>
      </c>
      <c r="H1083" s="8" t="n">
        <v>111.13</v>
      </c>
    </row>
    <row r="1085" customFormat="false" ht="12.75" hidden="false" customHeight="true" outlineLevel="0" collapsed="false">
      <c r="A1085" s="6" t="s">
        <v>1082</v>
      </c>
      <c r="B1085" s="7" t="s">
        <v>932</v>
      </c>
      <c r="C1085" s="6" t="s">
        <v>922</v>
      </c>
      <c r="D1085" s="8" t="n">
        <v>67.2</v>
      </c>
      <c r="E1085" s="8" t="n">
        <v>13.5</v>
      </c>
      <c r="F1085" s="8" t="n">
        <v>907.2</v>
      </c>
      <c r="G1085" s="8" t="n">
        <v>13.5</v>
      </c>
      <c r="H1085" s="8" t="n">
        <v>907.2</v>
      </c>
    </row>
    <row r="1087" customFormat="false" ht="12.75" hidden="false" customHeight="true" outlineLevel="0" collapsed="false">
      <c r="A1087" s="6" t="s">
        <v>1083</v>
      </c>
      <c r="B1087" s="7" t="s">
        <v>934</v>
      </c>
      <c r="C1087" s="6" t="s">
        <v>922</v>
      </c>
      <c r="D1087" s="8" t="n">
        <v>61.11</v>
      </c>
      <c r="E1087" s="8" t="n">
        <v>16.32</v>
      </c>
      <c r="F1087" s="8" t="n">
        <v>997.32</v>
      </c>
      <c r="G1087" s="8" t="n">
        <v>16.32</v>
      </c>
      <c r="H1087" s="8" t="n">
        <v>997.32</v>
      </c>
    </row>
    <row r="1089" customFormat="false" ht="409.5" hidden="false" customHeight="true" outlineLevel="0" collapsed="false">
      <c r="A1089" s="6" t="s">
        <v>1084</v>
      </c>
      <c r="B1089" s="7" t="s">
        <v>1085</v>
      </c>
    </row>
    <row r="1091" customFormat="false" ht="12.75" hidden="false" customHeight="true" outlineLevel="0" collapsed="false">
      <c r="A1091" s="6" t="s">
        <v>1086</v>
      </c>
      <c r="B1091" s="7" t="s">
        <v>932</v>
      </c>
      <c r="C1091" s="6" t="s">
        <v>922</v>
      </c>
      <c r="D1091" s="8" t="n">
        <v>6.83</v>
      </c>
      <c r="E1091" s="8" t="n">
        <v>13.5</v>
      </c>
      <c r="F1091" s="8" t="n">
        <v>92.21</v>
      </c>
      <c r="G1091" s="8" t="n">
        <v>13.5</v>
      </c>
      <c r="H1091" s="8" t="n">
        <v>92.21</v>
      </c>
    </row>
    <row r="1093" customFormat="false" ht="12.75" hidden="false" customHeight="true" outlineLevel="0" collapsed="false">
      <c r="A1093" s="6" t="s">
        <v>1087</v>
      </c>
      <c r="B1093" s="7" t="s">
        <v>934</v>
      </c>
      <c r="C1093" s="6" t="s">
        <v>922</v>
      </c>
      <c r="D1093" s="8" t="n">
        <v>3.15</v>
      </c>
      <c r="E1093" s="8" t="n">
        <v>16.32</v>
      </c>
      <c r="F1093" s="8" t="n">
        <v>51.41</v>
      </c>
      <c r="G1093" s="8" t="n">
        <v>16.32</v>
      </c>
      <c r="H1093" s="8" t="n">
        <v>51.41</v>
      </c>
    </row>
    <row r="1095" customFormat="false" ht="409.5" hidden="false" customHeight="true" outlineLevel="0" collapsed="false">
      <c r="A1095" s="6" t="s">
        <v>1088</v>
      </c>
      <c r="B1095" s="7" t="s">
        <v>1089</v>
      </c>
    </row>
    <row r="1097" customFormat="false" ht="12.75" hidden="false" customHeight="true" outlineLevel="0" collapsed="false">
      <c r="A1097" s="6" t="s">
        <v>1090</v>
      </c>
      <c r="B1097" s="7" t="s">
        <v>983</v>
      </c>
      <c r="C1097" s="6" t="s">
        <v>922</v>
      </c>
      <c r="D1097" s="8" t="n">
        <v>18.48</v>
      </c>
      <c r="E1097" s="8" t="n">
        <v>21.3</v>
      </c>
      <c r="F1097" s="8" t="n">
        <v>393.62</v>
      </c>
      <c r="G1097" s="8" t="n">
        <v>21.3</v>
      </c>
      <c r="H1097" s="8" t="n">
        <v>393.62</v>
      </c>
    </row>
    <row r="1099" customFormat="false" ht="153" hidden="false" customHeight="true" outlineLevel="0" collapsed="false">
      <c r="A1099" s="6" t="s">
        <v>1091</v>
      </c>
      <c r="B1099" s="7" t="s">
        <v>1092</v>
      </c>
    </row>
    <row r="1102" customFormat="false" ht="12.75" hidden="false" customHeight="true" outlineLevel="0" collapsed="false">
      <c r="A1102" s="6" t="s">
        <v>1093</v>
      </c>
      <c r="B1102" s="7" t="s">
        <v>983</v>
      </c>
      <c r="C1102" s="6" t="s">
        <v>922</v>
      </c>
      <c r="D1102" s="8" t="n">
        <v>14.44</v>
      </c>
      <c r="E1102" s="8" t="n">
        <v>10.65</v>
      </c>
      <c r="F1102" s="8" t="n">
        <v>153.79</v>
      </c>
      <c r="G1102" s="8" t="n">
        <v>10.65</v>
      </c>
      <c r="H1102" s="8" t="n">
        <v>153.79</v>
      </c>
    </row>
    <row r="1104" customFormat="false" ht="12.75" hidden="false" customHeight="true" outlineLevel="0" collapsed="false">
      <c r="A1104" s="6" t="s">
        <v>1094</v>
      </c>
      <c r="B1104" s="7" t="s">
        <v>1095</v>
      </c>
      <c r="C1104" s="6" t="s">
        <v>922</v>
      </c>
      <c r="D1104" s="8" t="n">
        <v>24.57</v>
      </c>
      <c r="E1104" s="8" t="n">
        <v>12.09</v>
      </c>
      <c r="F1104" s="8" t="n">
        <v>297.05</v>
      </c>
      <c r="G1104" s="8" t="n">
        <v>12.09</v>
      </c>
      <c r="H1104" s="8" t="n">
        <v>297.05</v>
      </c>
    </row>
    <row r="1106" customFormat="false" ht="12.75" hidden="false" customHeight="true" outlineLevel="0" collapsed="false">
      <c r="A1106" s="6" t="s">
        <v>1096</v>
      </c>
      <c r="B1106" s="7" t="s">
        <v>1097</v>
      </c>
      <c r="C1106" s="6" t="s">
        <v>922</v>
      </c>
      <c r="D1106" s="8" t="n">
        <v>213.62</v>
      </c>
      <c r="E1106" s="8" t="n">
        <v>16.59</v>
      </c>
      <c r="F1106" s="8" t="n">
        <v>3543.96</v>
      </c>
      <c r="G1106" s="8" t="n">
        <v>16.59</v>
      </c>
      <c r="H1106" s="8" t="n">
        <v>3543.96</v>
      </c>
    </row>
    <row r="1108" customFormat="false" ht="255" hidden="false" customHeight="true" outlineLevel="0" collapsed="false">
      <c r="A1108" s="6" t="s">
        <v>1098</v>
      </c>
      <c r="B1108" s="7" t="s">
        <v>1099</v>
      </c>
    </row>
    <row r="1110" customFormat="false" ht="12.75" hidden="false" customHeight="true" outlineLevel="0" collapsed="false">
      <c r="A1110" s="6" t="s">
        <v>1100</v>
      </c>
      <c r="B1110" s="7" t="s">
        <v>934</v>
      </c>
      <c r="C1110" s="6" t="s">
        <v>922</v>
      </c>
      <c r="D1110" s="8" t="n">
        <v>28.82</v>
      </c>
      <c r="E1110" s="8" t="n">
        <v>16.32</v>
      </c>
      <c r="F1110" s="8" t="n">
        <v>470.34</v>
      </c>
      <c r="G1110" s="8" t="n">
        <v>16.32</v>
      </c>
      <c r="H1110" s="8" t="n">
        <v>470.34</v>
      </c>
    </row>
    <row r="1112" customFormat="false" ht="409.5" hidden="false" customHeight="true" outlineLevel="0" collapsed="false">
      <c r="A1112" s="6" t="s">
        <v>1101</v>
      </c>
      <c r="B1112" s="7" t="s">
        <v>1102</v>
      </c>
    </row>
    <row r="1114" customFormat="false" ht="12.75" hidden="false" customHeight="true" outlineLevel="0" collapsed="false">
      <c r="A1114" s="6" t="s">
        <v>1103</v>
      </c>
      <c r="B1114" s="7" t="s">
        <v>983</v>
      </c>
      <c r="C1114" s="6" t="s">
        <v>922</v>
      </c>
      <c r="D1114" s="9" t="n">
        <v>18</v>
      </c>
      <c r="E1114" s="8" t="n">
        <v>21.3</v>
      </c>
      <c r="F1114" s="8" t="n">
        <v>383.4</v>
      </c>
      <c r="G1114" s="8" t="n">
        <v>21.3</v>
      </c>
      <c r="H1114" s="8" t="n">
        <v>383.4</v>
      </c>
    </row>
    <row r="1116" customFormat="false" ht="12.75" hidden="false" customHeight="true" outlineLevel="0" collapsed="false">
      <c r="A1116" s="6" t="s">
        <v>1104</v>
      </c>
      <c r="B1116" s="7" t="s">
        <v>1095</v>
      </c>
      <c r="C1116" s="6" t="s">
        <v>922</v>
      </c>
      <c r="D1116" s="9" t="n">
        <v>18</v>
      </c>
      <c r="E1116" s="8" t="n">
        <v>24.18</v>
      </c>
      <c r="F1116" s="8" t="n">
        <v>435.24</v>
      </c>
      <c r="G1116" s="8" t="n">
        <v>24.18</v>
      </c>
      <c r="H1116" s="8" t="n">
        <v>435.24</v>
      </c>
    </row>
    <row r="1118" customFormat="false" ht="12.75" hidden="false" customHeight="true" outlineLevel="0" collapsed="false">
      <c r="A1118" s="6" t="s">
        <v>1105</v>
      </c>
      <c r="B1118" s="7" t="s">
        <v>1106</v>
      </c>
      <c r="F1118" s="8" t="n">
        <v>15526.09</v>
      </c>
      <c r="H1118" s="8" t="n">
        <v>15526.08</v>
      </c>
    </row>
    <row r="1120" customFormat="false" ht="76.5" hidden="false" customHeight="true" outlineLevel="0" collapsed="false">
      <c r="A1120" s="6" t="s">
        <v>1107</v>
      </c>
      <c r="B1120" s="7" t="s">
        <v>1108</v>
      </c>
      <c r="I1120" s="10" t="s">
        <v>45</v>
      </c>
      <c r="J1120" s="11" t="s">
        <v>18</v>
      </c>
      <c r="K1120" s="10" t="s">
        <v>1109</v>
      </c>
    </row>
    <row r="1122" customFormat="false" ht="12.75" hidden="false" customHeight="true" outlineLevel="0" collapsed="false">
      <c r="A1122" s="6" t="s">
        <v>1110</v>
      </c>
      <c r="B1122" s="7" t="s">
        <v>930</v>
      </c>
      <c r="C1122" s="6" t="s">
        <v>16</v>
      </c>
      <c r="D1122" s="9" t="n">
        <v>24</v>
      </c>
      <c r="E1122" s="8" t="n">
        <v>35</v>
      </c>
      <c r="F1122" s="8" t="n">
        <v>840</v>
      </c>
      <c r="G1122" s="8" t="n">
        <v>35</v>
      </c>
      <c r="H1122" s="8" t="n">
        <v>840</v>
      </c>
    </row>
    <row r="1124" customFormat="false" ht="63.75" hidden="false" customHeight="true" outlineLevel="0" collapsed="false">
      <c r="A1124" s="6" t="s">
        <v>1111</v>
      </c>
      <c r="B1124" s="7" t="s">
        <v>1112</v>
      </c>
      <c r="I1124" s="10" t="s">
        <v>45</v>
      </c>
      <c r="J1124" s="11" t="s">
        <v>18</v>
      </c>
      <c r="K1124" s="10" t="s">
        <v>1113</v>
      </c>
    </row>
    <row r="1126" customFormat="false" ht="12.75" hidden="false" customHeight="true" outlineLevel="0" collapsed="false">
      <c r="A1126" s="6" t="s">
        <v>1114</v>
      </c>
      <c r="B1126" s="7" t="s">
        <v>970</v>
      </c>
      <c r="C1126" s="6" t="s">
        <v>16</v>
      </c>
      <c r="D1126" s="9" t="n">
        <v>7</v>
      </c>
      <c r="E1126" s="8" t="n">
        <v>35</v>
      </c>
      <c r="F1126" s="8" t="n">
        <v>245</v>
      </c>
      <c r="G1126" s="8" t="n">
        <v>35</v>
      </c>
      <c r="H1126" s="8" t="n">
        <v>245</v>
      </c>
    </row>
    <row r="1128" customFormat="false" ht="76.5" hidden="false" customHeight="true" outlineLevel="0" collapsed="false">
      <c r="A1128" s="6" t="s">
        <v>1115</v>
      </c>
      <c r="B1128" s="7" t="s">
        <v>1116</v>
      </c>
    </row>
    <row r="1130" customFormat="false" ht="12.75" hidden="false" customHeight="true" outlineLevel="0" collapsed="false">
      <c r="A1130" s="6" t="s">
        <v>1117</v>
      </c>
      <c r="B1130" s="7" t="s">
        <v>930</v>
      </c>
      <c r="C1130" s="6" t="s">
        <v>16</v>
      </c>
      <c r="D1130" s="9" t="n">
        <v>4</v>
      </c>
      <c r="E1130" s="8" t="n">
        <v>35</v>
      </c>
      <c r="F1130" s="8" t="n">
        <v>140</v>
      </c>
      <c r="G1130" s="8" t="n">
        <v>35</v>
      </c>
      <c r="H1130" s="8" t="n">
        <v>140</v>
      </c>
    </row>
    <row r="1132" customFormat="false" ht="89.25" hidden="false" customHeight="true" outlineLevel="0" collapsed="false">
      <c r="A1132" s="6" t="s">
        <v>1118</v>
      </c>
      <c r="B1132" s="7" t="s">
        <v>1119</v>
      </c>
    </row>
    <row r="1134" customFormat="false" ht="12.75" hidden="false" customHeight="true" outlineLevel="0" collapsed="false">
      <c r="A1134" s="6" t="s">
        <v>1120</v>
      </c>
      <c r="B1134" s="7" t="s">
        <v>970</v>
      </c>
      <c r="C1134" s="6" t="s">
        <v>16</v>
      </c>
      <c r="D1134" s="9" t="n">
        <v>12</v>
      </c>
      <c r="E1134" s="8" t="n">
        <v>41.2</v>
      </c>
      <c r="F1134" s="8" t="n">
        <v>494.4</v>
      </c>
      <c r="G1134" s="8" t="n">
        <v>41.2</v>
      </c>
      <c r="H1134" s="8" t="n">
        <v>494.4</v>
      </c>
    </row>
    <row r="1137" customFormat="false" ht="216.75" hidden="false" customHeight="true" outlineLevel="0" collapsed="false">
      <c r="A1137" s="6" t="s">
        <v>1121</v>
      </c>
      <c r="B1137" s="7" t="s">
        <v>1122</v>
      </c>
    </row>
    <row r="1139" customFormat="false" ht="12.75" hidden="false" customHeight="true" outlineLevel="0" collapsed="false">
      <c r="A1139" s="6" t="s">
        <v>1123</v>
      </c>
      <c r="B1139" s="7" t="s">
        <v>1124</v>
      </c>
      <c r="C1139" s="6" t="s">
        <v>16</v>
      </c>
      <c r="D1139" s="9" t="n">
        <v>10</v>
      </c>
      <c r="E1139" s="8" t="n">
        <v>496.02</v>
      </c>
      <c r="F1139" s="8" t="n">
        <v>4960.2</v>
      </c>
      <c r="G1139" s="8" t="n">
        <v>496.02</v>
      </c>
      <c r="H1139" s="8" t="n">
        <v>4960.2</v>
      </c>
    </row>
    <row r="1141" customFormat="false" ht="204" hidden="false" customHeight="true" outlineLevel="0" collapsed="false">
      <c r="A1141" s="6" t="s">
        <v>1125</v>
      </c>
      <c r="B1141" s="7" t="s">
        <v>1126</v>
      </c>
    </row>
    <row r="1143" customFormat="false" ht="12.75" hidden="false" customHeight="true" outlineLevel="0" collapsed="false">
      <c r="A1143" s="6" t="s">
        <v>1127</v>
      </c>
      <c r="B1143" s="7" t="s">
        <v>1128</v>
      </c>
      <c r="C1143" s="6" t="s">
        <v>16</v>
      </c>
      <c r="D1143" s="9" t="n">
        <v>5</v>
      </c>
      <c r="E1143" s="8" t="n">
        <v>520.82</v>
      </c>
      <c r="F1143" s="8" t="n">
        <v>2604.11</v>
      </c>
      <c r="G1143" s="8" t="n">
        <v>520.82</v>
      </c>
      <c r="H1143" s="8" t="n">
        <v>2604.1</v>
      </c>
      <c r="I1143" s="14" t="s">
        <v>22</v>
      </c>
      <c r="J1143" s="15" t="s">
        <v>31</v>
      </c>
      <c r="K1143" s="14" t="s">
        <v>1129</v>
      </c>
    </row>
    <row r="1145" customFormat="false" ht="127.5" hidden="false" customHeight="true" outlineLevel="0" collapsed="false">
      <c r="A1145" s="6" t="s">
        <v>1130</v>
      </c>
      <c r="B1145" s="7" t="s">
        <v>1131</v>
      </c>
      <c r="C1145" s="6" t="s">
        <v>922</v>
      </c>
      <c r="D1145" s="8" t="n">
        <v>25.6</v>
      </c>
      <c r="E1145" s="8" t="n">
        <v>220</v>
      </c>
      <c r="F1145" s="8" t="n">
        <v>5632</v>
      </c>
      <c r="G1145" s="8" t="n">
        <v>220</v>
      </c>
      <c r="H1145" s="8" t="n">
        <v>5632</v>
      </c>
      <c r="I1145" s="12" t="s">
        <v>45</v>
      </c>
      <c r="J1145" s="13" t="s">
        <v>23</v>
      </c>
      <c r="K1145" s="12" t="s">
        <v>1132</v>
      </c>
    </row>
    <row r="1147" customFormat="false" ht="127.5" hidden="false" customHeight="true" outlineLevel="0" collapsed="false">
      <c r="A1147" s="6" t="s">
        <v>1133</v>
      </c>
      <c r="B1147" s="7" t="s">
        <v>1134</v>
      </c>
      <c r="C1147" s="6" t="s">
        <v>16</v>
      </c>
      <c r="D1147" s="9" t="n">
        <v>11</v>
      </c>
      <c r="E1147" s="8" t="n">
        <v>30</v>
      </c>
      <c r="F1147" s="8" t="n">
        <v>330</v>
      </c>
      <c r="G1147" s="8" t="n">
        <v>30</v>
      </c>
      <c r="H1147" s="8" t="n">
        <v>330</v>
      </c>
    </row>
    <row r="1149" customFormat="false" ht="127.5" hidden="false" customHeight="true" outlineLevel="0" collapsed="false">
      <c r="A1149" s="6" t="s">
        <v>1135</v>
      </c>
      <c r="B1149" s="7" t="s">
        <v>1136</v>
      </c>
    </row>
    <row r="1151" customFormat="false" ht="12.75" hidden="false" customHeight="true" outlineLevel="0" collapsed="false">
      <c r="A1151" s="6" t="s">
        <v>1137</v>
      </c>
      <c r="B1151" s="7" t="s">
        <v>932</v>
      </c>
      <c r="C1151" s="6" t="s">
        <v>16</v>
      </c>
      <c r="D1151" s="9" t="n">
        <v>2</v>
      </c>
      <c r="E1151" s="8" t="n">
        <v>19</v>
      </c>
      <c r="F1151" s="8" t="n">
        <v>38</v>
      </c>
      <c r="G1151" s="8" t="n">
        <v>19</v>
      </c>
      <c r="H1151" s="8" t="n">
        <v>38</v>
      </c>
    </row>
    <row r="1153" customFormat="false" ht="12.75" hidden="false" customHeight="true" outlineLevel="0" collapsed="false">
      <c r="A1153" s="6" t="s">
        <v>1138</v>
      </c>
      <c r="B1153" s="7" t="s">
        <v>934</v>
      </c>
      <c r="C1153" s="6" t="s">
        <v>16</v>
      </c>
      <c r="D1153" s="9" t="n">
        <v>1</v>
      </c>
      <c r="E1153" s="8" t="n">
        <v>21</v>
      </c>
      <c r="F1153" s="8" t="n">
        <v>21</v>
      </c>
      <c r="G1153" s="8" t="n">
        <v>21</v>
      </c>
      <c r="H1153" s="8" t="n">
        <v>21</v>
      </c>
    </row>
    <row r="1155" customFormat="false" ht="12.75" hidden="false" customHeight="true" outlineLevel="0" collapsed="false">
      <c r="A1155" s="6" t="s">
        <v>1139</v>
      </c>
      <c r="B1155" s="7" t="s">
        <v>983</v>
      </c>
      <c r="C1155" s="6" t="s">
        <v>16</v>
      </c>
      <c r="D1155" s="9" t="n">
        <v>6</v>
      </c>
      <c r="E1155" s="8" t="n">
        <v>23</v>
      </c>
      <c r="F1155" s="8" t="n">
        <v>138</v>
      </c>
      <c r="G1155" s="8" t="n">
        <v>23</v>
      </c>
      <c r="H1155" s="8" t="n">
        <v>138</v>
      </c>
    </row>
    <row r="1157" customFormat="false" ht="153" hidden="false" customHeight="true" outlineLevel="0" collapsed="false">
      <c r="A1157" s="6" t="s">
        <v>1140</v>
      </c>
      <c r="B1157" s="7" t="s">
        <v>1141</v>
      </c>
    </row>
    <row r="1159" customFormat="false" ht="12.75" hidden="false" customHeight="true" outlineLevel="0" collapsed="false">
      <c r="A1159" s="6" t="s">
        <v>1142</v>
      </c>
      <c r="B1159" s="7" t="s">
        <v>1143</v>
      </c>
      <c r="C1159" s="6" t="s">
        <v>16</v>
      </c>
      <c r="D1159" s="9" t="n">
        <v>2</v>
      </c>
      <c r="E1159" s="8" t="n">
        <v>18.84</v>
      </c>
      <c r="F1159" s="8" t="n">
        <v>37.68</v>
      </c>
      <c r="G1159" s="8" t="n">
        <v>18.84</v>
      </c>
      <c r="H1159" s="8" t="n">
        <v>37.68</v>
      </c>
    </row>
    <row r="1161" customFormat="false" ht="12.75" hidden="false" customHeight="true" outlineLevel="0" collapsed="false">
      <c r="A1161" s="6" t="s">
        <v>1144</v>
      </c>
      <c r="B1161" s="7" t="s">
        <v>1145</v>
      </c>
      <c r="C1161" s="6" t="s">
        <v>16</v>
      </c>
      <c r="D1161" s="9" t="n">
        <v>1</v>
      </c>
      <c r="E1161" s="8" t="n">
        <v>20</v>
      </c>
      <c r="F1161" s="8" t="n">
        <v>20</v>
      </c>
      <c r="G1161" s="8" t="n">
        <v>20</v>
      </c>
      <c r="H1161" s="8" t="n">
        <v>20</v>
      </c>
    </row>
    <row r="1163" customFormat="false" ht="12.75" hidden="false" customHeight="true" outlineLevel="0" collapsed="false">
      <c r="A1163" s="6" t="s">
        <v>1146</v>
      </c>
      <c r="B1163" s="7" t="s">
        <v>1095</v>
      </c>
      <c r="C1163" s="6" t="s">
        <v>16</v>
      </c>
      <c r="D1163" s="9" t="n">
        <v>1</v>
      </c>
      <c r="E1163" s="8" t="n">
        <v>25.7</v>
      </c>
      <c r="F1163" s="8" t="n">
        <v>25.7</v>
      </c>
      <c r="G1163" s="8" t="n">
        <v>25.7</v>
      </c>
      <c r="H1163" s="8" t="n">
        <v>25.7</v>
      </c>
    </row>
    <row r="1165" customFormat="false" ht="25.5" hidden="false" customHeight="true" outlineLevel="0" collapsed="false">
      <c r="A1165" s="6" t="s">
        <v>1147</v>
      </c>
      <c r="B1165" s="7" t="s">
        <v>1148</v>
      </c>
      <c r="F1165" s="8" t="n">
        <v>9650</v>
      </c>
      <c r="H1165" s="8" t="n">
        <v>9650</v>
      </c>
    </row>
    <row r="1167" customFormat="false" ht="293.25" hidden="false" customHeight="true" outlineLevel="0" collapsed="false">
      <c r="A1167" s="6" t="s">
        <v>1149</v>
      </c>
      <c r="B1167" s="7" t="s">
        <v>1150</v>
      </c>
      <c r="C1167" s="6" t="s">
        <v>16</v>
      </c>
      <c r="D1167" s="9" t="n">
        <v>1</v>
      </c>
      <c r="E1167" s="8" t="n">
        <v>750</v>
      </c>
      <c r="F1167" s="8" t="n">
        <v>750</v>
      </c>
      <c r="G1167" s="8" t="n">
        <v>750</v>
      </c>
      <c r="H1167" s="8" t="n">
        <v>750</v>
      </c>
    </row>
    <row r="1170" customFormat="false" ht="140.25" hidden="false" customHeight="true" outlineLevel="0" collapsed="false">
      <c r="A1170" s="6" t="s">
        <v>1151</v>
      </c>
      <c r="B1170" s="7" t="s">
        <v>1152</v>
      </c>
      <c r="C1170" s="6" t="s">
        <v>16</v>
      </c>
      <c r="D1170" s="9" t="n">
        <v>1</v>
      </c>
      <c r="E1170" s="8" t="n">
        <v>7500</v>
      </c>
      <c r="F1170" s="8" t="n">
        <v>7500</v>
      </c>
      <c r="G1170" s="8" t="n">
        <v>7500</v>
      </c>
      <c r="H1170" s="8" t="n">
        <v>7500</v>
      </c>
    </row>
    <row r="1172" customFormat="false" ht="153" hidden="false" customHeight="true" outlineLevel="0" collapsed="false">
      <c r="A1172" s="6" t="s">
        <v>1153</v>
      </c>
      <c r="B1172" s="7" t="s">
        <v>1154</v>
      </c>
      <c r="C1172" s="6" t="s">
        <v>16</v>
      </c>
      <c r="D1172" s="9" t="n">
        <v>1</v>
      </c>
      <c r="E1172" s="8" t="n">
        <v>750</v>
      </c>
      <c r="F1172" s="8" t="n">
        <v>750</v>
      </c>
      <c r="G1172" s="8" t="n">
        <v>750</v>
      </c>
      <c r="H1172" s="8" t="n">
        <v>750</v>
      </c>
    </row>
    <row r="1174" customFormat="false" ht="89.25" hidden="false" customHeight="true" outlineLevel="0" collapsed="false">
      <c r="A1174" s="6" t="s">
        <v>1155</v>
      </c>
      <c r="B1174" s="7" t="s">
        <v>1156</v>
      </c>
      <c r="C1174" s="6" t="s">
        <v>1157</v>
      </c>
      <c r="D1174" s="9" t="n">
        <v>1</v>
      </c>
      <c r="E1174" s="8" t="n">
        <v>400</v>
      </c>
      <c r="F1174" s="8" t="n">
        <v>400</v>
      </c>
      <c r="G1174" s="8" t="n">
        <v>400</v>
      </c>
      <c r="H1174" s="8" t="n">
        <v>400</v>
      </c>
    </row>
    <row r="1176" customFormat="false" ht="89.25" hidden="false" customHeight="true" outlineLevel="0" collapsed="false">
      <c r="A1176" s="6" t="s">
        <v>1158</v>
      </c>
      <c r="B1176" s="7" t="s">
        <v>1159</v>
      </c>
      <c r="C1176" s="6" t="s">
        <v>1157</v>
      </c>
      <c r="D1176" s="9" t="n">
        <v>1</v>
      </c>
      <c r="E1176" s="8" t="n">
        <v>100</v>
      </c>
      <c r="F1176" s="8" t="n">
        <v>100</v>
      </c>
      <c r="G1176" s="8" t="n">
        <v>100</v>
      </c>
      <c r="H1176" s="8" t="n">
        <v>100</v>
      </c>
      <c r="I1176" s="10" t="s">
        <v>22</v>
      </c>
      <c r="J1176" s="11" t="s">
        <v>18</v>
      </c>
      <c r="K1176" s="10" t="s">
        <v>1160</v>
      </c>
    </row>
    <row r="1178" customFormat="false" ht="63.75" hidden="false" customHeight="true" outlineLevel="0" collapsed="false">
      <c r="A1178" s="6" t="s">
        <v>1161</v>
      </c>
      <c r="B1178" s="7" t="s">
        <v>1162</v>
      </c>
      <c r="C1178" s="6" t="s">
        <v>1157</v>
      </c>
      <c r="D1178" s="9" t="n">
        <v>1</v>
      </c>
      <c r="E1178" s="8" t="n">
        <v>150</v>
      </c>
      <c r="F1178" s="8" t="n">
        <v>150</v>
      </c>
      <c r="G1178" s="8" t="n">
        <v>150</v>
      </c>
      <c r="H1178" s="8" t="n">
        <v>150</v>
      </c>
    </row>
    <row r="1180" customFormat="false" ht="12.75" hidden="false" customHeight="true" outlineLevel="0" collapsed="false">
      <c r="A1180" s="6" t="s">
        <v>1163</v>
      </c>
      <c r="B1180" s="7" t="s">
        <v>1164</v>
      </c>
      <c r="F1180" s="8" t="n">
        <v>128757.01</v>
      </c>
      <c r="H1180" s="8" t="n">
        <v>128756.93</v>
      </c>
    </row>
    <row r="1182" customFormat="false" ht="12.75" hidden="false" customHeight="true" outlineLevel="0" collapsed="false">
      <c r="A1182" s="6" t="s">
        <v>1165</v>
      </c>
      <c r="B1182" s="7" t="s">
        <v>283</v>
      </c>
      <c r="F1182" s="8" t="n">
        <v>14809.46</v>
      </c>
      <c r="H1182" s="8" t="n">
        <v>14809.34</v>
      </c>
    </row>
    <row r="1184" customFormat="false" ht="191.25" hidden="false" customHeight="true" outlineLevel="0" collapsed="false">
      <c r="A1184" s="6" t="s">
        <v>1166</v>
      </c>
      <c r="B1184" s="7" t="s">
        <v>1167</v>
      </c>
      <c r="C1184" s="6" t="s">
        <v>44</v>
      </c>
      <c r="D1184" s="8" t="n">
        <v>708.21</v>
      </c>
      <c r="E1184" s="8" t="n">
        <v>5.5</v>
      </c>
      <c r="F1184" s="8" t="n">
        <v>3895.16</v>
      </c>
      <c r="G1184" s="8" t="n">
        <v>5.5</v>
      </c>
      <c r="H1184" s="8" t="n">
        <v>3895.16</v>
      </c>
      <c r="I1184" s="12" t="s">
        <v>22</v>
      </c>
      <c r="J1184" s="13" t="s">
        <v>23</v>
      </c>
      <c r="K1184" s="12" t="s">
        <v>1168</v>
      </c>
    </row>
    <row r="1186" customFormat="false" ht="102" hidden="false" customHeight="true" outlineLevel="0" collapsed="false">
      <c r="A1186" s="6" t="s">
        <v>1169</v>
      </c>
      <c r="B1186" s="7" t="s">
        <v>1170</v>
      </c>
      <c r="C1186" s="6" t="s">
        <v>44</v>
      </c>
      <c r="D1186" s="8" t="n">
        <v>170.53</v>
      </c>
      <c r="E1186" s="8" t="n">
        <v>46.66</v>
      </c>
      <c r="F1186" s="8" t="n">
        <v>7957.05</v>
      </c>
      <c r="G1186" s="8" t="n">
        <v>46.66</v>
      </c>
      <c r="H1186" s="8" t="n">
        <v>7956.93</v>
      </c>
    </row>
    <row r="1188" customFormat="false" ht="102" hidden="false" customHeight="true" outlineLevel="0" collapsed="false">
      <c r="A1188" s="6" t="s">
        <v>1171</v>
      </c>
      <c r="B1188" s="7" t="s">
        <v>1075</v>
      </c>
      <c r="C1188" s="6" t="s">
        <v>44</v>
      </c>
      <c r="D1188" s="18" t="n">
        <v>537.682</v>
      </c>
      <c r="E1188" s="8" t="n">
        <v>5.5</v>
      </c>
      <c r="F1188" s="8" t="n">
        <v>2957.25</v>
      </c>
      <c r="G1188" s="8" t="n">
        <v>5.5</v>
      </c>
      <c r="H1188" s="8" t="n">
        <v>2957.25</v>
      </c>
    </row>
    <row r="1190" customFormat="false" ht="12.75" hidden="false" customHeight="true" outlineLevel="0" collapsed="false">
      <c r="A1190" s="6" t="s">
        <v>1172</v>
      </c>
      <c r="B1190" s="7" t="s">
        <v>917</v>
      </c>
      <c r="F1190" s="8" t="n">
        <v>105197.55</v>
      </c>
      <c r="H1190" s="8" t="n">
        <v>105197.59</v>
      </c>
    </row>
    <row r="1192" customFormat="false" ht="409.5" hidden="false" customHeight="true" outlineLevel="0" collapsed="false">
      <c r="A1192" s="6" t="s">
        <v>1173</v>
      </c>
      <c r="B1192" s="7" t="s">
        <v>1174</v>
      </c>
    </row>
    <row r="1195" customFormat="false" ht="12.75" hidden="false" customHeight="true" outlineLevel="0" collapsed="false">
      <c r="A1195" s="6" t="s">
        <v>1175</v>
      </c>
      <c r="B1195" s="7" t="s">
        <v>932</v>
      </c>
      <c r="C1195" s="6" t="s">
        <v>922</v>
      </c>
      <c r="D1195" s="8" t="n">
        <v>9.19</v>
      </c>
      <c r="E1195" s="8" t="n">
        <v>13.5</v>
      </c>
      <c r="F1195" s="8" t="n">
        <v>124.07</v>
      </c>
      <c r="G1195" s="8" t="n">
        <v>13.5</v>
      </c>
      <c r="H1195" s="8" t="n">
        <v>124.07</v>
      </c>
    </row>
    <row r="1197" customFormat="false" ht="12.75" hidden="false" customHeight="true" outlineLevel="0" collapsed="false">
      <c r="A1197" s="6" t="s">
        <v>1176</v>
      </c>
      <c r="B1197" s="7" t="s">
        <v>934</v>
      </c>
      <c r="C1197" s="6" t="s">
        <v>922</v>
      </c>
      <c r="D1197" s="8" t="n">
        <v>5.3</v>
      </c>
      <c r="E1197" s="8" t="n">
        <v>16.32</v>
      </c>
      <c r="F1197" s="8" t="n">
        <v>86.5</v>
      </c>
      <c r="G1197" s="8" t="n">
        <v>16.32</v>
      </c>
      <c r="H1197" s="8" t="n">
        <v>86.5</v>
      </c>
    </row>
    <row r="1199" customFormat="false" ht="12.75" hidden="false" customHeight="true" outlineLevel="0" collapsed="false">
      <c r="A1199" s="6" t="s">
        <v>1177</v>
      </c>
      <c r="B1199" s="7" t="s">
        <v>1095</v>
      </c>
      <c r="C1199" s="6" t="s">
        <v>922</v>
      </c>
      <c r="D1199" s="8" t="n">
        <v>10.92</v>
      </c>
      <c r="E1199" s="8" t="n">
        <v>24.18</v>
      </c>
      <c r="F1199" s="8" t="n">
        <v>264.05</v>
      </c>
      <c r="G1199" s="8" t="n">
        <v>24.18</v>
      </c>
      <c r="H1199" s="8" t="n">
        <v>264.05</v>
      </c>
    </row>
    <row r="1201" customFormat="false" ht="409.5" hidden="false" customHeight="true" outlineLevel="0" collapsed="false">
      <c r="A1201" s="6" t="s">
        <v>1178</v>
      </c>
      <c r="B1201" s="7" t="s">
        <v>1179</v>
      </c>
      <c r="I1201" s="10" t="s">
        <v>4</v>
      </c>
      <c r="J1201" s="11" t="s">
        <v>18</v>
      </c>
      <c r="K1201" s="10" t="s">
        <v>1180</v>
      </c>
    </row>
    <row r="1203" customFormat="false" ht="12.75" hidden="false" customHeight="true" outlineLevel="0" collapsed="false">
      <c r="A1203" s="6" t="s">
        <v>1181</v>
      </c>
      <c r="B1203" s="7" t="s">
        <v>983</v>
      </c>
      <c r="C1203" s="6" t="s">
        <v>922</v>
      </c>
      <c r="D1203" s="8" t="n">
        <v>3.78</v>
      </c>
      <c r="E1203" s="8" t="n">
        <v>21.3</v>
      </c>
      <c r="F1203" s="8" t="n">
        <v>80.51</v>
      </c>
      <c r="G1203" s="8" t="n">
        <v>21.3</v>
      </c>
      <c r="H1203" s="8" t="n">
        <v>80.51</v>
      </c>
    </row>
    <row r="1205" customFormat="false" ht="12.75" hidden="false" customHeight="true" outlineLevel="0" collapsed="false">
      <c r="A1205" s="6" t="s">
        <v>1182</v>
      </c>
      <c r="B1205" s="7" t="s">
        <v>1095</v>
      </c>
      <c r="C1205" s="6" t="s">
        <v>922</v>
      </c>
      <c r="D1205" s="8" t="n">
        <v>16.33</v>
      </c>
      <c r="E1205" s="8" t="n">
        <v>24.18</v>
      </c>
      <c r="F1205" s="8" t="n">
        <v>394.86</v>
      </c>
      <c r="G1205" s="8" t="n">
        <v>24.18</v>
      </c>
      <c r="H1205" s="8" t="n">
        <v>394.86</v>
      </c>
    </row>
    <row r="1207" customFormat="false" ht="12.75" hidden="false" customHeight="true" outlineLevel="0" collapsed="false">
      <c r="A1207" s="6" t="s">
        <v>1183</v>
      </c>
      <c r="B1207" s="7" t="s">
        <v>1097</v>
      </c>
      <c r="C1207" s="6" t="s">
        <v>922</v>
      </c>
      <c r="D1207" s="8" t="n">
        <v>1.05</v>
      </c>
      <c r="E1207" s="8" t="n">
        <v>33.18</v>
      </c>
      <c r="F1207" s="8" t="n">
        <v>34.84</v>
      </c>
      <c r="G1207" s="8" t="n">
        <v>33.18</v>
      </c>
      <c r="H1207" s="8" t="n">
        <v>34.84</v>
      </c>
    </row>
    <row r="1209" customFormat="false" ht="395.25" hidden="false" customHeight="true" outlineLevel="0" collapsed="false">
      <c r="A1209" s="6" t="s">
        <v>1184</v>
      </c>
      <c r="B1209" s="7" t="s">
        <v>1185</v>
      </c>
    </row>
    <row r="1211" customFormat="false" ht="12.75" hidden="false" customHeight="true" outlineLevel="0" collapsed="false">
      <c r="A1211" s="6" t="s">
        <v>1186</v>
      </c>
      <c r="B1211" s="7" t="s">
        <v>972</v>
      </c>
      <c r="C1211" s="6" t="s">
        <v>922</v>
      </c>
      <c r="D1211" s="8" t="n">
        <v>28.35</v>
      </c>
      <c r="E1211" s="8" t="n">
        <v>39.18</v>
      </c>
      <c r="F1211" s="8" t="n">
        <v>1110.75</v>
      </c>
      <c r="G1211" s="8" t="n">
        <v>39.18</v>
      </c>
      <c r="H1211" s="8" t="n">
        <v>1110.75</v>
      </c>
    </row>
    <row r="1213" customFormat="false" ht="12.75" hidden="false" customHeight="true" outlineLevel="0" collapsed="false">
      <c r="A1213" s="6" t="s">
        <v>1187</v>
      </c>
      <c r="B1213" s="7" t="s">
        <v>974</v>
      </c>
      <c r="C1213" s="6" t="s">
        <v>922</v>
      </c>
      <c r="D1213" s="8" t="n">
        <v>19.74</v>
      </c>
      <c r="E1213" s="8" t="n">
        <v>50.82</v>
      </c>
      <c r="F1213" s="8" t="n">
        <v>1003.19</v>
      </c>
      <c r="G1213" s="8" t="n">
        <v>50.82</v>
      </c>
      <c r="H1213" s="8" t="n">
        <v>1003.19</v>
      </c>
    </row>
    <row r="1215" customFormat="false" ht="12.75" hidden="false" customHeight="true" outlineLevel="0" collapsed="false">
      <c r="A1215" s="6" t="s">
        <v>1188</v>
      </c>
      <c r="B1215" s="7" t="s">
        <v>976</v>
      </c>
      <c r="C1215" s="6" t="s">
        <v>922</v>
      </c>
      <c r="D1215" s="8" t="n">
        <v>19.95</v>
      </c>
      <c r="E1215" s="8" t="n">
        <v>67.14</v>
      </c>
      <c r="F1215" s="8" t="n">
        <v>1339.44</v>
      </c>
      <c r="G1215" s="8" t="n">
        <v>67.14</v>
      </c>
      <c r="H1215" s="8" t="n">
        <v>1339.44</v>
      </c>
    </row>
    <row r="1217" customFormat="false" ht="12.75" hidden="false" customHeight="true" outlineLevel="0" collapsed="false">
      <c r="A1217" s="6" t="s">
        <v>1189</v>
      </c>
      <c r="B1217" s="7" t="s">
        <v>1095</v>
      </c>
      <c r="C1217" s="6" t="s">
        <v>922</v>
      </c>
      <c r="D1217" s="8" t="n">
        <v>16.8</v>
      </c>
      <c r="E1217" s="8" t="n">
        <v>90.78</v>
      </c>
      <c r="F1217" s="8" t="n">
        <v>1525.1</v>
      </c>
      <c r="G1217" s="8" t="n">
        <v>90.78</v>
      </c>
      <c r="H1217" s="8" t="n">
        <v>1525.1</v>
      </c>
    </row>
    <row r="1219" customFormat="false" ht="12.75" hidden="false" customHeight="true" outlineLevel="0" collapsed="false">
      <c r="A1219" s="6" t="s">
        <v>1190</v>
      </c>
      <c r="B1219" s="7" t="s">
        <v>1191</v>
      </c>
      <c r="C1219" s="6" t="s">
        <v>922</v>
      </c>
      <c r="D1219" s="8" t="n">
        <v>12.6</v>
      </c>
      <c r="E1219" s="8" t="n">
        <v>108.5</v>
      </c>
      <c r="F1219" s="8" t="n">
        <v>1367.1</v>
      </c>
      <c r="G1219" s="8" t="n">
        <v>108.5</v>
      </c>
      <c r="H1219" s="8" t="n">
        <v>1367.1</v>
      </c>
    </row>
    <row r="1221" customFormat="false" ht="12.75" hidden="false" customHeight="true" outlineLevel="0" collapsed="false">
      <c r="A1221" s="6" t="s">
        <v>1192</v>
      </c>
      <c r="B1221" s="7" t="s">
        <v>1193</v>
      </c>
      <c r="C1221" s="6" t="s">
        <v>922</v>
      </c>
      <c r="D1221" s="8" t="n">
        <v>8.4</v>
      </c>
      <c r="E1221" s="8" t="n">
        <v>147.46</v>
      </c>
      <c r="F1221" s="8" t="n">
        <v>1238.66</v>
      </c>
      <c r="G1221" s="8" t="n">
        <v>147.46</v>
      </c>
      <c r="H1221" s="8" t="n">
        <v>1238.66</v>
      </c>
    </row>
    <row r="1223" customFormat="false" ht="409.5" hidden="false" customHeight="true" outlineLevel="0" collapsed="false">
      <c r="A1223" s="6" t="s">
        <v>1194</v>
      </c>
      <c r="B1223" s="7" t="s">
        <v>1195</v>
      </c>
    </row>
    <row r="1226" customFormat="false" ht="12.75" hidden="false" customHeight="true" outlineLevel="0" collapsed="false">
      <c r="A1226" s="6" t="s">
        <v>1196</v>
      </c>
      <c r="B1226" s="7" t="s">
        <v>1095</v>
      </c>
      <c r="C1226" s="6" t="s">
        <v>922</v>
      </c>
      <c r="D1226" s="8" t="n">
        <v>76.97</v>
      </c>
      <c r="E1226" s="8" t="n">
        <v>24.18</v>
      </c>
      <c r="F1226" s="8" t="n">
        <v>1861.13</v>
      </c>
      <c r="G1226" s="8" t="n">
        <v>24.18</v>
      </c>
      <c r="H1226" s="8" t="n">
        <v>1861.13</v>
      </c>
    </row>
    <row r="1228" customFormat="false" ht="12.75" hidden="false" customHeight="true" outlineLevel="0" collapsed="false">
      <c r="A1228" s="6" t="s">
        <v>1197</v>
      </c>
      <c r="B1228" s="7" t="s">
        <v>1097</v>
      </c>
      <c r="C1228" s="6" t="s">
        <v>922</v>
      </c>
      <c r="D1228" s="8" t="n">
        <v>71.82</v>
      </c>
      <c r="E1228" s="8" t="n">
        <v>33.18</v>
      </c>
      <c r="F1228" s="8" t="n">
        <v>2382.99</v>
      </c>
      <c r="G1228" s="8" t="n">
        <v>33.18</v>
      </c>
      <c r="H1228" s="8" t="n">
        <v>2382.99</v>
      </c>
    </row>
    <row r="1230" customFormat="false" ht="127.5" hidden="false" customHeight="true" outlineLevel="0" collapsed="false">
      <c r="A1230" s="6" t="s">
        <v>1198</v>
      </c>
      <c r="B1230" s="7" t="s">
        <v>1199</v>
      </c>
    </row>
    <row r="1232" customFormat="false" ht="12.75" hidden="false" customHeight="true" outlineLevel="0" collapsed="false">
      <c r="A1232" s="6" t="s">
        <v>1200</v>
      </c>
      <c r="B1232" s="7" t="s">
        <v>983</v>
      </c>
      <c r="C1232" s="6" t="s">
        <v>922</v>
      </c>
      <c r="D1232" s="8" t="n">
        <v>56.42</v>
      </c>
      <c r="E1232" s="8" t="n">
        <v>10.65</v>
      </c>
      <c r="F1232" s="8" t="n">
        <v>600.87</v>
      </c>
      <c r="G1232" s="8" t="n">
        <v>10.65</v>
      </c>
      <c r="H1232" s="8" t="n">
        <v>600.87</v>
      </c>
    </row>
    <row r="1234" customFormat="false" ht="12.75" hidden="false" customHeight="true" outlineLevel="0" collapsed="false">
      <c r="A1234" s="6" t="s">
        <v>1201</v>
      </c>
      <c r="B1234" s="7" t="s">
        <v>1095</v>
      </c>
      <c r="C1234" s="6" t="s">
        <v>922</v>
      </c>
      <c r="D1234" s="8" t="n">
        <v>46.25</v>
      </c>
      <c r="E1234" s="8" t="n">
        <v>12.09</v>
      </c>
      <c r="F1234" s="8" t="n">
        <v>559.16</v>
      </c>
      <c r="G1234" s="8" t="n">
        <v>12.09</v>
      </c>
      <c r="H1234" s="8" t="n">
        <v>559.16</v>
      </c>
    </row>
    <row r="1236" customFormat="false" ht="12.75" hidden="false" customHeight="true" outlineLevel="0" collapsed="false">
      <c r="A1236" s="6" t="s">
        <v>1202</v>
      </c>
      <c r="B1236" s="7" t="s">
        <v>1097</v>
      </c>
      <c r="C1236" s="6" t="s">
        <v>922</v>
      </c>
      <c r="D1236" s="8" t="n">
        <v>134.35</v>
      </c>
      <c r="E1236" s="8" t="n">
        <v>16.59</v>
      </c>
      <c r="F1236" s="8" t="n">
        <v>2228.87</v>
      </c>
      <c r="G1236" s="8" t="n">
        <v>16.59</v>
      </c>
      <c r="H1236" s="8" t="n">
        <v>2228.87</v>
      </c>
    </row>
    <row r="1238" customFormat="false" ht="12.75" hidden="false" customHeight="true" outlineLevel="0" collapsed="false">
      <c r="A1238" s="6" t="s">
        <v>1203</v>
      </c>
      <c r="B1238" s="7" t="s">
        <v>1193</v>
      </c>
      <c r="C1238" s="6" t="s">
        <v>922</v>
      </c>
      <c r="D1238" s="8" t="n">
        <v>69.32</v>
      </c>
      <c r="E1238" s="8" t="n">
        <v>25.32</v>
      </c>
      <c r="F1238" s="8" t="n">
        <v>1755.18</v>
      </c>
      <c r="G1238" s="8" t="n">
        <v>25.32</v>
      </c>
      <c r="H1238" s="8" t="n">
        <v>1755.18</v>
      </c>
    </row>
    <row r="1240" customFormat="false" ht="12.75" hidden="false" customHeight="true" outlineLevel="0" collapsed="false">
      <c r="A1240" s="6" t="s">
        <v>1204</v>
      </c>
      <c r="B1240" s="7" t="s">
        <v>1205</v>
      </c>
      <c r="C1240" s="6" t="s">
        <v>922</v>
      </c>
      <c r="D1240" s="8" t="n">
        <v>25.58</v>
      </c>
      <c r="E1240" s="8" t="n">
        <v>39.75</v>
      </c>
      <c r="F1240" s="8" t="n">
        <v>1016.81</v>
      </c>
      <c r="G1240" s="8" t="n">
        <v>39.75</v>
      </c>
      <c r="H1240" s="8" t="n">
        <v>1016.81</v>
      </c>
    </row>
    <row r="1242" customFormat="false" ht="12.75" hidden="false" customHeight="true" outlineLevel="0" collapsed="false">
      <c r="A1242" s="6" t="s">
        <v>1206</v>
      </c>
      <c r="B1242" s="7" t="s">
        <v>1207</v>
      </c>
      <c r="C1242" s="6" t="s">
        <v>922</v>
      </c>
      <c r="D1242" s="8" t="n">
        <v>185.97</v>
      </c>
      <c r="E1242" s="8" t="n">
        <v>63.38</v>
      </c>
      <c r="F1242" s="8" t="n">
        <v>11786.78</v>
      </c>
      <c r="G1242" s="8" t="n">
        <v>63.38</v>
      </c>
      <c r="H1242" s="8" t="n">
        <v>11786.78</v>
      </c>
    </row>
    <row r="1244" customFormat="false" ht="12.75" hidden="false" customHeight="true" outlineLevel="0" collapsed="false">
      <c r="A1244" s="6" t="s">
        <v>1208</v>
      </c>
      <c r="B1244" s="7" t="s">
        <v>1209</v>
      </c>
      <c r="C1244" s="6" t="s">
        <v>922</v>
      </c>
      <c r="D1244" s="8" t="n">
        <v>48.3</v>
      </c>
      <c r="E1244" s="8" t="n">
        <v>45.24</v>
      </c>
      <c r="F1244" s="8" t="n">
        <v>2185.09</v>
      </c>
      <c r="G1244" s="8" t="n">
        <v>45.24</v>
      </c>
      <c r="H1244" s="8" t="n">
        <v>2185.09</v>
      </c>
      <c r="I1244" s="14" t="s">
        <v>62</v>
      </c>
      <c r="J1244" s="15" t="s">
        <v>31</v>
      </c>
      <c r="K1244" s="14" t="s">
        <v>1210</v>
      </c>
    </row>
    <row r="1246" customFormat="false" ht="153" hidden="false" customHeight="true" outlineLevel="0" collapsed="false">
      <c r="A1246" s="6" t="s">
        <v>1211</v>
      </c>
      <c r="B1246" s="7" t="s">
        <v>1212</v>
      </c>
    </row>
    <row r="1248" customFormat="false" ht="12.75" hidden="false" customHeight="true" outlineLevel="0" collapsed="false">
      <c r="A1248" s="6" t="s">
        <v>1213</v>
      </c>
      <c r="B1248" s="7" t="s">
        <v>1214</v>
      </c>
      <c r="C1248" s="6" t="s">
        <v>922</v>
      </c>
      <c r="D1248" s="8" t="n">
        <v>11.3</v>
      </c>
      <c r="E1248" s="8" t="n">
        <v>65</v>
      </c>
      <c r="F1248" s="8" t="n">
        <v>734.5</v>
      </c>
      <c r="G1248" s="8" t="n">
        <v>65</v>
      </c>
      <c r="H1248" s="8" t="n">
        <v>734.5</v>
      </c>
    </row>
    <row r="1250" customFormat="false" ht="12.75" hidden="false" customHeight="true" outlineLevel="0" collapsed="false">
      <c r="A1250" s="6" t="s">
        <v>1215</v>
      </c>
      <c r="B1250" s="7" t="s">
        <v>1216</v>
      </c>
      <c r="C1250" s="6" t="s">
        <v>922</v>
      </c>
      <c r="D1250" s="8" t="n">
        <v>4.5</v>
      </c>
      <c r="E1250" s="8" t="n">
        <v>85</v>
      </c>
      <c r="F1250" s="8" t="n">
        <v>382.5</v>
      </c>
      <c r="G1250" s="8" t="n">
        <v>85</v>
      </c>
      <c r="H1250" s="8" t="n">
        <v>382.5</v>
      </c>
    </row>
    <row r="1252" customFormat="false" ht="12.75" hidden="false" customHeight="true" outlineLevel="0" collapsed="false">
      <c r="A1252" s="6" t="s">
        <v>1217</v>
      </c>
      <c r="B1252" s="7" t="s">
        <v>1218</v>
      </c>
      <c r="C1252" s="6" t="s">
        <v>922</v>
      </c>
      <c r="D1252" s="8" t="n">
        <v>2.6</v>
      </c>
      <c r="E1252" s="8" t="n">
        <v>120</v>
      </c>
      <c r="F1252" s="8" t="n">
        <v>312</v>
      </c>
      <c r="G1252" s="8" t="n">
        <v>120</v>
      </c>
      <c r="H1252" s="8" t="n">
        <v>312</v>
      </c>
    </row>
    <row r="1254" customFormat="false" ht="153" hidden="false" customHeight="true" outlineLevel="0" collapsed="false">
      <c r="A1254" s="6" t="s">
        <v>1219</v>
      </c>
      <c r="B1254" s="7" t="s">
        <v>1220</v>
      </c>
    </row>
    <row r="1256" customFormat="false" ht="12.75" hidden="false" customHeight="true" outlineLevel="0" collapsed="false">
      <c r="A1256" s="6" t="s">
        <v>1221</v>
      </c>
      <c r="B1256" s="7" t="s">
        <v>1222</v>
      </c>
      <c r="C1256" s="6" t="s">
        <v>922</v>
      </c>
      <c r="D1256" s="8" t="n">
        <v>30.15</v>
      </c>
      <c r="E1256" s="8" t="n">
        <v>45</v>
      </c>
      <c r="F1256" s="8" t="n">
        <v>1356.75</v>
      </c>
      <c r="G1256" s="8" t="n">
        <v>45</v>
      </c>
      <c r="H1256" s="8" t="n">
        <v>1356.75</v>
      </c>
    </row>
    <row r="1258" customFormat="false" ht="12.75" hidden="false" customHeight="true" outlineLevel="0" collapsed="false">
      <c r="A1258" s="6" t="s">
        <v>1223</v>
      </c>
      <c r="B1258" s="7" t="s">
        <v>1224</v>
      </c>
      <c r="C1258" s="6" t="s">
        <v>922</v>
      </c>
      <c r="D1258" s="8" t="n">
        <v>132.9</v>
      </c>
      <c r="E1258" s="8" t="n">
        <v>75</v>
      </c>
      <c r="F1258" s="8" t="n">
        <v>9967.5</v>
      </c>
      <c r="G1258" s="8" t="n">
        <v>75</v>
      </c>
      <c r="H1258" s="8" t="n">
        <v>9967.5</v>
      </c>
    </row>
    <row r="1260" customFormat="false" ht="204" hidden="false" customHeight="true" outlineLevel="0" collapsed="false">
      <c r="A1260" s="6" t="s">
        <v>1225</v>
      </c>
      <c r="B1260" s="7" t="s">
        <v>1226</v>
      </c>
      <c r="I1260" s="12" t="s">
        <v>22</v>
      </c>
      <c r="J1260" s="13" t="s">
        <v>23</v>
      </c>
      <c r="K1260" s="12" t="s">
        <v>1227</v>
      </c>
    </row>
    <row r="1262" customFormat="false" ht="12.75" hidden="false" customHeight="true" outlineLevel="0" collapsed="false">
      <c r="A1262" s="6" t="s">
        <v>1228</v>
      </c>
      <c r="B1262" s="7" t="s">
        <v>976</v>
      </c>
      <c r="C1262" s="6" t="s">
        <v>922</v>
      </c>
      <c r="D1262" s="8" t="n">
        <v>29.4</v>
      </c>
      <c r="E1262" s="8" t="n">
        <v>3.56</v>
      </c>
      <c r="F1262" s="8" t="n">
        <v>104.66</v>
      </c>
      <c r="G1262" s="8" t="n">
        <v>3.56</v>
      </c>
      <c r="H1262" s="8" t="n">
        <v>104.66</v>
      </c>
    </row>
    <row r="1264" customFormat="false" ht="12.75" hidden="false" customHeight="true" outlineLevel="0" collapsed="false">
      <c r="A1264" s="6" t="s">
        <v>1229</v>
      </c>
      <c r="B1264" s="7" t="s">
        <v>1097</v>
      </c>
      <c r="C1264" s="6" t="s">
        <v>922</v>
      </c>
      <c r="D1264" s="9" t="n">
        <v>420</v>
      </c>
      <c r="E1264" s="8" t="n">
        <v>7.65</v>
      </c>
      <c r="F1264" s="8" t="n">
        <v>3213</v>
      </c>
      <c r="G1264" s="8" t="n">
        <v>7.65</v>
      </c>
      <c r="H1264" s="8" t="n">
        <v>3213</v>
      </c>
    </row>
    <row r="1266" customFormat="false" ht="12.75" hidden="false" customHeight="true" outlineLevel="0" collapsed="false">
      <c r="A1266" s="6" t="s">
        <v>1230</v>
      </c>
      <c r="B1266" s="7" t="s">
        <v>1193</v>
      </c>
      <c r="C1266" s="6" t="s">
        <v>922</v>
      </c>
      <c r="D1266" s="8" t="n">
        <v>183.75</v>
      </c>
      <c r="E1266" s="8" t="n">
        <v>10.6</v>
      </c>
      <c r="F1266" s="8" t="n">
        <v>1947.75</v>
      </c>
      <c r="G1266" s="8" t="n">
        <v>10.6</v>
      </c>
      <c r="H1266" s="8" t="n">
        <v>1947.75</v>
      </c>
    </row>
    <row r="1268" customFormat="false" ht="204" hidden="false" customHeight="true" outlineLevel="0" collapsed="false">
      <c r="A1268" s="6" t="s">
        <v>1231</v>
      </c>
      <c r="B1268" s="7" t="s">
        <v>1232</v>
      </c>
      <c r="I1268" s="12" t="s">
        <v>22</v>
      </c>
      <c r="J1268" s="13" t="s">
        <v>23</v>
      </c>
      <c r="K1268" s="12" t="s">
        <v>1233</v>
      </c>
    </row>
    <row r="1270" customFormat="false" ht="12.75" hidden="false" customHeight="true" outlineLevel="0" collapsed="false">
      <c r="A1270" s="6" t="s">
        <v>1234</v>
      </c>
      <c r="B1270" s="7" t="s">
        <v>1097</v>
      </c>
      <c r="C1270" s="6" t="s">
        <v>922</v>
      </c>
      <c r="D1270" s="8" t="n">
        <v>78.75</v>
      </c>
      <c r="E1270" s="8" t="n">
        <v>7.65</v>
      </c>
      <c r="F1270" s="8" t="n">
        <v>602.44</v>
      </c>
      <c r="G1270" s="8" t="n">
        <v>7.65</v>
      </c>
      <c r="H1270" s="8" t="n">
        <v>602.44</v>
      </c>
    </row>
    <row r="1272" customFormat="false" ht="102" hidden="false" customHeight="true" outlineLevel="0" collapsed="false">
      <c r="A1272" s="6" t="s">
        <v>1235</v>
      </c>
      <c r="B1272" s="7" t="s">
        <v>1236</v>
      </c>
    </row>
    <row r="1275" customFormat="false" ht="12.75" hidden="false" customHeight="true" outlineLevel="0" collapsed="false">
      <c r="A1275" s="6" t="s">
        <v>1237</v>
      </c>
      <c r="B1275" s="7" t="s">
        <v>970</v>
      </c>
      <c r="C1275" s="6" t="s">
        <v>16</v>
      </c>
      <c r="D1275" s="9" t="n">
        <v>1</v>
      </c>
      <c r="E1275" s="8" t="n">
        <v>9.8</v>
      </c>
      <c r="F1275" s="8" t="n">
        <v>9.8</v>
      </c>
      <c r="G1275" s="8" t="n">
        <v>9.8</v>
      </c>
      <c r="H1275" s="8" t="n">
        <v>9.8</v>
      </c>
    </row>
    <row r="1277" customFormat="false" ht="12.75" hidden="false" customHeight="true" outlineLevel="0" collapsed="false">
      <c r="A1277" s="6" t="s">
        <v>1238</v>
      </c>
      <c r="B1277" s="7" t="s">
        <v>976</v>
      </c>
      <c r="C1277" s="6" t="s">
        <v>16</v>
      </c>
      <c r="D1277" s="9" t="n">
        <v>7</v>
      </c>
      <c r="E1277" s="8" t="n">
        <v>46.43</v>
      </c>
      <c r="F1277" s="8" t="n">
        <v>325.01</v>
      </c>
      <c r="G1277" s="8" t="n">
        <v>46.43</v>
      </c>
      <c r="H1277" s="8" t="n">
        <v>325.01</v>
      </c>
    </row>
    <row r="1279" customFormat="false" ht="12.75" hidden="false" customHeight="true" outlineLevel="0" collapsed="false">
      <c r="A1279" s="6" t="s">
        <v>1239</v>
      </c>
      <c r="B1279" s="7" t="s">
        <v>1095</v>
      </c>
      <c r="C1279" s="6" t="s">
        <v>16</v>
      </c>
      <c r="D1279" s="9" t="n">
        <v>11</v>
      </c>
      <c r="E1279" s="8" t="n">
        <v>92.35</v>
      </c>
      <c r="F1279" s="8" t="n">
        <v>1015.85</v>
      </c>
      <c r="G1279" s="8" t="n">
        <v>92.35</v>
      </c>
      <c r="H1279" s="8" t="n">
        <v>1015.85</v>
      </c>
    </row>
    <row r="1281" customFormat="false" ht="216.75" hidden="false" customHeight="true" outlineLevel="0" collapsed="false">
      <c r="A1281" s="6" t="s">
        <v>1240</v>
      </c>
      <c r="B1281" s="7" t="s">
        <v>1241</v>
      </c>
    </row>
    <row r="1283" customFormat="false" ht="12.75" hidden="false" customHeight="true" outlineLevel="0" collapsed="false">
      <c r="A1283" s="6" t="s">
        <v>1242</v>
      </c>
      <c r="B1283" s="7" t="s">
        <v>1243</v>
      </c>
      <c r="C1283" s="6" t="s">
        <v>16</v>
      </c>
      <c r="D1283" s="9" t="n">
        <v>1</v>
      </c>
      <c r="E1283" s="8" t="n">
        <v>310.89</v>
      </c>
      <c r="F1283" s="8" t="n">
        <v>310.89</v>
      </c>
      <c r="G1283" s="8" t="n">
        <v>310.89</v>
      </c>
      <c r="H1283" s="8" t="n">
        <v>310.89</v>
      </c>
    </row>
    <row r="1285" customFormat="false" ht="12.75" hidden="false" customHeight="true" outlineLevel="0" collapsed="false">
      <c r="A1285" s="6" t="s">
        <v>1244</v>
      </c>
      <c r="B1285" s="7" t="s">
        <v>1245</v>
      </c>
      <c r="C1285" s="6" t="s">
        <v>16</v>
      </c>
      <c r="D1285" s="9" t="n">
        <v>1</v>
      </c>
      <c r="E1285" s="8" t="n">
        <v>310.89</v>
      </c>
      <c r="F1285" s="8" t="n">
        <v>310.89</v>
      </c>
      <c r="G1285" s="8" t="n">
        <v>310.89</v>
      </c>
      <c r="H1285" s="8" t="n">
        <v>310.89</v>
      </c>
    </row>
    <row r="1287" customFormat="false" ht="12.75" hidden="false" customHeight="true" outlineLevel="0" collapsed="false">
      <c r="A1287" s="6" t="s">
        <v>1246</v>
      </c>
      <c r="B1287" s="7" t="s">
        <v>1247</v>
      </c>
      <c r="C1287" s="6" t="s">
        <v>16</v>
      </c>
      <c r="D1287" s="9" t="n">
        <v>18</v>
      </c>
      <c r="E1287" s="8" t="n">
        <v>473.97</v>
      </c>
      <c r="F1287" s="8" t="n">
        <v>8531.46</v>
      </c>
      <c r="G1287" s="8" t="n">
        <v>473.97</v>
      </c>
      <c r="H1287" s="8" t="n">
        <v>8531.46</v>
      </c>
    </row>
    <row r="1289" customFormat="false" ht="12.75" hidden="false" customHeight="true" outlineLevel="0" collapsed="false">
      <c r="A1289" s="6" t="s">
        <v>1248</v>
      </c>
      <c r="B1289" s="7" t="s">
        <v>1249</v>
      </c>
      <c r="C1289" s="6" t="s">
        <v>16</v>
      </c>
      <c r="D1289" s="9" t="n">
        <v>1</v>
      </c>
      <c r="E1289" s="8" t="n">
        <v>473.97</v>
      </c>
      <c r="F1289" s="8" t="n">
        <v>473.97</v>
      </c>
      <c r="G1289" s="8" t="n">
        <v>473.97</v>
      </c>
      <c r="H1289" s="8" t="n">
        <v>473.97</v>
      </c>
      <c r="I1289" s="14" t="s">
        <v>62</v>
      </c>
      <c r="J1289" s="15" t="s">
        <v>31</v>
      </c>
      <c r="K1289" s="14" t="s">
        <v>1250</v>
      </c>
    </row>
    <row r="1291" customFormat="false" ht="25.5" hidden="false" customHeight="true" outlineLevel="0" collapsed="false">
      <c r="A1291" s="6" t="s">
        <v>1251</v>
      </c>
      <c r="B1291" s="7" t="s">
        <v>1252</v>
      </c>
      <c r="C1291" s="6" t="s">
        <v>16</v>
      </c>
      <c r="D1291" s="9" t="n">
        <v>2</v>
      </c>
      <c r="E1291" s="8" t="n">
        <v>473.97</v>
      </c>
      <c r="F1291" s="8" t="n">
        <v>947.94</v>
      </c>
      <c r="G1291" s="8" t="n">
        <v>473.97</v>
      </c>
      <c r="H1291" s="8" t="n">
        <v>947.94</v>
      </c>
    </row>
    <row r="1293" customFormat="false" ht="12.75" hidden="false" customHeight="true" outlineLevel="0" collapsed="false">
      <c r="A1293" s="6" t="s">
        <v>1253</v>
      </c>
      <c r="B1293" s="7" t="s">
        <v>1254</v>
      </c>
      <c r="C1293" s="6" t="s">
        <v>16</v>
      </c>
      <c r="D1293" s="9" t="n">
        <v>1</v>
      </c>
      <c r="E1293" s="8" t="n">
        <v>473.97</v>
      </c>
      <c r="F1293" s="8" t="n">
        <v>473.97</v>
      </c>
      <c r="G1293" s="8" t="n">
        <v>473.97</v>
      </c>
      <c r="H1293" s="8" t="n">
        <v>473.97</v>
      </c>
    </row>
    <row r="1295" customFormat="false" ht="204" hidden="false" customHeight="true" outlineLevel="0" collapsed="false">
      <c r="A1295" s="6" t="s">
        <v>1255</v>
      </c>
      <c r="B1295" s="7" t="s">
        <v>1256</v>
      </c>
    </row>
    <row r="1297" customFormat="false" ht="12.75" hidden="false" customHeight="true" outlineLevel="0" collapsed="false">
      <c r="A1297" s="6" t="s">
        <v>1257</v>
      </c>
      <c r="B1297" s="7" t="s">
        <v>1258</v>
      </c>
      <c r="C1297" s="6" t="s">
        <v>16</v>
      </c>
      <c r="D1297" s="9" t="n">
        <v>10</v>
      </c>
      <c r="E1297" s="8" t="n">
        <v>520.82</v>
      </c>
      <c r="F1297" s="8" t="n">
        <v>5208.21</v>
      </c>
      <c r="G1297" s="8" t="n">
        <v>520.82</v>
      </c>
      <c r="H1297" s="8" t="n">
        <v>5208.2</v>
      </c>
    </row>
    <row r="1299" customFormat="false" ht="12.75" hidden="false" customHeight="true" outlineLevel="0" collapsed="false">
      <c r="A1299" s="6" t="s">
        <v>1259</v>
      </c>
      <c r="B1299" s="7" t="s">
        <v>1260</v>
      </c>
      <c r="C1299" s="6" t="s">
        <v>16</v>
      </c>
      <c r="D1299" s="9" t="n">
        <v>2</v>
      </c>
      <c r="E1299" s="8" t="n">
        <v>570.42</v>
      </c>
      <c r="F1299" s="8" t="n">
        <v>1140.85</v>
      </c>
      <c r="G1299" s="8" t="n">
        <v>570.42</v>
      </c>
      <c r="H1299" s="8" t="n">
        <v>1140.84</v>
      </c>
    </row>
    <row r="1301" customFormat="false" ht="12.75" hidden="false" customHeight="true" outlineLevel="0" collapsed="false">
      <c r="A1301" s="6" t="s">
        <v>1261</v>
      </c>
      <c r="B1301" s="7" t="s">
        <v>1262</v>
      </c>
      <c r="C1301" s="6" t="s">
        <v>16</v>
      </c>
      <c r="D1301" s="9" t="n">
        <v>3</v>
      </c>
      <c r="E1301" s="8" t="n">
        <v>644.83</v>
      </c>
      <c r="F1301" s="8" t="n">
        <v>1934.48</v>
      </c>
      <c r="G1301" s="8" t="n">
        <v>644.83</v>
      </c>
      <c r="H1301" s="8" t="n">
        <v>1934.49</v>
      </c>
    </row>
    <row r="1303" customFormat="false" ht="306" hidden="false" customHeight="true" outlineLevel="0" collapsed="false">
      <c r="A1303" s="6" t="s">
        <v>1263</v>
      </c>
      <c r="B1303" s="7" t="s">
        <v>1264</v>
      </c>
      <c r="I1303" s="12" t="s">
        <v>22</v>
      </c>
      <c r="J1303" s="13" t="s">
        <v>23</v>
      </c>
      <c r="K1303" s="12" t="s">
        <v>1265</v>
      </c>
    </row>
    <row r="1305" customFormat="false" ht="12.75" hidden="false" customHeight="true" outlineLevel="0" collapsed="false">
      <c r="A1305" s="6" t="s">
        <v>1266</v>
      </c>
      <c r="B1305" s="7" t="s">
        <v>1267</v>
      </c>
      <c r="C1305" s="6" t="s">
        <v>16</v>
      </c>
      <c r="D1305" s="9" t="n">
        <v>1</v>
      </c>
      <c r="E1305" s="8" t="n">
        <v>545.62</v>
      </c>
      <c r="F1305" s="8" t="n">
        <v>545.62</v>
      </c>
      <c r="G1305" s="8" t="n">
        <v>545.62</v>
      </c>
      <c r="H1305" s="8" t="n">
        <v>545.62</v>
      </c>
    </row>
    <row r="1307" customFormat="false" ht="178.5" hidden="false" customHeight="true" outlineLevel="0" collapsed="false">
      <c r="A1307" s="6" t="s">
        <v>1268</v>
      </c>
      <c r="B1307" s="7" t="s">
        <v>1269</v>
      </c>
      <c r="C1307" s="6" t="s">
        <v>16</v>
      </c>
      <c r="D1307" s="9" t="n">
        <v>9</v>
      </c>
      <c r="E1307" s="8" t="n">
        <v>300</v>
      </c>
      <c r="F1307" s="8" t="n">
        <v>2700</v>
      </c>
      <c r="G1307" s="8" t="n">
        <v>300</v>
      </c>
      <c r="H1307" s="8" t="n">
        <v>2700</v>
      </c>
    </row>
    <row r="1309" customFormat="false" ht="242.25" hidden="false" customHeight="true" outlineLevel="0" collapsed="false">
      <c r="A1309" s="6" t="s">
        <v>1270</v>
      </c>
      <c r="B1309" s="7" t="s">
        <v>1271</v>
      </c>
    </row>
    <row r="1312" customFormat="false" ht="12.75" hidden="false" customHeight="true" outlineLevel="0" collapsed="false">
      <c r="A1312" s="6" t="s">
        <v>1272</v>
      </c>
      <c r="B1312" s="7" t="s">
        <v>1095</v>
      </c>
      <c r="C1312" s="6" t="s">
        <v>16</v>
      </c>
      <c r="D1312" s="9" t="n">
        <v>8</v>
      </c>
      <c r="E1312" s="8" t="n">
        <v>16</v>
      </c>
      <c r="F1312" s="8" t="n">
        <v>128</v>
      </c>
      <c r="G1312" s="8" t="n">
        <v>16</v>
      </c>
      <c r="H1312" s="8" t="n">
        <v>128</v>
      </c>
    </row>
    <row r="1314" customFormat="false" ht="12.75" hidden="false" customHeight="true" outlineLevel="0" collapsed="false">
      <c r="A1314" s="6" t="s">
        <v>1273</v>
      </c>
      <c r="B1314" s="7" t="s">
        <v>1097</v>
      </c>
      <c r="C1314" s="6" t="s">
        <v>16</v>
      </c>
      <c r="D1314" s="9" t="n">
        <v>8</v>
      </c>
      <c r="E1314" s="8" t="n">
        <v>25</v>
      </c>
      <c r="F1314" s="8" t="n">
        <v>200</v>
      </c>
      <c r="G1314" s="8" t="n">
        <v>25</v>
      </c>
      <c r="H1314" s="8" t="n">
        <v>200</v>
      </c>
    </row>
    <row r="1316" customFormat="false" ht="127.5" hidden="false" customHeight="true" outlineLevel="0" collapsed="false">
      <c r="A1316" s="6" t="s">
        <v>1274</v>
      </c>
      <c r="B1316" s="7" t="s">
        <v>1275</v>
      </c>
    </row>
    <row r="1318" customFormat="false" ht="12.75" hidden="false" customHeight="true" outlineLevel="0" collapsed="false">
      <c r="A1318" s="6" t="s">
        <v>1276</v>
      </c>
      <c r="B1318" s="7" t="s">
        <v>932</v>
      </c>
      <c r="C1318" s="6" t="s">
        <v>922</v>
      </c>
      <c r="D1318" s="8" t="n">
        <v>87.4</v>
      </c>
      <c r="E1318" s="8" t="n">
        <v>236.38</v>
      </c>
      <c r="F1318" s="8" t="n">
        <v>20659.56</v>
      </c>
      <c r="G1318" s="8" t="n">
        <v>236.38</v>
      </c>
      <c r="H1318" s="8" t="n">
        <v>20659.61</v>
      </c>
    </row>
    <row r="1320" customFormat="false" ht="140.25" hidden="false" customHeight="true" outlineLevel="0" collapsed="false">
      <c r="A1320" s="6" t="s">
        <v>1277</v>
      </c>
      <c r="B1320" s="7" t="s">
        <v>1278</v>
      </c>
    </row>
    <row r="1322" customFormat="false" ht="12.75" hidden="false" customHeight="true" outlineLevel="0" collapsed="false">
      <c r="A1322" s="6" t="s">
        <v>1279</v>
      </c>
      <c r="B1322" s="7" t="s">
        <v>934</v>
      </c>
      <c r="C1322" s="6" t="s">
        <v>16</v>
      </c>
      <c r="D1322" s="9" t="n">
        <v>17</v>
      </c>
      <c r="E1322" s="8" t="n">
        <v>50</v>
      </c>
      <c r="F1322" s="8" t="n">
        <v>850</v>
      </c>
      <c r="G1322" s="8" t="n">
        <v>50</v>
      </c>
      <c r="H1322" s="8" t="n">
        <v>850</v>
      </c>
    </row>
    <row r="1324" customFormat="false" ht="76.5" hidden="false" customHeight="true" outlineLevel="0" collapsed="false">
      <c r="A1324" s="6" t="s">
        <v>1280</v>
      </c>
      <c r="B1324" s="7" t="s">
        <v>1281</v>
      </c>
      <c r="I1324" s="12" t="s">
        <v>45</v>
      </c>
      <c r="J1324" s="13" t="s">
        <v>23</v>
      </c>
      <c r="K1324" s="12" t="s">
        <v>1282</v>
      </c>
    </row>
    <row r="1326" customFormat="false" ht="12.75" hidden="false" customHeight="true" outlineLevel="0" collapsed="false">
      <c r="A1326" s="6" t="s">
        <v>1283</v>
      </c>
      <c r="B1326" s="7" t="s">
        <v>1284</v>
      </c>
      <c r="C1326" s="6" t="s">
        <v>922</v>
      </c>
      <c r="D1326" s="8" t="n">
        <v>196.6</v>
      </c>
      <c r="E1326" s="8" t="n">
        <v>40</v>
      </c>
      <c r="F1326" s="8" t="n">
        <v>7864</v>
      </c>
      <c r="G1326" s="8" t="n">
        <v>40</v>
      </c>
      <c r="H1326" s="8" t="n">
        <v>7864</v>
      </c>
    </row>
    <row r="1328" customFormat="false" ht="25.5" hidden="false" customHeight="true" outlineLevel="0" collapsed="false">
      <c r="A1328" s="6" t="s">
        <v>1285</v>
      </c>
      <c r="B1328" s="7" t="s">
        <v>1286</v>
      </c>
      <c r="F1328" s="8" t="n">
        <v>8750</v>
      </c>
      <c r="H1328" s="8" t="n">
        <v>8750</v>
      </c>
    </row>
    <row r="1330" customFormat="false" ht="127.5" hidden="false" customHeight="true" outlineLevel="0" collapsed="false">
      <c r="A1330" s="6" t="s">
        <v>1287</v>
      </c>
      <c r="B1330" s="7" t="s">
        <v>1288</v>
      </c>
      <c r="C1330" s="6" t="s">
        <v>16</v>
      </c>
      <c r="D1330" s="9" t="n">
        <v>1</v>
      </c>
      <c r="E1330" s="8" t="n">
        <v>700</v>
      </c>
      <c r="F1330" s="8" t="n">
        <v>700</v>
      </c>
      <c r="G1330" s="8" t="n">
        <v>700</v>
      </c>
      <c r="H1330" s="8" t="n">
        <v>700</v>
      </c>
    </row>
    <row r="1332" customFormat="false" ht="140.25" hidden="false" customHeight="true" outlineLevel="0" collapsed="false">
      <c r="A1332" s="6" t="s">
        <v>1289</v>
      </c>
      <c r="B1332" s="7" t="s">
        <v>1152</v>
      </c>
      <c r="C1332" s="6" t="s">
        <v>16</v>
      </c>
      <c r="D1332" s="9" t="n">
        <v>1</v>
      </c>
      <c r="E1332" s="8" t="n">
        <v>7000</v>
      </c>
      <c r="F1332" s="8" t="n">
        <v>7000</v>
      </c>
      <c r="G1332" s="8" t="n">
        <v>7000</v>
      </c>
      <c r="H1332" s="8" t="n">
        <v>7000</v>
      </c>
    </row>
    <row r="1334" customFormat="false" ht="153" hidden="false" customHeight="true" outlineLevel="0" collapsed="false">
      <c r="A1334" s="6" t="s">
        <v>1290</v>
      </c>
      <c r="B1334" s="7" t="s">
        <v>1154</v>
      </c>
      <c r="C1334" s="6" t="s">
        <v>16</v>
      </c>
      <c r="D1334" s="9" t="n">
        <v>1</v>
      </c>
      <c r="E1334" s="8" t="n">
        <v>750</v>
      </c>
      <c r="F1334" s="8" t="n">
        <v>750</v>
      </c>
      <c r="G1334" s="8" t="n">
        <v>750</v>
      </c>
      <c r="H1334" s="8" t="n">
        <v>750</v>
      </c>
    </row>
    <row r="1336" customFormat="false" ht="114.75" hidden="false" customHeight="true" outlineLevel="0" collapsed="false">
      <c r="A1336" s="6" t="s">
        <v>1291</v>
      </c>
      <c r="B1336" s="7" t="s">
        <v>1292</v>
      </c>
      <c r="C1336" s="6" t="s">
        <v>1157</v>
      </c>
      <c r="D1336" s="9" t="n">
        <v>1</v>
      </c>
      <c r="E1336" s="8" t="n">
        <v>200</v>
      </c>
      <c r="F1336" s="8" t="n">
        <v>200</v>
      </c>
      <c r="G1336" s="8" t="n">
        <v>200</v>
      </c>
      <c r="H1336" s="8" t="n">
        <v>200</v>
      </c>
      <c r="I1336" s="10" t="s">
        <v>22</v>
      </c>
      <c r="J1336" s="11" t="s">
        <v>18</v>
      </c>
      <c r="K1336" s="10" t="s">
        <v>1293</v>
      </c>
    </row>
    <row r="1338" customFormat="false" ht="63.75" hidden="false" customHeight="true" outlineLevel="0" collapsed="false">
      <c r="A1338" s="6" t="s">
        <v>1294</v>
      </c>
      <c r="B1338" s="7" t="s">
        <v>1295</v>
      </c>
      <c r="C1338" s="6" t="s">
        <v>1157</v>
      </c>
      <c r="D1338" s="9" t="n">
        <v>1</v>
      </c>
      <c r="E1338" s="8" t="n">
        <v>100</v>
      </c>
      <c r="F1338" s="8" t="n">
        <v>100</v>
      </c>
      <c r="G1338" s="8" t="n">
        <v>100</v>
      </c>
      <c r="H1338" s="8" t="n">
        <v>100</v>
      </c>
    </row>
    <row r="1340" customFormat="false" ht="12.75" hidden="false" customHeight="true" outlineLevel="0" collapsed="false">
      <c r="A1340" s="6" t="s">
        <v>1296</v>
      </c>
      <c r="B1340" s="7" t="s">
        <v>1297</v>
      </c>
      <c r="F1340" s="8" t="n">
        <v>265980.37</v>
      </c>
      <c r="H1340" s="8" t="n">
        <v>265980.37</v>
      </c>
      <c r="I1340" s="12" t="s">
        <v>4</v>
      </c>
      <c r="J1340" s="13" t="s">
        <v>23</v>
      </c>
      <c r="K1340" s="12" t="s">
        <v>1298</v>
      </c>
    </row>
    <row r="1342" customFormat="false" ht="25.5" hidden="false" customHeight="true" outlineLevel="0" collapsed="false">
      <c r="A1342" s="6" t="s">
        <v>1299</v>
      </c>
      <c r="B1342" s="7" t="s">
        <v>1300</v>
      </c>
      <c r="F1342" s="8" t="n">
        <v>30244.99</v>
      </c>
      <c r="H1342" s="8" t="n">
        <v>30244.99</v>
      </c>
    </row>
    <row r="1344" customFormat="false" ht="12.75" hidden="false" customHeight="true" outlineLevel="0" collapsed="false">
      <c r="A1344" s="6" t="s">
        <v>1301</v>
      </c>
      <c r="B1344" s="7" t="s">
        <v>1302</v>
      </c>
      <c r="C1344" s="6" t="s">
        <v>16</v>
      </c>
      <c r="D1344" s="9" t="n">
        <v>1</v>
      </c>
      <c r="E1344" s="8" t="n">
        <v>1313.81</v>
      </c>
      <c r="F1344" s="8" t="n">
        <v>1313.81</v>
      </c>
      <c r="G1344" s="8" t="n">
        <v>1313.81</v>
      </c>
      <c r="H1344" s="8" t="n">
        <v>1313.81</v>
      </c>
      <c r="I1344" s="12" t="s">
        <v>17</v>
      </c>
      <c r="J1344" s="13" t="s">
        <v>23</v>
      </c>
      <c r="K1344" s="12" t="s">
        <v>1303</v>
      </c>
    </row>
    <row r="1346" customFormat="false" ht="12.75" hidden="false" customHeight="true" outlineLevel="0" collapsed="false">
      <c r="A1346" s="6" t="s">
        <v>1304</v>
      </c>
      <c r="B1346" s="7" t="s">
        <v>1305</v>
      </c>
    </row>
    <row r="1348" customFormat="false" ht="12.75" hidden="false" customHeight="true" outlineLevel="0" collapsed="false">
      <c r="A1348" s="6" t="s">
        <v>1306</v>
      </c>
      <c r="B1348" s="7" t="s">
        <v>1307</v>
      </c>
      <c r="C1348" s="6" t="s">
        <v>922</v>
      </c>
      <c r="D1348" s="9" t="n">
        <v>165</v>
      </c>
      <c r="E1348" s="8" t="n">
        <v>167.12</v>
      </c>
      <c r="F1348" s="8" t="n">
        <v>27574.8</v>
      </c>
      <c r="G1348" s="8" t="n">
        <v>167.12</v>
      </c>
      <c r="H1348" s="8" t="n">
        <v>27574.8</v>
      </c>
    </row>
    <row r="1350" customFormat="false" ht="12.75" hidden="false" customHeight="true" outlineLevel="0" collapsed="false">
      <c r="A1350" s="6" t="s">
        <v>1308</v>
      </c>
      <c r="B1350" s="7" t="s">
        <v>1309</v>
      </c>
      <c r="C1350" s="6" t="s">
        <v>922</v>
      </c>
      <c r="D1350" s="9" t="n">
        <v>155</v>
      </c>
      <c r="E1350" s="8" t="n">
        <v>4.51</v>
      </c>
      <c r="F1350" s="8" t="n">
        <v>699.05</v>
      </c>
      <c r="G1350" s="8" t="n">
        <v>4.51</v>
      </c>
      <c r="H1350" s="8" t="n">
        <v>699.05</v>
      </c>
    </row>
    <row r="1352" customFormat="false" ht="12.75" hidden="false" customHeight="true" outlineLevel="0" collapsed="false">
      <c r="A1352" s="6" t="s">
        <v>1310</v>
      </c>
      <c r="B1352" s="7" t="s">
        <v>1311</v>
      </c>
      <c r="C1352" s="6" t="s">
        <v>16</v>
      </c>
      <c r="D1352" s="9" t="n">
        <v>2</v>
      </c>
      <c r="E1352" s="8" t="n">
        <v>184.46</v>
      </c>
      <c r="F1352" s="8" t="n">
        <v>368.92</v>
      </c>
      <c r="G1352" s="8" t="n">
        <v>184.46</v>
      </c>
      <c r="H1352" s="8" t="n">
        <v>368.92</v>
      </c>
    </row>
    <row r="1354" customFormat="false" ht="12.75" hidden="false" customHeight="true" outlineLevel="0" collapsed="false">
      <c r="A1354" s="6" t="s">
        <v>1312</v>
      </c>
      <c r="B1354" s="7" t="s">
        <v>1313</v>
      </c>
    </row>
    <row r="1356" customFormat="false" ht="12.75" hidden="false" customHeight="true" outlineLevel="0" collapsed="false">
      <c r="A1356" s="6" t="s">
        <v>1314</v>
      </c>
      <c r="B1356" s="7" t="s">
        <v>1315</v>
      </c>
      <c r="C1356" s="6" t="s">
        <v>922</v>
      </c>
      <c r="D1356" s="9" t="n">
        <v>2</v>
      </c>
      <c r="E1356" s="8" t="n">
        <v>3.38</v>
      </c>
      <c r="F1356" s="8" t="n">
        <v>6.76</v>
      </c>
      <c r="G1356" s="8" t="n">
        <v>3.38</v>
      </c>
      <c r="H1356" s="8" t="n">
        <v>6.76</v>
      </c>
    </row>
    <row r="1358" customFormat="false" ht="12.75" hidden="false" customHeight="true" outlineLevel="0" collapsed="false">
      <c r="A1358" s="6" t="s">
        <v>1316</v>
      </c>
      <c r="B1358" s="7" t="s">
        <v>1317</v>
      </c>
      <c r="C1358" s="6" t="s">
        <v>922</v>
      </c>
      <c r="D1358" s="9" t="n">
        <v>55</v>
      </c>
      <c r="E1358" s="8" t="n">
        <v>4.71</v>
      </c>
      <c r="F1358" s="8" t="n">
        <v>259.05</v>
      </c>
      <c r="G1358" s="8" t="n">
        <v>4.71</v>
      </c>
      <c r="H1358" s="8" t="n">
        <v>259.05</v>
      </c>
    </row>
    <row r="1360" customFormat="false" ht="12.75" hidden="false" customHeight="true" outlineLevel="0" collapsed="false">
      <c r="A1360" s="6" t="s">
        <v>1318</v>
      </c>
      <c r="B1360" s="7" t="s">
        <v>1319</v>
      </c>
      <c r="C1360" s="6" t="s">
        <v>922</v>
      </c>
      <c r="D1360" s="9" t="n">
        <v>10</v>
      </c>
      <c r="E1360" s="8" t="n">
        <v>2.26</v>
      </c>
      <c r="F1360" s="8" t="n">
        <v>22.6</v>
      </c>
      <c r="G1360" s="8" t="n">
        <v>2.26</v>
      </c>
      <c r="H1360" s="8" t="n">
        <v>22.6</v>
      </c>
    </row>
    <row r="1363" customFormat="false" ht="25.5" hidden="false" customHeight="true" outlineLevel="0" collapsed="false">
      <c r="A1363" s="6" t="s">
        <v>1320</v>
      </c>
      <c r="B1363" s="7" t="s">
        <v>1321</v>
      </c>
      <c r="F1363" s="8" t="n">
        <v>31663.16</v>
      </c>
      <c r="H1363" s="8" t="n">
        <v>31663.16</v>
      </c>
    </row>
    <row r="1365" customFormat="false" ht="25.5" hidden="false" customHeight="true" outlineLevel="0" collapsed="false">
      <c r="A1365" s="6" t="s">
        <v>1322</v>
      </c>
      <c r="B1365" s="7" t="s">
        <v>1323</v>
      </c>
    </row>
    <row r="1367" customFormat="false" ht="12.75" hidden="false" customHeight="true" outlineLevel="0" collapsed="false">
      <c r="A1367" s="6" t="s">
        <v>1324</v>
      </c>
      <c r="B1367" s="7" t="s">
        <v>1325</v>
      </c>
      <c r="C1367" s="6" t="s">
        <v>922</v>
      </c>
      <c r="D1367" s="9" t="n">
        <v>5</v>
      </c>
      <c r="E1367" s="8" t="n">
        <v>36.49</v>
      </c>
      <c r="F1367" s="8" t="n">
        <v>182.45</v>
      </c>
      <c r="G1367" s="8" t="n">
        <v>36.49</v>
      </c>
      <c r="H1367" s="8" t="n">
        <v>182.45</v>
      </c>
    </row>
    <row r="1369" customFormat="false" ht="12.75" hidden="false" customHeight="true" outlineLevel="0" collapsed="false">
      <c r="A1369" s="6" t="s">
        <v>1326</v>
      </c>
      <c r="B1369" s="7" t="s">
        <v>1327</v>
      </c>
      <c r="C1369" s="6" t="s">
        <v>922</v>
      </c>
      <c r="D1369" s="9" t="n">
        <v>10</v>
      </c>
      <c r="E1369" s="8" t="n">
        <v>22.96</v>
      </c>
      <c r="F1369" s="8" t="n">
        <v>229.6</v>
      </c>
      <c r="G1369" s="8" t="n">
        <v>22.96</v>
      </c>
      <c r="H1369" s="8" t="n">
        <v>229.6</v>
      </c>
    </row>
    <row r="1371" customFormat="false" ht="12.75" hidden="false" customHeight="true" outlineLevel="0" collapsed="false">
      <c r="A1371" s="6" t="s">
        <v>1328</v>
      </c>
      <c r="B1371" s="7" t="s">
        <v>1329</v>
      </c>
      <c r="C1371" s="6" t="s">
        <v>922</v>
      </c>
      <c r="D1371" s="9" t="n">
        <v>85</v>
      </c>
      <c r="E1371" s="8" t="n">
        <v>18.18</v>
      </c>
      <c r="F1371" s="8" t="n">
        <v>1545.3</v>
      </c>
      <c r="G1371" s="8" t="n">
        <v>18.18</v>
      </c>
      <c r="H1371" s="8" t="n">
        <v>1545.3</v>
      </c>
    </row>
    <row r="1373" customFormat="false" ht="12.75" hidden="false" customHeight="true" outlineLevel="0" collapsed="false">
      <c r="A1373" s="6" t="s">
        <v>1330</v>
      </c>
      <c r="B1373" s="7" t="s">
        <v>1331</v>
      </c>
      <c r="C1373" s="6" t="s">
        <v>922</v>
      </c>
      <c r="D1373" s="9" t="n">
        <v>283</v>
      </c>
      <c r="E1373" s="8" t="n">
        <v>15.13</v>
      </c>
      <c r="F1373" s="8" t="n">
        <v>4281.79</v>
      </c>
      <c r="G1373" s="8" t="n">
        <v>15.13</v>
      </c>
      <c r="H1373" s="8" t="n">
        <v>4281.79</v>
      </c>
    </row>
    <row r="1375" customFormat="false" ht="25.5" hidden="false" customHeight="true" outlineLevel="0" collapsed="false">
      <c r="A1375" s="6" t="s">
        <v>1332</v>
      </c>
      <c r="B1375" s="7" t="s">
        <v>1333</v>
      </c>
    </row>
    <row r="1377" customFormat="false" ht="12.75" hidden="false" customHeight="true" outlineLevel="0" collapsed="false">
      <c r="A1377" s="6" t="s">
        <v>1334</v>
      </c>
      <c r="B1377" s="7" t="s">
        <v>1329</v>
      </c>
      <c r="C1377" s="6" t="s">
        <v>922</v>
      </c>
      <c r="D1377" s="9" t="n">
        <v>20</v>
      </c>
      <c r="E1377" s="8" t="n">
        <v>29.2</v>
      </c>
      <c r="F1377" s="8" t="n">
        <v>584</v>
      </c>
      <c r="G1377" s="8" t="n">
        <v>29.2</v>
      </c>
      <c r="H1377" s="8" t="n">
        <v>584</v>
      </c>
    </row>
    <row r="1379" customFormat="false" ht="38.25" hidden="false" customHeight="true" outlineLevel="0" collapsed="false">
      <c r="A1379" s="6" t="s">
        <v>1335</v>
      </c>
      <c r="B1379" s="7" t="s">
        <v>1336</v>
      </c>
    </row>
    <row r="1381" customFormat="false" ht="12.75" hidden="false" customHeight="true" outlineLevel="0" collapsed="false">
      <c r="A1381" s="6" t="s">
        <v>1337</v>
      </c>
      <c r="B1381" s="7" t="s">
        <v>1327</v>
      </c>
      <c r="C1381" s="6" t="s">
        <v>922</v>
      </c>
      <c r="D1381" s="9" t="n">
        <v>5</v>
      </c>
      <c r="E1381" s="8" t="n">
        <v>37.29</v>
      </c>
      <c r="F1381" s="8" t="n">
        <v>186.45</v>
      </c>
      <c r="G1381" s="8" t="n">
        <v>37.29</v>
      </c>
      <c r="H1381" s="8" t="n">
        <v>186.45</v>
      </c>
    </row>
    <row r="1383" customFormat="false" ht="12.75" hidden="false" customHeight="true" outlineLevel="0" collapsed="false">
      <c r="A1383" s="6" t="s">
        <v>1338</v>
      </c>
      <c r="B1383" s="7" t="s">
        <v>1329</v>
      </c>
      <c r="C1383" s="6" t="s">
        <v>922</v>
      </c>
      <c r="D1383" s="9" t="n">
        <v>110</v>
      </c>
      <c r="E1383" s="8" t="n">
        <v>28.49</v>
      </c>
      <c r="F1383" s="8" t="n">
        <v>3133.9</v>
      </c>
      <c r="G1383" s="8" t="n">
        <v>28.49</v>
      </c>
      <c r="H1383" s="8" t="n">
        <v>3133.9</v>
      </c>
    </row>
    <row r="1385" customFormat="false" ht="12.75" hidden="false" customHeight="true" outlineLevel="0" collapsed="false">
      <c r="A1385" s="6" t="s">
        <v>1339</v>
      </c>
      <c r="B1385" s="7" t="s">
        <v>1331</v>
      </c>
      <c r="C1385" s="6" t="s">
        <v>922</v>
      </c>
      <c r="D1385" s="9" t="n">
        <v>200</v>
      </c>
      <c r="E1385" s="8" t="n">
        <v>24.68</v>
      </c>
      <c r="F1385" s="8" t="n">
        <v>4936</v>
      </c>
      <c r="G1385" s="8" t="n">
        <v>24.68</v>
      </c>
      <c r="H1385" s="8" t="n">
        <v>4936</v>
      </c>
    </row>
    <row r="1387" customFormat="false" ht="38.25" hidden="false" customHeight="true" outlineLevel="0" collapsed="false">
      <c r="A1387" s="6" t="s">
        <v>1340</v>
      </c>
      <c r="B1387" s="7" t="s">
        <v>1341</v>
      </c>
    </row>
    <row r="1389" customFormat="false" ht="12.75" hidden="false" customHeight="true" outlineLevel="0" collapsed="false">
      <c r="A1389" s="6" t="s">
        <v>1342</v>
      </c>
      <c r="B1389" s="7" t="s">
        <v>1329</v>
      </c>
      <c r="C1389" s="6" t="s">
        <v>922</v>
      </c>
      <c r="D1389" s="9" t="n">
        <v>20</v>
      </c>
      <c r="E1389" s="8" t="n">
        <v>29.2</v>
      </c>
      <c r="F1389" s="8" t="n">
        <v>584</v>
      </c>
      <c r="G1389" s="8" t="n">
        <v>29.2</v>
      </c>
      <c r="H1389" s="8" t="n">
        <v>584</v>
      </c>
    </row>
    <row r="1391" customFormat="false" ht="25.5" hidden="false" customHeight="true" outlineLevel="0" collapsed="false">
      <c r="A1391" s="6" t="s">
        <v>1343</v>
      </c>
      <c r="B1391" s="7" t="s">
        <v>1344</v>
      </c>
    </row>
    <row r="1393" customFormat="false" ht="12.75" hidden="false" customHeight="true" outlineLevel="0" collapsed="false">
      <c r="A1393" s="6" t="s">
        <v>1345</v>
      </c>
      <c r="B1393" s="7" t="s">
        <v>1329</v>
      </c>
      <c r="C1393" s="6" t="s">
        <v>922</v>
      </c>
      <c r="D1393" s="9" t="n">
        <v>30</v>
      </c>
      <c r="E1393" s="8" t="n">
        <v>29.65</v>
      </c>
      <c r="F1393" s="8" t="n">
        <v>889.5</v>
      </c>
      <c r="G1393" s="8" t="n">
        <v>29.65</v>
      </c>
      <c r="H1393" s="8" t="n">
        <v>889.5</v>
      </c>
    </row>
    <row r="1395" customFormat="false" ht="12.75" hidden="false" customHeight="true" outlineLevel="0" collapsed="false">
      <c r="A1395" s="6" t="s">
        <v>1346</v>
      </c>
      <c r="B1395" s="7" t="s">
        <v>1331</v>
      </c>
      <c r="C1395" s="6" t="s">
        <v>922</v>
      </c>
      <c r="D1395" s="9" t="n">
        <v>270</v>
      </c>
      <c r="E1395" s="8" t="n">
        <v>22.49</v>
      </c>
      <c r="F1395" s="8" t="n">
        <v>6072.3</v>
      </c>
      <c r="G1395" s="8" t="n">
        <v>22.49</v>
      </c>
      <c r="H1395" s="8" t="n">
        <v>6072.3</v>
      </c>
    </row>
    <row r="1397" customFormat="false" ht="12.75" hidden="false" customHeight="true" outlineLevel="0" collapsed="false">
      <c r="A1397" s="6" t="s">
        <v>1347</v>
      </c>
      <c r="B1397" s="7" t="s">
        <v>1348</v>
      </c>
    </row>
    <row r="1399" customFormat="false" ht="25.5" hidden="false" customHeight="true" outlineLevel="0" collapsed="false">
      <c r="A1399" s="6" t="s">
        <v>1349</v>
      </c>
      <c r="B1399" s="7" t="s">
        <v>1350</v>
      </c>
      <c r="C1399" s="6" t="s">
        <v>922</v>
      </c>
      <c r="D1399" s="9" t="n">
        <v>2</v>
      </c>
      <c r="E1399" s="8" t="n">
        <v>32.51</v>
      </c>
      <c r="F1399" s="8" t="n">
        <v>65.02</v>
      </c>
      <c r="G1399" s="8" t="n">
        <v>32.51</v>
      </c>
      <c r="H1399" s="8" t="n">
        <v>65.02</v>
      </c>
    </row>
    <row r="1401" customFormat="false" ht="12.75" hidden="false" customHeight="true" outlineLevel="0" collapsed="false">
      <c r="A1401" s="6" t="s">
        <v>1351</v>
      </c>
      <c r="B1401" s="7" t="s">
        <v>1352</v>
      </c>
    </row>
    <row r="1403" customFormat="false" ht="12.75" hidden="false" customHeight="true" outlineLevel="0" collapsed="false">
      <c r="A1403" s="6" t="s">
        <v>1353</v>
      </c>
      <c r="B1403" s="7" t="s">
        <v>1354</v>
      </c>
      <c r="C1403" s="6" t="s">
        <v>922</v>
      </c>
      <c r="D1403" s="9" t="n">
        <v>10</v>
      </c>
      <c r="E1403" s="8" t="n">
        <v>2.92</v>
      </c>
      <c r="F1403" s="8" t="n">
        <v>29.2</v>
      </c>
      <c r="G1403" s="8" t="n">
        <v>2.92</v>
      </c>
      <c r="H1403" s="8" t="n">
        <v>29.2</v>
      </c>
    </row>
    <row r="1405" customFormat="false" ht="12.75" hidden="false" customHeight="true" outlineLevel="0" collapsed="false">
      <c r="A1405" s="6" t="s">
        <v>1355</v>
      </c>
      <c r="B1405" s="7" t="s">
        <v>1356</v>
      </c>
      <c r="C1405" s="6" t="s">
        <v>16</v>
      </c>
      <c r="D1405" s="9" t="n">
        <v>1</v>
      </c>
      <c r="E1405" s="8" t="n">
        <v>14.6</v>
      </c>
      <c r="F1405" s="8" t="n">
        <v>14.6</v>
      </c>
      <c r="G1405" s="8" t="n">
        <v>14.6</v>
      </c>
      <c r="H1405" s="8" t="n">
        <v>14.6</v>
      </c>
    </row>
    <row r="1407" customFormat="false" ht="12.75" hidden="false" customHeight="true" outlineLevel="0" collapsed="false">
      <c r="A1407" s="6" t="s">
        <v>1357</v>
      </c>
      <c r="B1407" s="7" t="s">
        <v>1358</v>
      </c>
    </row>
    <row r="1409" customFormat="false" ht="25.5" hidden="false" customHeight="true" outlineLevel="0" collapsed="false">
      <c r="A1409" s="6" t="s">
        <v>1359</v>
      </c>
      <c r="B1409" s="7" t="s">
        <v>1360</v>
      </c>
      <c r="C1409" s="6" t="s">
        <v>922</v>
      </c>
      <c r="D1409" s="9" t="n">
        <v>400</v>
      </c>
      <c r="E1409" s="8" t="n">
        <v>12.5</v>
      </c>
      <c r="F1409" s="8" t="n">
        <v>5000</v>
      </c>
      <c r="G1409" s="8" t="n">
        <v>12.5</v>
      </c>
      <c r="H1409" s="8" t="n">
        <v>5000</v>
      </c>
    </row>
    <row r="1411" customFormat="false" ht="25.5" hidden="false" customHeight="true" outlineLevel="0" collapsed="false">
      <c r="A1411" s="6" t="s">
        <v>1361</v>
      </c>
      <c r="B1411" s="7" t="s">
        <v>1362</v>
      </c>
      <c r="C1411" s="6" t="s">
        <v>16</v>
      </c>
      <c r="D1411" s="9" t="n">
        <v>4</v>
      </c>
      <c r="E1411" s="8" t="n">
        <v>250</v>
      </c>
      <c r="F1411" s="8" t="n">
        <v>1000</v>
      </c>
      <c r="G1411" s="8" t="n">
        <v>250</v>
      </c>
      <c r="H1411" s="8" t="n">
        <v>1000</v>
      </c>
    </row>
    <row r="1413" customFormat="false" ht="25.5" hidden="false" customHeight="true" outlineLevel="0" collapsed="false">
      <c r="A1413" s="6" t="s">
        <v>1363</v>
      </c>
      <c r="B1413" s="7" t="s">
        <v>1364</v>
      </c>
      <c r="C1413" s="6" t="s">
        <v>16</v>
      </c>
      <c r="D1413" s="9" t="n">
        <v>4</v>
      </c>
      <c r="E1413" s="8" t="n">
        <v>150</v>
      </c>
      <c r="F1413" s="8" t="n">
        <v>600</v>
      </c>
      <c r="G1413" s="8" t="n">
        <v>150</v>
      </c>
      <c r="H1413" s="8" t="n">
        <v>600</v>
      </c>
      <c r="I1413" s="10" t="s">
        <v>192</v>
      </c>
      <c r="J1413" s="11" t="s">
        <v>18</v>
      </c>
      <c r="K1413" s="10" t="s">
        <v>1365</v>
      </c>
    </row>
    <row r="1415" customFormat="false" ht="12.75" hidden="false" customHeight="true" outlineLevel="0" collapsed="false">
      <c r="A1415" s="6" t="s">
        <v>1366</v>
      </c>
      <c r="B1415" s="7" t="s">
        <v>1367</v>
      </c>
    </row>
    <row r="1417" customFormat="false" ht="12.75" hidden="false" customHeight="true" outlineLevel="0" collapsed="false">
      <c r="A1417" s="6" t="s">
        <v>1368</v>
      </c>
      <c r="B1417" s="7" t="s">
        <v>1369</v>
      </c>
      <c r="C1417" s="6" t="s">
        <v>922</v>
      </c>
      <c r="D1417" s="9" t="n">
        <v>155</v>
      </c>
      <c r="E1417" s="8" t="n">
        <v>4.51</v>
      </c>
      <c r="F1417" s="8" t="n">
        <v>699.05</v>
      </c>
      <c r="G1417" s="8" t="n">
        <v>4.51</v>
      </c>
      <c r="H1417" s="8" t="n">
        <v>699.05</v>
      </c>
      <c r="I1417" s="10" t="s">
        <v>45</v>
      </c>
      <c r="J1417" s="11" t="s">
        <v>18</v>
      </c>
      <c r="K1417" s="10" t="s">
        <v>1370</v>
      </c>
    </row>
    <row r="1419" customFormat="false" ht="12.75" hidden="false" customHeight="true" outlineLevel="0" collapsed="false">
      <c r="A1419" s="6" t="s">
        <v>1371</v>
      </c>
      <c r="B1419" s="7" t="s">
        <v>1372</v>
      </c>
      <c r="C1419" s="6" t="s">
        <v>922</v>
      </c>
      <c r="D1419" s="9" t="n">
        <v>500</v>
      </c>
      <c r="E1419" s="8" t="n">
        <v>3.26</v>
      </c>
      <c r="F1419" s="8" t="n">
        <v>1630</v>
      </c>
      <c r="G1419" s="8" t="n">
        <v>3.26</v>
      </c>
      <c r="H1419" s="8" t="n">
        <v>1630</v>
      </c>
    </row>
    <row r="1421" customFormat="false" ht="12.75" hidden="false" customHeight="true" outlineLevel="0" collapsed="false">
      <c r="A1421" s="6" t="s">
        <v>1373</v>
      </c>
      <c r="B1421" s="7" t="s">
        <v>1374</v>
      </c>
      <c r="F1421" s="8" t="n">
        <v>5271.03</v>
      </c>
      <c r="H1421" s="8" t="n">
        <v>5271.03</v>
      </c>
    </row>
    <row r="1423" customFormat="false" ht="25.5" hidden="false" customHeight="true" outlineLevel="0" collapsed="false">
      <c r="A1423" s="6" t="s">
        <v>1375</v>
      </c>
      <c r="B1423" s="7" t="s">
        <v>1376</v>
      </c>
      <c r="C1423" s="6" t="s">
        <v>16</v>
      </c>
      <c r="D1423" s="9" t="n">
        <v>1</v>
      </c>
      <c r="E1423" s="8" t="n">
        <v>160.91</v>
      </c>
      <c r="F1423" s="8" t="n">
        <v>160.91</v>
      </c>
      <c r="G1423" s="8" t="n">
        <v>160.91</v>
      </c>
      <c r="H1423" s="8" t="n">
        <v>160.91</v>
      </c>
    </row>
    <row r="1425" customFormat="false" ht="25.5" hidden="false" customHeight="true" outlineLevel="0" collapsed="false">
      <c r="A1425" s="6" t="s">
        <v>1377</v>
      </c>
      <c r="B1425" s="7" t="s">
        <v>1378</v>
      </c>
      <c r="C1425" s="6" t="s">
        <v>16</v>
      </c>
      <c r="D1425" s="9" t="n">
        <v>1</v>
      </c>
      <c r="E1425" s="8" t="n">
        <v>160.91</v>
      </c>
      <c r="F1425" s="8" t="n">
        <v>160.91</v>
      </c>
      <c r="G1425" s="8" t="n">
        <v>160.91</v>
      </c>
      <c r="H1425" s="8" t="n">
        <v>160.91</v>
      </c>
    </row>
    <row r="1427" customFormat="false" ht="25.5" hidden="false" customHeight="true" outlineLevel="0" collapsed="false">
      <c r="A1427" s="6" t="s">
        <v>1379</v>
      </c>
      <c r="B1427" s="7" t="s">
        <v>1380</v>
      </c>
      <c r="C1427" s="6" t="s">
        <v>16</v>
      </c>
      <c r="D1427" s="9" t="n">
        <v>2</v>
      </c>
      <c r="E1427" s="8" t="n">
        <v>119.44</v>
      </c>
      <c r="F1427" s="8" t="n">
        <v>238.88</v>
      </c>
      <c r="G1427" s="8" t="n">
        <v>119.44</v>
      </c>
      <c r="H1427" s="8" t="n">
        <v>238.88</v>
      </c>
    </row>
    <row r="1429" customFormat="false" ht="25.5" hidden="false" customHeight="true" outlineLevel="0" collapsed="false">
      <c r="A1429" s="6" t="s">
        <v>1381</v>
      </c>
      <c r="B1429" s="7" t="s">
        <v>1382</v>
      </c>
      <c r="C1429" s="6" t="s">
        <v>16</v>
      </c>
      <c r="D1429" s="9" t="n">
        <v>16</v>
      </c>
      <c r="E1429" s="8" t="n">
        <v>46.45</v>
      </c>
      <c r="F1429" s="8" t="n">
        <v>743.2</v>
      </c>
      <c r="G1429" s="8" t="n">
        <v>46.45</v>
      </c>
      <c r="H1429" s="8" t="n">
        <v>743.2</v>
      </c>
    </row>
    <row r="1431" customFormat="false" ht="12.75" hidden="false" customHeight="true" outlineLevel="0" collapsed="false">
      <c r="A1431" s="6" t="s">
        <v>1383</v>
      </c>
      <c r="B1431" s="7" t="s">
        <v>1384</v>
      </c>
    </row>
    <row r="1433" customFormat="false" ht="12.75" hidden="false" customHeight="true" outlineLevel="0" collapsed="false">
      <c r="A1433" s="6" t="s">
        <v>1385</v>
      </c>
      <c r="B1433" s="7" t="s">
        <v>1386</v>
      </c>
      <c r="C1433" s="6" t="s">
        <v>922</v>
      </c>
      <c r="D1433" s="9" t="n">
        <v>5</v>
      </c>
      <c r="E1433" s="8" t="n">
        <v>20.37</v>
      </c>
      <c r="F1433" s="8" t="n">
        <v>101.85</v>
      </c>
      <c r="G1433" s="8" t="n">
        <v>20.37</v>
      </c>
      <c r="H1433" s="8" t="n">
        <v>101.85</v>
      </c>
    </row>
    <row r="1435" customFormat="false" ht="12.75" hidden="false" customHeight="true" outlineLevel="0" collapsed="false">
      <c r="A1435" s="6" t="s">
        <v>1387</v>
      </c>
      <c r="B1435" s="7" t="s">
        <v>1388</v>
      </c>
      <c r="C1435" s="6" t="s">
        <v>922</v>
      </c>
      <c r="D1435" s="9" t="n">
        <v>2</v>
      </c>
      <c r="E1435" s="8" t="n">
        <v>5.91</v>
      </c>
      <c r="F1435" s="8" t="n">
        <v>11.82</v>
      </c>
      <c r="G1435" s="8" t="n">
        <v>5.91</v>
      </c>
      <c r="H1435" s="8" t="n">
        <v>11.82</v>
      </c>
    </row>
    <row r="1437" customFormat="false" ht="12.75" hidden="false" customHeight="true" outlineLevel="0" collapsed="false">
      <c r="A1437" s="6" t="s">
        <v>1389</v>
      </c>
      <c r="B1437" s="7" t="s">
        <v>1390</v>
      </c>
      <c r="C1437" s="6" t="s">
        <v>922</v>
      </c>
      <c r="D1437" s="9" t="n">
        <v>2</v>
      </c>
      <c r="E1437" s="8" t="n">
        <v>4.25</v>
      </c>
      <c r="F1437" s="8" t="n">
        <v>8.5</v>
      </c>
      <c r="G1437" s="8" t="n">
        <v>4.25</v>
      </c>
      <c r="H1437" s="8" t="n">
        <v>8.5</v>
      </c>
    </row>
    <row r="1439" customFormat="false" ht="12.75" hidden="false" customHeight="true" outlineLevel="0" collapsed="false">
      <c r="A1439" s="6" t="s">
        <v>1391</v>
      </c>
      <c r="B1439" s="7" t="s">
        <v>1392</v>
      </c>
      <c r="C1439" s="6" t="s">
        <v>922</v>
      </c>
      <c r="D1439" s="9" t="n">
        <v>25</v>
      </c>
      <c r="E1439" s="8" t="n">
        <v>1.92</v>
      </c>
      <c r="F1439" s="8" t="n">
        <v>48</v>
      </c>
      <c r="G1439" s="8" t="n">
        <v>1.92</v>
      </c>
      <c r="H1439" s="8" t="n">
        <v>48</v>
      </c>
    </row>
    <row r="1441" customFormat="false" ht="12.75" hidden="false" customHeight="true" outlineLevel="0" collapsed="false">
      <c r="A1441" s="6" t="s">
        <v>1393</v>
      </c>
      <c r="B1441" s="7" t="s">
        <v>1394</v>
      </c>
      <c r="C1441" s="6" t="s">
        <v>922</v>
      </c>
      <c r="D1441" s="9" t="n">
        <v>12</v>
      </c>
      <c r="E1441" s="8" t="n">
        <v>4.05</v>
      </c>
      <c r="F1441" s="8" t="n">
        <v>48.6</v>
      </c>
      <c r="G1441" s="8" t="n">
        <v>4.05</v>
      </c>
      <c r="H1441" s="8" t="n">
        <v>48.6</v>
      </c>
    </row>
    <row r="1443" customFormat="false" ht="12.75" hidden="false" customHeight="true" outlineLevel="0" collapsed="false">
      <c r="A1443" s="6" t="s">
        <v>1395</v>
      </c>
      <c r="B1443" s="7" t="s">
        <v>1396</v>
      </c>
      <c r="C1443" s="6" t="s">
        <v>922</v>
      </c>
      <c r="D1443" s="9" t="n">
        <v>300</v>
      </c>
      <c r="E1443" s="8" t="n">
        <v>1.99</v>
      </c>
      <c r="F1443" s="8" t="n">
        <v>597</v>
      </c>
      <c r="G1443" s="8" t="n">
        <v>1.99</v>
      </c>
      <c r="H1443" s="8" t="n">
        <v>597</v>
      </c>
    </row>
    <row r="1445" customFormat="false" ht="12.75" hidden="false" customHeight="true" outlineLevel="0" collapsed="false">
      <c r="A1445" s="6" t="s">
        <v>1397</v>
      </c>
      <c r="B1445" s="7" t="s">
        <v>1398</v>
      </c>
      <c r="C1445" s="6" t="s">
        <v>922</v>
      </c>
      <c r="D1445" s="9" t="n">
        <v>450</v>
      </c>
      <c r="E1445" s="8" t="n">
        <v>2.26</v>
      </c>
      <c r="F1445" s="8" t="n">
        <v>1017</v>
      </c>
      <c r="G1445" s="8" t="n">
        <v>2.26</v>
      </c>
      <c r="H1445" s="8" t="n">
        <v>1017</v>
      </c>
    </row>
    <row r="1447" customFormat="false" ht="12.75" hidden="false" customHeight="true" outlineLevel="0" collapsed="false">
      <c r="A1447" s="6" t="s">
        <v>1399</v>
      </c>
      <c r="B1447" s="7" t="s">
        <v>1400</v>
      </c>
    </row>
    <row r="1449" customFormat="false" ht="12.75" hidden="false" customHeight="true" outlineLevel="0" collapsed="false">
      <c r="A1449" s="6" t="s">
        <v>1401</v>
      </c>
      <c r="B1449" s="7" t="s">
        <v>1402</v>
      </c>
      <c r="C1449" s="6" t="s">
        <v>922</v>
      </c>
      <c r="D1449" s="9" t="n">
        <v>5</v>
      </c>
      <c r="E1449" s="8" t="n">
        <v>3.26</v>
      </c>
      <c r="F1449" s="8" t="n">
        <v>16.3</v>
      </c>
      <c r="G1449" s="8" t="n">
        <v>3.26</v>
      </c>
      <c r="H1449" s="8" t="n">
        <v>16.3</v>
      </c>
    </row>
    <row r="1451" customFormat="false" ht="12.75" hidden="false" customHeight="true" outlineLevel="0" collapsed="false">
      <c r="A1451" s="6" t="s">
        <v>1403</v>
      </c>
      <c r="B1451" s="7" t="s">
        <v>1404</v>
      </c>
      <c r="C1451" s="6" t="s">
        <v>922</v>
      </c>
      <c r="D1451" s="9" t="n">
        <v>5</v>
      </c>
      <c r="E1451" s="8" t="n">
        <v>2.65</v>
      </c>
      <c r="F1451" s="8" t="n">
        <v>13.25</v>
      </c>
      <c r="G1451" s="8" t="n">
        <v>2.65</v>
      </c>
      <c r="H1451" s="8" t="n">
        <v>13.25</v>
      </c>
    </row>
    <row r="1453" customFormat="false" ht="12.75" hidden="false" customHeight="true" outlineLevel="0" collapsed="false">
      <c r="A1453" s="6" t="s">
        <v>1405</v>
      </c>
      <c r="B1453" s="7" t="s">
        <v>1406</v>
      </c>
      <c r="C1453" s="6" t="s">
        <v>922</v>
      </c>
      <c r="D1453" s="9" t="n">
        <v>350</v>
      </c>
      <c r="E1453" s="8" t="n">
        <v>2.26</v>
      </c>
      <c r="F1453" s="8" t="n">
        <v>791</v>
      </c>
      <c r="G1453" s="8" t="n">
        <v>2.26</v>
      </c>
      <c r="H1453" s="8" t="n">
        <v>791</v>
      </c>
    </row>
    <row r="1455" customFormat="false" ht="12.75" hidden="false" customHeight="true" outlineLevel="0" collapsed="false">
      <c r="A1455" s="6" t="s">
        <v>1407</v>
      </c>
      <c r="B1455" s="7" t="s">
        <v>1408</v>
      </c>
    </row>
    <row r="1457" customFormat="false" ht="51" hidden="false" customHeight="true" outlineLevel="0" collapsed="false">
      <c r="A1457" s="6" t="s">
        <v>1409</v>
      </c>
      <c r="B1457" s="7" t="s">
        <v>1410</v>
      </c>
      <c r="C1457" s="6" t="s">
        <v>16</v>
      </c>
      <c r="D1457" s="9" t="n">
        <v>1</v>
      </c>
      <c r="E1457" s="8" t="n">
        <v>1313.81</v>
      </c>
      <c r="F1457" s="8" t="n">
        <v>1313.81</v>
      </c>
      <c r="G1457" s="8" t="n">
        <v>1313.81</v>
      </c>
      <c r="H1457" s="8" t="n">
        <v>1313.81</v>
      </c>
    </row>
    <row r="1459" customFormat="false" ht="12.75" hidden="false" customHeight="true" outlineLevel="0" collapsed="false">
      <c r="A1459" s="6" t="s">
        <v>1411</v>
      </c>
      <c r="B1459" s="7" t="s">
        <v>1412</v>
      </c>
      <c r="F1459" s="8" t="n">
        <v>18364.21</v>
      </c>
      <c r="H1459" s="8" t="n">
        <v>18364.21</v>
      </c>
    </row>
    <row r="1461" customFormat="false" ht="12.75" hidden="false" customHeight="true" outlineLevel="0" collapsed="false">
      <c r="A1461" s="6" t="s">
        <v>1413</v>
      </c>
      <c r="B1461" s="7" t="s">
        <v>1414</v>
      </c>
      <c r="C1461" s="6" t="s">
        <v>16</v>
      </c>
      <c r="D1461" s="9" t="n">
        <v>1</v>
      </c>
      <c r="E1461" s="8" t="n">
        <v>2648.86</v>
      </c>
      <c r="F1461" s="8" t="n">
        <v>2648.86</v>
      </c>
      <c r="G1461" s="8" t="n">
        <v>2648.86</v>
      </c>
      <c r="H1461" s="8" t="n">
        <v>2648.86</v>
      </c>
      <c r="I1461" s="12" t="s">
        <v>22</v>
      </c>
      <c r="J1461" s="13" t="s">
        <v>23</v>
      </c>
      <c r="K1461" s="12" t="s">
        <v>1415</v>
      </c>
    </row>
    <row r="1463" customFormat="false" ht="12.75" hidden="false" customHeight="true" outlineLevel="0" collapsed="false">
      <c r="A1463" s="6" t="s">
        <v>1416</v>
      </c>
      <c r="B1463" s="7" t="s">
        <v>1417</v>
      </c>
      <c r="C1463" s="6" t="s">
        <v>16</v>
      </c>
      <c r="D1463" s="9" t="n">
        <v>1</v>
      </c>
      <c r="E1463" s="8" t="n">
        <v>9541.74</v>
      </c>
      <c r="F1463" s="8" t="n">
        <v>9541.74</v>
      </c>
      <c r="G1463" s="8" t="n">
        <v>9541.74</v>
      </c>
      <c r="H1463" s="8" t="n">
        <v>9541.74</v>
      </c>
    </row>
    <row r="1465" customFormat="false" ht="12.75" hidden="false" customHeight="true" outlineLevel="0" collapsed="false">
      <c r="A1465" s="6" t="s">
        <v>1418</v>
      </c>
      <c r="B1465" s="7" t="s">
        <v>1419</v>
      </c>
      <c r="C1465" s="6" t="s">
        <v>16</v>
      </c>
      <c r="D1465" s="9" t="n">
        <v>1</v>
      </c>
      <c r="E1465" s="8" t="n">
        <v>2733.8</v>
      </c>
      <c r="F1465" s="8" t="n">
        <v>2733.8</v>
      </c>
      <c r="G1465" s="8" t="n">
        <v>2733.8</v>
      </c>
      <c r="H1465" s="8" t="n">
        <v>2733.8</v>
      </c>
    </row>
    <row r="1467" customFormat="false" ht="12.75" hidden="false" customHeight="true" outlineLevel="0" collapsed="false">
      <c r="A1467" s="6" t="s">
        <v>1420</v>
      </c>
      <c r="B1467" s="7" t="s">
        <v>1421</v>
      </c>
      <c r="C1467" s="6" t="s">
        <v>16</v>
      </c>
      <c r="D1467" s="9" t="n">
        <v>1</v>
      </c>
      <c r="E1467" s="8" t="n">
        <v>756.44</v>
      </c>
      <c r="F1467" s="8" t="n">
        <v>756.44</v>
      </c>
      <c r="G1467" s="8" t="n">
        <v>756.44</v>
      </c>
      <c r="H1467" s="8" t="n">
        <v>756.44</v>
      </c>
    </row>
    <row r="1469" customFormat="false" ht="12.75" hidden="false" customHeight="true" outlineLevel="0" collapsed="false">
      <c r="A1469" s="6" t="s">
        <v>1422</v>
      </c>
      <c r="B1469" s="7" t="s">
        <v>1423</v>
      </c>
      <c r="C1469" s="6" t="s">
        <v>16</v>
      </c>
      <c r="D1469" s="9" t="n">
        <v>1</v>
      </c>
      <c r="E1469" s="8" t="n">
        <v>2683.37</v>
      </c>
      <c r="F1469" s="8" t="n">
        <v>2683.37</v>
      </c>
      <c r="G1469" s="8" t="n">
        <v>2683.37</v>
      </c>
      <c r="H1469" s="8" t="n">
        <v>2683.37</v>
      </c>
    </row>
    <row r="1471" customFormat="false" ht="25.5" hidden="false" customHeight="true" outlineLevel="0" collapsed="false">
      <c r="A1471" s="6" t="s">
        <v>1424</v>
      </c>
      <c r="B1471" s="7" t="s">
        <v>1425</v>
      </c>
      <c r="F1471" s="8" t="n">
        <v>46595.31</v>
      </c>
      <c r="H1471" s="8" t="n">
        <v>46595.31</v>
      </c>
    </row>
    <row r="1473" customFormat="false" ht="12.75" hidden="false" customHeight="true" outlineLevel="0" collapsed="false">
      <c r="A1473" s="6" t="s">
        <v>1426</v>
      </c>
      <c r="B1473" s="7" t="s">
        <v>1427</v>
      </c>
      <c r="C1473" s="6" t="s">
        <v>16</v>
      </c>
      <c r="D1473" s="9" t="n">
        <v>3</v>
      </c>
      <c r="E1473" s="8" t="n">
        <v>1699.55</v>
      </c>
      <c r="F1473" s="8" t="n">
        <v>5098.65</v>
      </c>
      <c r="G1473" s="8" t="n">
        <v>1699.55</v>
      </c>
      <c r="H1473" s="8" t="n">
        <v>5098.65</v>
      </c>
      <c r="I1473" s="12" t="s">
        <v>1428</v>
      </c>
      <c r="J1473" s="13" t="s">
        <v>23</v>
      </c>
      <c r="K1473" s="12" t="s">
        <v>1429</v>
      </c>
    </row>
    <row r="1475" customFormat="false" ht="12.75" hidden="false" customHeight="true" outlineLevel="0" collapsed="false">
      <c r="A1475" s="6" t="s">
        <v>1430</v>
      </c>
      <c r="B1475" s="7" t="s">
        <v>1431</v>
      </c>
      <c r="C1475" s="6" t="s">
        <v>16</v>
      </c>
      <c r="D1475" s="9" t="n">
        <v>1</v>
      </c>
      <c r="E1475" s="8" t="n">
        <v>548.09</v>
      </c>
      <c r="F1475" s="8" t="n">
        <v>548.09</v>
      </c>
      <c r="G1475" s="8" t="n">
        <v>548.09</v>
      </c>
      <c r="H1475" s="8" t="n">
        <v>548.09</v>
      </c>
    </row>
    <row r="1477" customFormat="false" ht="12.75" hidden="false" customHeight="true" outlineLevel="0" collapsed="false">
      <c r="A1477" s="6" t="s">
        <v>1432</v>
      </c>
      <c r="B1477" s="7" t="s">
        <v>1433</v>
      </c>
      <c r="C1477" s="6" t="s">
        <v>16</v>
      </c>
      <c r="D1477" s="9" t="n">
        <v>192</v>
      </c>
      <c r="E1477" s="8" t="n">
        <v>132.84</v>
      </c>
      <c r="F1477" s="8" t="n">
        <v>25505.28</v>
      </c>
      <c r="G1477" s="8" t="n">
        <v>132.84</v>
      </c>
      <c r="H1477" s="8" t="n">
        <v>25505.28</v>
      </c>
      <c r="I1477" s="12" t="s">
        <v>4</v>
      </c>
      <c r="J1477" s="13" t="s">
        <v>23</v>
      </c>
      <c r="K1477" s="12" t="s">
        <v>1434</v>
      </c>
    </row>
    <row r="1479" customFormat="false" ht="12.75" hidden="false" customHeight="true" outlineLevel="0" collapsed="false">
      <c r="A1479" s="6" t="s">
        <v>1435</v>
      </c>
      <c r="B1479" s="7" t="s">
        <v>1436</v>
      </c>
      <c r="C1479" s="6" t="s">
        <v>16</v>
      </c>
      <c r="D1479" s="9" t="n">
        <v>1</v>
      </c>
      <c r="E1479" s="8" t="n">
        <v>10161.49</v>
      </c>
      <c r="F1479" s="8" t="n">
        <v>10161.49</v>
      </c>
      <c r="G1479" s="8" t="n">
        <v>10161.49</v>
      </c>
      <c r="H1479" s="8" t="n">
        <v>10161.49</v>
      </c>
    </row>
    <row r="1481" customFormat="false" ht="38.25" hidden="false" customHeight="true" outlineLevel="0" collapsed="false">
      <c r="A1481" s="6" t="s">
        <v>1437</v>
      </c>
      <c r="B1481" s="7" t="s">
        <v>1438</v>
      </c>
      <c r="C1481" s="6" t="s">
        <v>16</v>
      </c>
      <c r="D1481" s="9" t="n">
        <v>1</v>
      </c>
      <c r="E1481" s="8" t="n">
        <v>5281.8</v>
      </c>
      <c r="F1481" s="8" t="n">
        <v>5281.8</v>
      </c>
      <c r="G1481" s="8" t="n">
        <v>5281.8</v>
      </c>
      <c r="H1481" s="8" t="n">
        <v>5281.8</v>
      </c>
    </row>
    <row r="1483" customFormat="false" ht="12.75" hidden="false" customHeight="true" outlineLevel="0" collapsed="false">
      <c r="A1483" s="6" t="s">
        <v>1439</v>
      </c>
      <c r="B1483" s="7" t="s">
        <v>1440</v>
      </c>
      <c r="F1483" s="8" t="n">
        <v>11478.3</v>
      </c>
      <c r="H1483" s="8" t="n">
        <v>11478.3</v>
      </c>
    </row>
    <row r="1485" customFormat="false" ht="12.75" hidden="false" customHeight="true" outlineLevel="0" collapsed="false">
      <c r="A1485" s="6" t="s">
        <v>1441</v>
      </c>
      <c r="B1485" s="7" t="s">
        <v>1384</v>
      </c>
    </row>
    <row r="1487" customFormat="false" ht="12.75" hidden="false" customHeight="true" outlineLevel="0" collapsed="false">
      <c r="A1487" s="6" t="s">
        <v>1442</v>
      </c>
      <c r="B1487" s="7" t="s">
        <v>1443</v>
      </c>
      <c r="C1487" s="6" t="s">
        <v>922</v>
      </c>
      <c r="D1487" s="9" t="n">
        <v>50</v>
      </c>
      <c r="E1487" s="8" t="n">
        <v>72.59</v>
      </c>
      <c r="F1487" s="8" t="n">
        <v>3629.5</v>
      </c>
      <c r="G1487" s="8" t="n">
        <v>72.59</v>
      </c>
      <c r="H1487" s="8" t="n">
        <v>3629.5</v>
      </c>
    </row>
    <row r="1489" customFormat="false" ht="12.75" hidden="false" customHeight="true" outlineLevel="0" collapsed="false">
      <c r="A1489" s="6" t="s">
        <v>1444</v>
      </c>
      <c r="B1489" s="7" t="s">
        <v>1445</v>
      </c>
      <c r="C1489" s="6" t="s">
        <v>922</v>
      </c>
      <c r="D1489" s="9" t="n">
        <v>40</v>
      </c>
      <c r="E1489" s="8" t="n">
        <v>52.95</v>
      </c>
      <c r="F1489" s="8" t="n">
        <v>2118</v>
      </c>
      <c r="G1489" s="8" t="n">
        <v>52.95</v>
      </c>
      <c r="H1489" s="8" t="n">
        <v>2118</v>
      </c>
    </row>
    <row r="1491" customFormat="false" ht="12.75" hidden="false" customHeight="true" outlineLevel="0" collapsed="false">
      <c r="A1491" s="6" t="s">
        <v>1446</v>
      </c>
      <c r="B1491" s="7" t="s">
        <v>1447</v>
      </c>
      <c r="C1491" s="6" t="s">
        <v>922</v>
      </c>
      <c r="D1491" s="9" t="n">
        <v>40</v>
      </c>
      <c r="E1491" s="8" t="n">
        <v>19.04</v>
      </c>
      <c r="F1491" s="8" t="n">
        <v>761.6</v>
      </c>
      <c r="G1491" s="8" t="n">
        <v>19.04</v>
      </c>
      <c r="H1491" s="8" t="n">
        <v>761.6</v>
      </c>
    </row>
    <row r="1493" customFormat="false" ht="12.75" hidden="false" customHeight="true" outlineLevel="0" collapsed="false">
      <c r="A1493" s="6" t="s">
        <v>1448</v>
      </c>
      <c r="B1493" s="7" t="s">
        <v>1449</v>
      </c>
      <c r="C1493" s="6" t="s">
        <v>922</v>
      </c>
      <c r="D1493" s="9" t="n">
        <v>40</v>
      </c>
      <c r="E1493" s="8" t="n">
        <v>6.04</v>
      </c>
      <c r="F1493" s="8" t="n">
        <v>241.6</v>
      </c>
      <c r="G1493" s="8" t="n">
        <v>6.04</v>
      </c>
      <c r="H1493" s="8" t="n">
        <v>241.6</v>
      </c>
    </row>
    <row r="1495" customFormat="false" ht="12.75" hidden="false" customHeight="true" outlineLevel="0" collapsed="false">
      <c r="A1495" s="6" t="s">
        <v>1450</v>
      </c>
      <c r="B1495" s="7" t="s">
        <v>1451</v>
      </c>
      <c r="C1495" s="6" t="s">
        <v>922</v>
      </c>
      <c r="D1495" s="9" t="n">
        <v>710</v>
      </c>
      <c r="E1495" s="8" t="n">
        <v>6.37</v>
      </c>
      <c r="F1495" s="8" t="n">
        <v>4522.7</v>
      </c>
      <c r="G1495" s="8" t="n">
        <v>6.37</v>
      </c>
      <c r="H1495" s="8" t="n">
        <v>4522.7</v>
      </c>
    </row>
    <row r="1497" customFormat="false" ht="12.75" hidden="false" customHeight="true" outlineLevel="0" collapsed="false">
      <c r="A1497" s="6" t="s">
        <v>1452</v>
      </c>
      <c r="B1497" s="7" t="s">
        <v>1400</v>
      </c>
    </row>
    <row r="1499" customFormat="false" ht="12.75" hidden="false" customHeight="true" outlineLevel="0" collapsed="false">
      <c r="A1499" s="6" t="s">
        <v>1453</v>
      </c>
      <c r="B1499" s="7" t="s">
        <v>1454</v>
      </c>
      <c r="C1499" s="6" t="s">
        <v>922</v>
      </c>
      <c r="D1499" s="9" t="n">
        <v>10</v>
      </c>
      <c r="E1499" s="8" t="n">
        <v>3.98</v>
      </c>
      <c r="F1499" s="8" t="n">
        <v>39.8</v>
      </c>
      <c r="G1499" s="8" t="n">
        <v>3.98</v>
      </c>
      <c r="H1499" s="8" t="n">
        <v>39.8</v>
      </c>
      <c r="I1499" s="10" t="s">
        <v>192</v>
      </c>
      <c r="J1499" s="11" t="s">
        <v>18</v>
      </c>
      <c r="K1499" s="10" t="s">
        <v>1455</v>
      </c>
    </row>
    <row r="1501" customFormat="false" ht="12.75" hidden="false" customHeight="true" outlineLevel="0" collapsed="false">
      <c r="A1501" s="6" t="s">
        <v>1456</v>
      </c>
      <c r="B1501" s="7" t="s">
        <v>1457</v>
      </c>
      <c r="C1501" s="6" t="s">
        <v>922</v>
      </c>
      <c r="D1501" s="9" t="n">
        <v>10</v>
      </c>
      <c r="E1501" s="8" t="n">
        <v>3.26</v>
      </c>
      <c r="F1501" s="8" t="n">
        <v>32.6</v>
      </c>
      <c r="G1501" s="8" t="n">
        <v>3.26</v>
      </c>
      <c r="H1501" s="8" t="n">
        <v>32.6</v>
      </c>
    </row>
    <row r="1503" customFormat="false" ht="12.75" hidden="false" customHeight="true" outlineLevel="0" collapsed="false">
      <c r="A1503" s="6" t="s">
        <v>1458</v>
      </c>
      <c r="B1503" s="7" t="s">
        <v>1459</v>
      </c>
      <c r="C1503" s="6" t="s">
        <v>922</v>
      </c>
      <c r="D1503" s="9" t="n">
        <v>50</v>
      </c>
      <c r="E1503" s="8" t="n">
        <v>2.65</v>
      </c>
      <c r="F1503" s="8" t="n">
        <v>132.5</v>
      </c>
      <c r="G1503" s="8" t="n">
        <v>2.65</v>
      </c>
      <c r="H1503" s="8" t="n">
        <v>132.5</v>
      </c>
    </row>
    <row r="1505" customFormat="false" ht="12.75" hidden="false" customHeight="true" outlineLevel="0" collapsed="false">
      <c r="A1505" s="6" t="s">
        <v>1460</v>
      </c>
      <c r="B1505" s="7" t="s">
        <v>1461</v>
      </c>
      <c r="F1505" s="8" t="n">
        <v>100576.05</v>
      </c>
      <c r="H1505" s="8" t="n">
        <v>100576.05</v>
      </c>
    </row>
    <row r="1507" customFormat="false" ht="12.75" hidden="false" customHeight="true" outlineLevel="0" collapsed="false">
      <c r="A1507" s="6" t="s">
        <v>1462</v>
      </c>
      <c r="B1507" s="7" t="s">
        <v>1463</v>
      </c>
    </row>
    <row r="1509" customFormat="false" ht="12.75" hidden="false" customHeight="true" outlineLevel="0" collapsed="false">
      <c r="A1509" s="6" t="s">
        <v>1464</v>
      </c>
      <c r="B1509" s="7" t="s">
        <v>1465</v>
      </c>
    </row>
    <row r="1511" customFormat="false" ht="12.75" hidden="false" customHeight="true" outlineLevel="0" collapsed="false">
      <c r="A1511" s="6" t="s">
        <v>1466</v>
      </c>
      <c r="B1511" s="7" t="s">
        <v>1467</v>
      </c>
      <c r="C1511" s="6" t="s">
        <v>922</v>
      </c>
      <c r="D1511" s="9" t="n">
        <v>90</v>
      </c>
      <c r="E1511" s="8" t="n">
        <v>3.25</v>
      </c>
      <c r="F1511" s="8" t="n">
        <v>292.5</v>
      </c>
      <c r="G1511" s="8" t="n">
        <v>3.25</v>
      </c>
      <c r="H1511" s="8" t="n">
        <v>292.5</v>
      </c>
    </row>
    <row r="1514" customFormat="false" ht="12.75" hidden="false" customHeight="true" outlineLevel="0" collapsed="false">
      <c r="A1514" s="6" t="s">
        <v>1468</v>
      </c>
      <c r="B1514" s="7" t="s">
        <v>1469</v>
      </c>
      <c r="C1514" s="6" t="s">
        <v>922</v>
      </c>
      <c r="D1514" s="9" t="n">
        <v>1900</v>
      </c>
      <c r="E1514" s="8" t="n">
        <v>2.52</v>
      </c>
      <c r="F1514" s="8" t="n">
        <v>4788</v>
      </c>
      <c r="G1514" s="8" t="n">
        <v>2.52</v>
      </c>
      <c r="H1514" s="8" t="n">
        <v>4788</v>
      </c>
      <c r="I1514" s="10" t="s">
        <v>17</v>
      </c>
      <c r="J1514" s="11" t="s">
        <v>18</v>
      </c>
      <c r="K1514" s="10" t="s">
        <v>1470</v>
      </c>
    </row>
    <row r="1516" customFormat="false" ht="12.75" hidden="false" customHeight="true" outlineLevel="0" collapsed="false">
      <c r="A1516" s="6" t="s">
        <v>1471</v>
      </c>
      <c r="B1516" s="7" t="s">
        <v>1472</v>
      </c>
      <c r="C1516" s="6" t="s">
        <v>922</v>
      </c>
      <c r="D1516" s="9" t="n">
        <v>10</v>
      </c>
      <c r="E1516" s="8" t="n">
        <v>2.52</v>
      </c>
      <c r="F1516" s="8" t="n">
        <v>25.2</v>
      </c>
      <c r="G1516" s="8" t="n">
        <v>2.52</v>
      </c>
      <c r="H1516" s="8" t="n">
        <v>25.2</v>
      </c>
    </row>
    <row r="1518" customFormat="false" ht="38.25" hidden="false" customHeight="true" outlineLevel="0" collapsed="false">
      <c r="A1518" s="6" t="s">
        <v>1473</v>
      </c>
      <c r="B1518" s="7" t="s">
        <v>1474</v>
      </c>
      <c r="C1518" s="6" t="s">
        <v>922</v>
      </c>
      <c r="D1518" s="9" t="n">
        <v>660</v>
      </c>
      <c r="E1518" s="8" t="n">
        <v>2.26</v>
      </c>
      <c r="F1518" s="8" t="n">
        <v>1491.6</v>
      </c>
      <c r="G1518" s="8" t="n">
        <v>2.26</v>
      </c>
      <c r="H1518" s="8" t="n">
        <v>1491.6</v>
      </c>
    </row>
    <row r="1520" customFormat="false" ht="12.75" hidden="false" customHeight="true" outlineLevel="0" collapsed="false">
      <c r="A1520" s="6" t="s">
        <v>1475</v>
      </c>
      <c r="B1520" s="7" t="s">
        <v>1476</v>
      </c>
      <c r="C1520" s="6" t="s">
        <v>922</v>
      </c>
      <c r="D1520" s="9" t="n">
        <v>690</v>
      </c>
      <c r="E1520" s="8" t="n">
        <v>3.12</v>
      </c>
      <c r="F1520" s="8" t="n">
        <v>2152.8</v>
      </c>
      <c r="G1520" s="8" t="n">
        <v>3.12</v>
      </c>
      <c r="H1520" s="8" t="n">
        <v>2152.8</v>
      </c>
    </row>
    <row r="1522" customFormat="false" ht="12.75" hidden="false" customHeight="true" outlineLevel="0" collapsed="false">
      <c r="A1522" s="6" t="s">
        <v>1477</v>
      </c>
      <c r="B1522" s="7" t="s">
        <v>1478</v>
      </c>
      <c r="C1522" s="6" t="s">
        <v>922</v>
      </c>
      <c r="D1522" s="9" t="n">
        <v>505</v>
      </c>
      <c r="E1522" s="8" t="n">
        <v>5.85</v>
      </c>
      <c r="F1522" s="8" t="n">
        <v>2954.25</v>
      </c>
      <c r="G1522" s="8" t="n">
        <v>5.85</v>
      </c>
      <c r="H1522" s="8" t="n">
        <v>2954.25</v>
      </c>
    </row>
    <row r="1524" customFormat="false" ht="12.75" hidden="false" customHeight="true" outlineLevel="0" collapsed="false">
      <c r="A1524" s="6" t="s">
        <v>1479</v>
      </c>
      <c r="B1524" s="7" t="s">
        <v>1480</v>
      </c>
    </row>
    <row r="1526" customFormat="false" ht="12.75" hidden="false" customHeight="true" outlineLevel="0" collapsed="false">
      <c r="A1526" s="6" t="s">
        <v>1481</v>
      </c>
      <c r="B1526" s="7" t="s">
        <v>1482</v>
      </c>
      <c r="C1526" s="6" t="s">
        <v>922</v>
      </c>
      <c r="D1526" s="9" t="n">
        <v>685</v>
      </c>
      <c r="E1526" s="8" t="n">
        <v>2.12</v>
      </c>
      <c r="F1526" s="8" t="n">
        <v>1452.2</v>
      </c>
      <c r="G1526" s="8" t="n">
        <v>2.12</v>
      </c>
      <c r="H1526" s="8" t="n">
        <v>1452.2</v>
      </c>
    </row>
    <row r="1528" customFormat="false" ht="12.75" hidden="false" customHeight="true" outlineLevel="0" collapsed="false">
      <c r="A1528" s="6" t="s">
        <v>1483</v>
      </c>
      <c r="B1528" s="7" t="s">
        <v>1484</v>
      </c>
      <c r="C1528" s="6" t="s">
        <v>922</v>
      </c>
      <c r="D1528" s="9" t="n">
        <v>70</v>
      </c>
      <c r="E1528" s="8" t="n">
        <v>14.86</v>
      </c>
      <c r="F1528" s="8" t="n">
        <v>1040.2</v>
      </c>
      <c r="G1528" s="8" t="n">
        <v>14.86</v>
      </c>
      <c r="H1528" s="8" t="n">
        <v>1040.2</v>
      </c>
    </row>
    <row r="1530" customFormat="false" ht="12.75" hidden="false" customHeight="true" outlineLevel="0" collapsed="false">
      <c r="A1530" s="6" t="s">
        <v>1485</v>
      </c>
      <c r="B1530" s="7" t="s">
        <v>1486</v>
      </c>
    </row>
    <row r="1532" customFormat="false" ht="12.75" hidden="false" customHeight="true" outlineLevel="0" collapsed="false">
      <c r="A1532" s="6" t="s">
        <v>1487</v>
      </c>
      <c r="B1532" s="7" t="s">
        <v>1488</v>
      </c>
      <c r="C1532" s="6" t="s">
        <v>16</v>
      </c>
      <c r="D1532" s="9" t="n">
        <v>184</v>
      </c>
      <c r="E1532" s="8" t="n">
        <v>11.28</v>
      </c>
      <c r="F1532" s="8" t="n">
        <v>2075.52</v>
      </c>
      <c r="G1532" s="8" t="n">
        <v>11.28</v>
      </c>
      <c r="H1532" s="8" t="n">
        <v>2075.52</v>
      </c>
    </row>
    <row r="1534" customFormat="false" ht="38.25" hidden="false" customHeight="true" outlineLevel="0" collapsed="false">
      <c r="A1534" s="6" t="s">
        <v>1489</v>
      </c>
      <c r="B1534" s="7" t="s">
        <v>1490</v>
      </c>
    </row>
    <row r="1536" customFormat="false" ht="12.75" hidden="false" customHeight="true" outlineLevel="0" collapsed="false">
      <c r="A1536" s="6" t="s">
        <v>1491</v>
      </c>
      <c r="B1536" s="7" t="s">
        <v>1492</v>
      </c>
    </row>
    <row r="1538" customFormat="false" ht="12.75" hidden="false" customHeight="true" outlineLevel="0" collapsed="false">
      <c r="A1538" s="6" t="s">
        <v>1493</v>
      </c>
      <c r="B1538" s="7" t="s">
        <v>1494</v>
      </c>
      <c r="C1538" s="6" t="s">
        <v>16</v>
      </c>
      <c r="D1538" s="9" t="n">
        <v>12</v>
      </c>
      <c r="E1538" s="8" t="n">
        <v>16.16</v>
      </c>
      <c r="F1538" s="8" t="n">
        <v>193.92</v>
      </c>
      <c r="G1538" s="8" t="n">
        <v>16.16</v>
      </c>
      <c r="H1538" s="8" t="n">
        <v>193.92</v>
      </c>
    </row>
    <row r="1540" customFormat="false" ht="12.75" hidden="false" customHeight="true" outlineLevel="0" collapsed="false">
      <c r="A1540" s="6" t="s">
        <v>1495</v>
      </c>
      <c r="B1540" s="7" t="s">
        <v>1496</v>
      </c>
    </row>
    <row r="1542" customFormat="false" ht="12.75" hidden="false" customHeight="true" outlineLevel="0" collapsed="false">
      <c r="A1542" s="6" t="s">
        <v>1497</v>
      </c>
      <c r="B1542" s="7" t="s">
        <v>1494</v>
      </c>
      <c r="C1542" s="6" t="s">
        <v>16</v>
      </c>
      <c r="D1542" s="9" t="n">
        <v>5</v>
      </c>
      <c r="E1542" s="8" t="n">
        <v>17.52</v>
      </c>
      <c r="F1542" s="8" t="n">
        <v>87.6</v>
      </c>
      <c r="G1542" s="8" t="n">
        <v>17.52</v>
      </c>
      <c r="H1542" s="8" t="n">
        <v>87.6</v>
      </c>
    </row>
    <row r="1544" customFormat="false" ht="25.5" hidden="false" customHeight="true" outlineLevel="0" collapsed="false">
      <c r="A1544" s="6" t="s">
        <v>1498</v>
      </c>
      <c r="B1544" s="7" t="s">
        <v>1499</v>
      </c>
    </row>
    <row r="1546" customFormat="false" ht="12.75" hidden="false" customHeight="true" outlineLevel="0" collapsed="false">
      <c r="A1546" s="6" t="s">
        <v>1500</v>
      </c>
      <c r="B1546" s="7" t="s">
        <v>1501</v>
      </c>
    </row>
    <row r="1548" customFormat="false" ht="12.75" hidden="false" customHeight="true" outlineLevel="0" collapsed="false">
      <c r="A1548" s="6" t="s">
        <v>1502</v>
      </c>
      <c r="B1548" s="7" t="s">
        <v>1503</v>
      </c>
      <c r="C1548" s="6" t="s">
        <v>16</v>
      </c>
      <c r="D1548" s="9" t="n">
        <v>52</v>
      </c>
      <c r="E1548" s="8" t="n">
        <v>166.02</v>
      </c>
      <c r="F1548" s="8" t="n">
        <v>8633.04</v>
      </c>
      <c r="G1548" s="8" t="n">
        <v>166.02</v>
      </c>
      <c r="H1548" s="8" t="n">
        <v>8633.04</v>
      </c>
    </row>
    <row r="1550" customFormat="false" ht="12.75" hidden="false" customHeight="true" outlineLevel="0" collapsed="false">
      <c r="A1550" s="6" t="s">
        <v>1504</v>
      </c>
      <c r="B1550" s="7" t="s">
        <v>1505</v>
      </c>
      <c r="C1550" s="6" t="s">
        <v>16</v>
      </c>
      <c r="D1550" s="9" t="n">
        <v>28</v>
      </c>
      <c r="E1550" s="8" t="n">
        <v>150.25</v>
      </c>
      <c r="F1550" s="8" t="n">
        <v>4207</v>
      </c>
      <c r="G1550" s="8" t="n">
        <v>150.25</v>
      </c>
      <c r="H1550" s="8" t="n">
        <v>4207</v>
      </c>
    </row>
    <row r="1552" customFormat="false" ht="12.75" hidden="false" customHeight="true" outlineLevel="0" collapsed="false">
      <c r="A1552" s="6" t="s">
        <v>1506</v>
      </c>
      <c r="B1552" s="7" t="s">
        <v>1507</v>
      </c>
      <c r="C1552" s="6" t="s">
        <v>16</v>
      </c>
      <c r="D1552" s="9" t="n">
        <v>15</v>
      </c>
      <c r="E1552" s="8" t="n">
        <v>130.32</v>
      </c>
      <c r="F1552" s="8" t="n">
        <v>1954.8</v>
      </c>
      <c r="G1552" s="8" t="n">
        <v>130.32</v>
      </c>
      <c r="H1552" s="8" t="n">
        <v>1954.8</v>
      </c>
    </row>
    <row r="1554" customFormat="false" ht="12.75" hidden="false" customHeight="true" outlineLevel="0" collapsed="false">
      <c r="A1554" s="6" t="s">
        <v>1508</v>
      </c>
      <c r="B1554" s="7" t="s">
        <v>1509</v>
      </c>
      <c r="C1554" s="6" t="s">
        <v>16</v>
      </c>
      <c r="D1554" s="9" t="n">
        <v>16</v>
      </c>
      <c r="E1554" s="8" t="n">
        <v>231.2</v>
      </c>
      <c r="F1554" s="8" t="n">
        <v>3699.2</v>
      </c>
      <c r="G1554" s="8" t="n">
        <v>231.2</v>
      </c>
      <c r="H1554" s="8" t="n">
        <v>3699.2</v>
      </c>
    </row>
    <row r="1556" customFormat="false" ht="12.75" hidden="false" customHeight="true" outlineLevel="0" collapsed="false">
      <c r="A1556" s="6" t="s">
        <v>1510</v>
      </c>
      <c r="B1556" s="7" t="s">
        <v>1511</v>
      </c>
      <c r="C1556" s="6" t="s">
        <v>16</v>
      </c>
      <c r="D1556" s="9" t="n">
        <v>64</v>
      </c>
      <c r="E1556" s="8" t="n">
        <v>80.95</v>
      </c>
      <c r="F1556" s="8" t="n">
        <v>5180.8</v>
      </c>
      <c r="G1556" s="8" t="n">
        <v>80.95</v>
      </c>
      <c r="H1556" s="8" t="n">
        <v>5180.8</v>
      </c>
    </row>
    <row r="1558" customFormat="false" ht="12.75" hidden="false" customHeight="true" outlineLevel="0" collapsed="false">
      <c r="A1558" s="6" t="s">
        <v>1512</v>
      </c>
      <c r="B1558" s="7" t="s">
        <v>1513</v>
      </c>
      <c r="C1558" s="6" t="s">
        <v>16</v>
      </c>
      <c r="D1558" s="9" t="n">
        <v>8</v>
      </c>
      <c r="E1558" s="8" t="n">
        <v>944.22</v>
      </c>
      <c r="F1558" s="8" t="n">
        <v>7553.76</v>
      </c>
      <c r="G1558" s="8" t="n">
        <v>944.22</v>
      </c>
      <c r="H1558" s="8" t="n">
        <v>7553.76</v>
      </c>
    </row>
    <row r="1560" customFormat="false" ht="12.75" hidden="false" customHeight="true" outlineLevel="0" collapsed="false">
      <c r="A1560" s="6" t="s">
        <v>1514</v>
      </c>
      <c r="B1560" s="7" t="s">
        <v>1515</v>
      </c>
      <c r="C1560" s="6" t="s">
        <v>16</v>
      </c>
      <c r="D1560" s="9" t="n">
        <v>20</v>
      </c>
      <c r="E1560" s="8" t="n">
        <v>1156.58</v>
      </c>
      <c r="F1560" s="8" t="n">
        <v>23131.6</v>
      </c>
      <c r="G1560" s="8" t="n">
        <v>1156.58</v>
      </c>
      <c r="H1560" s="8" t="n">
        <v>23131.6</v>
      </c>
      <c r="I1560" s="14" t="s">
        <v>91</v>
      </c>
      <c r="J1560" s="15" t="s">
        <v>31</v>
      </c>
      <c r="K1560" s="14" t="s">
        <v>1516</v>
      </c>
    </row>
    <row r="1562" customFormat="false" ht="12.75" hidden="false" customHeight="true" outlineLevel="0" collapsed="false">
      <c r="A1562" s="6" t="s">
        <v>1517</v>
      </c>
      <c r="B1562" s="7" t="s">
        <v>1518</v>
      </c>
      <c r="C1562" s="6" t="s">
        <v>16</v>
      </c>
      <c r="D1562" s="9" t="n">
        <v>9</v>
      </c>
      <c r="E1562" s="8" t="n">
        <v>944.18</v>
      </c>
      <c r="F1562" s="8" t="n">
        <v>8497.62</v>
      </c>
      <c r="G1562" s="8" t="n">
        <v>944.18</v>
      </c>
      <c r="H1562" s="8" t="n">
        <v>8497.62</v>
      </c>
    </row>
    <row r="1564" customFormat="false" ht="12.75" hidden="false" customHeight="true" outlineLevel="0" collapsed="false">
      <c r="A1564" s="6" t="s">
        <v>1519</v>
      </c>
      <c r="B1564" s="7" t="s">
        <v>1520</v>
      </c>
      <c r="C1564" s="6" t="s">
        <v>16</v>
      </c>
      <c r="D1564" s="9" t="n">
        <v>4</v>
      </c>
      <c r="E1564" s="8" t="n">
        <v>570.65</v>
      </c>
      <c r="F1564" s="8" t="n">
        <v>2282.6</v>
      </c>
      <c r="G1564" s="8" t="n">
        <v>570.65</v>
      </c>
      <c r="H1564" s="8" t="n">
        <v>2282.6</v>
      </c>
      <c r="I1564" s="12" t="s">
        <v>22</v>
      </c>
      <c r="J1564" s="13" t="s">
        <v>23</v>
      </c>
      <c r="K1564" s="12" t="s">
        <v>1521</v>
      </c>
    </row>
    <row r="1566" customFormat="false" ht="12.75" hidden="false" customHeight="true" outlineLevel="0" collapsed="false">
      <c r="A1566" s="6" t="s">
        <v>1522</v>
      </c>
      <c r="B1566" s="7" t="s">
        <v>1523</v>
      </c>
      <c r="C1566" s="6" t="s">
        <v>16</v>
      </c>
      <c r="D1566" s="9" t="n">
        <v>12</v>
      </c>
      <c r="E1566" s="8" t="n">
        <v>604.55</v>
      </c>
      <c r="F1566" s="8" t="n">
        <v>7254.6</v>
      </c>
      <c r="G1566" s="8" t="n">
        <v>604.55</v>
      </c>
      <c r="H1566" s="8" t="n">
        <v>7254.6</v>
      </c>
    </row>
    <row r="1568" customFormat="false" ht="12.75" hidden="false" customHeight="true" outlineLevel="0" collapsed="false">
      <c r="A1568" s="6" t="s">
        <v>1524</v>
      </c>
      <c r="B1568" s="7" t="s">
        <v>1525</v>
      </c>
    </row>
    <row r="1570" customFormat="false" ht="12.75" hidden="false" customHeight="true" outlineLevel="0" collapsed="false">
      <c r="A1570" s="6" t="s">
        <v>1526</v>
      </c>
      <c r="B1570" s="7" t="s">
        <v>1527</v>
      </c>
      <c r="C1570" s="6" t="s">
        <v>16</v>
      </c>
      <c r="D1570" s="9" t="n">
        <v>27</v>
      </c>
      <c r="E1570" s="8" t="n">
        <v>64.24</v>
      </c>
      <c r="F1570" s="8" t="n">
        <v>1734.48</v>
      </c>
      <c r="G1570" s="8" t="n">
        <v>64.24</v>
      </c>
      <c r="H1570" s="8" t="n">
        <v>1734.48</v>
      </c>
    </row>
    <row r="1572" customFormat="false" ht="12.75" hidden="false" customHeight="true" outlineLevel="0" collapsed="false">
      <c r="A1572" s="6" t="s">
        <v>1528</v>
      </c>
      <c r="B1572" s="7" t="s">
        <v>1529</v>
      </c>
      <c r="C1572" s="6" t="s">
        <v>16</v>
      </c>
      <c r="D1572" s="9" t="n">
        <v>50</v>
      </c>
      <c r="E1572" s="8" t="n">
        <v>76.28</v>
      </c>
      <c r="F1572" s="8" t="n">
        <v>3814</v>
      </c>
      <c r="G1572" s="8" t="n">
        <v>76.28</v>
      </c>
      <c r="H1572" s="8" t="n">
        <v>3814</v>
      </c>
    </row>
    <row r="1574" customFormat="false" ht="12.75" hidden="false" customHeight="true" outlineLevel="0" collapsed="false">
      <c r="A1574" s="6" t="s">
        <v>1530</v>
      </c>
      <c r="B1574" s="7" t="s">
        <v>1531</v>
      </c>
      <c r="C1574" s="6" t="s">
        <v>16</v>
      </c>
      <c r="D1574" s="9" t="n">
        <v>17</v>
      </c>
      <c r="E1574" s="8" t="n">
        <v>38.99</v>
      </c>
      <c r="F1574" s="8" t="n">
        <v>662.83</v>
      </c>
      <c r="G1574" s="8" t="n">
        <v>38.99</v>
      </c>
      <c r="H1574" s="8" t="n">
        <v>662.83</v>
      </c>
    </row>
    <row r="1576" customFormat="false" ht="12.75" hidden="false" customHeight="true" outlineLevel="0" collapsed="false">
      <c r="A1576" s="6" t="s">
        <v>1532</v>
      </c>
      <c r="B1576" s="7" t="s">
        <v>1533</v>
      </c>
      <c r="C1576" s="6" t="s">
        <v>16</v>
      </c>
      <c r="D1576" s="9" t="n">
        <v>10</v>
      </c>
      <c r="E1576" s="8" t="n">
        <v>184.46</v>
      </c>
      <c r="F1576" s="8" t="n">
        <v>1844.6</v>
      </c>
      <c r="G1576" s="8" t="n">
        <v>184.46</v>
      </c>
      <c r="H1576" s="8" t="n">
        <v>1844.6</v>
      </c>
    </row>
    <row r="1578" customFormat="false" ht="12.75" hidden="false" customHeight="true" outlineLevel="0" collapsed="false">
      <c r="A1578" s="6" t="s">
        <v>1534</v>
      </c>
      <c r="B1578" s="7" t="s">
        <v>1535</v>
      </c>
    </row>
    <row r="1580" customFormat="false" ht="12.75" hidden="false" customHeight="true" outlineLevel="0" collapsed="false">
      <c r="A1580" s="6" t="s">
        <v>1536</v>
      </c>
      <c r="B1580" s="7" t="s">
        <v>1537</v>
      </c>
      <c r="C1580" s="6" t="s">
        <v>16</v>
      </c>
      <c r="D1580" s="9" t="n">
        <v>27</v>
      </c>
      <c r="E1580" s="8" t="n">
        <v>129.47</v>
      </c>
      <c r="F1580" s="8" t="n">
        <v>3495.69</v>
      </c>
      <c r="G1580" s="8" t="n">
        <v>129.47</v>
      </c>
      <c r="H1580" s="8" t="n">
        <v>3495.69</v>
      </c>
    </row>
    <row r="1582" customFormat="false" ht="12.75" hidden="false" customHeight="true" outlineLevel="0" collapsed="false">
      <c r="A1582" s="6" t="s">
        <v>1538</v>
      </c>
      <c r="B1582" s="7" t="s">
        <v>1539</v>
      </c>
    </row>
    <row r="1584" customFormat="false" ht="25.5" hidden="false" customHeight="true" outlineLevel="0" collapsed="false">
      <c r="A1584" s="6" t="s">
        <v>1540</v>
      </c>
      <c r="B1584" s="7" t="s">
        <v>1541</v>
      </c>
      <c r="C1584" s="6" t="s">
        <v>16</v>
      </c>
      <c r="D1584" s="9" t="n">
        <v>1</v>
      </c>
      <c r="E1584" s="8" t="n">
        <v>75.64</v>
      </c>
      <c r="F1584" s="8" t="n">
        <v>75.64</v>
      </c>
      <c r="G1584" s="8" t="n">
        <v>75.64</v>
      </c>
      <c r="H1584" s="8" t="n">
        <v>75.64</v>
      </c>
    </row>
    <row r="1586" customFormat="false" ht="25.5" hidden="false" customHeight="true" outlineLevel="0" collapsed="false">
      <c r="A1586" s="6" t="s">
        <v>1542</v>
      </c>
      <c r="B1586" s="7" t="s">
        <v>1543</v>
      </c>
      <c r="F1586" s="8" t="n">
        <v>11626.66</v>
      </c>
      <c r="H1586" s="8" t="n">
        <v>11626.66</v>
      </c>
    </row>
    <row r="1588" customFormat="false" ht="12.75" hidden="false" customHeight="true" outlineLevel="0" collapsed="false">
      <c r="A1588" s="6" t="s">
        <v>1544</v>
      </c>
      <c r="B1588" s="7" t="s">
        <v>1463</v>
      </c>
    </row>
    <row r="1590" customFormat="false" ht="12.75" hidden="false" customHeight="true" outlineLevel="0" collapsed="false">
      <c r="A1590" s="6" t="s">
        <v>1545</v>
      </c>
      <c r="B1590" s="7" t="s">
        <v>1465</v>
      </c>
    </row>
    <row r="1592" customFormat="false" ht="12.75" hidden="false" customHeight="true" outlineLevel="0" collapsed="false">
      <c r="A1592" s="6" t="s">
        <v>1546</v>
      </c>
      <c r="B1592" s="7" t="s">
        <v>1547</v>
      </c>
      <c r="C1592" s="6" t="s">
        <v>922</v>
      </c>
      <c r="D1592" s="9" t="n">
        <v>1840</v>
      </c>
      <c r="E1592" s="8" t="n">
        <v>3.12</v>
      </c>
      <c r="F1592" s="8" t="n">
        <v>5740.8</v>
      </c>
      <c r="G1592" s="8" t="n">
        <v>3.12</v>
      </c>
      <c r="H1592" s="8" t="n">
        <v>5740.8</v>
      </c>
    </row>
    <row r="1594" customFormat="false" ht="12.75" hidden="false" customHeight="true" outlineLevel="0" collapsed="false">
      <c r="A1594" s="6" t="s">
        <v>1548</v>
      </c>
      <c r="B1594" s="7" t="s">
        <v>1400</v>
      </c>
    </row>
    <row r="1596" customFormat="false" ht="12.75" hidden="false" customHeight="true" outlineLevel="0" collapsed="false">
      <c r="A1596" s="6" t="s">
        <v>1549</v>
      </c>
      <c r="B1596" s="7" t="s">
        <v>1550</v>
      </c>
    </row>
    <row r="1598" customFormat="false" ht="12.75" hidden="false" customHeight="true" outlineLevel="0" collapsed="false">
      <c r="A1598" s="6" t="s">
        <v>1551</v>
      </c>
      <c r="B1598" s="7" t="s">
        <v>1552</v>
      </c>
      <c r="C1598" s="6" t="s">
        <v>922</v>
      </c>
      <c r="D1598" s="9" t="n">
        <v>300</v>
      </c>
      <c r="E1598" s="8" t="n">
        <v>2.26</v>
      </c>
      <c r="F1598" s="8" t="n">
        <v>678</v>
      </c>
      <c r="G1598" s="8" t="n">
        <v>2.26</v>
      </c>
      <c r="H1598" s="8" t="n">
        <v>678</v>
      </c>
    </row>
    <row r="1600" customFormat="false" ht="12.75" hidden="false" customHeight="true" outlineLevel="0" collapsed="false">
      <c r="A1600" s="6" t="s">
        <v>1553</v>
      </c>
      <c r="B1600" s="7" t="s">
        <v>1554</v>
      </c>
      <c r="C1600" s="6" t="s">
        <v>922</v>
      </c>
      <c r="D1600" s="9" t="n">
        <v>100</v>
      </c>
      <c r="E1600" s="8" t="n">
        <v>14.86</v>
      </c>
      <c r="F1600" s="8" t="n">
        <v>1486</v>
      </c>
      <c r="G1600" s="8" t="n">
        <v>14.86</v>
      </c>
      <c r="H1600" s="8" t="n">
        <v>1486</v>
      </c>
    </row>
    <row r="1602" customFormat="false" ht="12.75" hidden="false" customHeight="true" outlineLevel="0" collapsed="false">
      <c r="A1602" s="6" t="s">
        <v>1555</v>
      </c>
      <c r="B1602" s="7" t="s">
        <v>1556</v>
      </c>
    </row>
    <row r="1604" customFormat="false" ht="12.75" hidden="false" customHeight="true" outlineLevel="0" collapsed="false">
      <c r="A1604" s="6" t="s">
        <v>1557</v>
      </c>
      <c r="B1604" s="7" t="s">
        <v>1558</v>
      </c>
      <c r="C1604" s="6" t="s">
        <v>922</v>
      </c>
      <c r="D1604" s="9" t="n">
        <v>56</v>
      </c>
      <c r="E1604" s="8" t="n">
        <v>2.12</v>
      </c>
      <c r="F1604" s="8" t="n">
        <v>118.72</v>
      </c>
      <c r="G1604" s="8" t="n">
        <v>2.12</v>
      </c>
      <c r="H1604" s="8" t="n">
        <v>118.72</v>
      </c>
    </row>
    <row r="1606" customFormat="false" ht="12.75" hidden="false" customHeight="true" outlineLevel="0" collapsed="false">
      <c r="A1606" s="6" t="s">
        <v>1559</v>
      </c>
      <c r="B1606" s="7" t="s">
        <v>1560</v>
      </c>
    </row>
    <row r="1608" customFormat="false" ht="12.75" hidden="false" customHeight="true" outlineLevel="0" collapsed="false">
      <c r="A1608" s="6" t="s">
        <v>1561</v>
      </c>
      <c r="B1608" s="7" t="s">
        <v>1562</v>
      </c>
      <c r="C1608" s="6" t="s">
        <v>16</v>
      </c>
      <c r="D1608" s="9" t="n">
        <v>61</v>
      </c>
      <c r="E1608" s="8" t="n">
        <v>11.28</v>
      </c>
      <c r="F1608" s="8" t="n">
        <v>688.08</v>
      </c>
      <c r="G1608" s="8" t="n">
        <v>11.28</v>
      </c>
      <c r="H1608" s="8" t="n">
        <v>688.08</v>
      </c>
    </row>
    <row r="1610" customFormat="false" ht="25.5" hidden="false" customHeight="true" outlineLevel="0" collapsed="false">
      <c r="A1610" s="6" t="s">
        <v>1563</v>
      </c>
      <c r="B1610" s="7" t="s">
        <v>1564</v>
      </c>
      <c r="C1610" s="6" t="s">
        <v>16</v>
      </c>
      <c r="D1610" s="9" t="n">
        <v>31</v>
      </c>
      <c r="E1610" s="8" t="n">
        <v>11.94</v>
      </c>
      <c r="F1610" s="8" t="n">
        <v>370.14</v>
      </c>
      <c r="G1610" s="8" t="n">
        <v>11.94</v>
      </c>
      <c r="H1610" s="8" t="n">
        <v>370.14</v>
      </c>
      <c r="I1610" s="14" t="s">
        <v>91</v>
      </c>
      <c r="J1610" s="15" t="s">
        <v>31</v>
      </c>
      <c r="K1610" s="14" t="s">
        <v>1565</v>
      </c>
    </row>
    <row r="1612" customFormat="false" ht="25.5" hidden="false" customHeight="true" outlineLevel="0" collapsed="false">
      <c r="A1612" s="6" t="s">
        <v>1566</v>
      </c>
      <c r="B1612" s="7" t="s">
        <v>1567</v>
      </c>
    </row>
    <row r="1614" customFormat="false" ht="12.75" hidden="false" customHeight="true" outlineLevel="0" collapsed="false">
      <c r="A1614" s="6" t="s">
        <v>1568</v>
      </c>
      <c r="B1614" s="7" t="s">
        <v>1569</v>
      </c>
    </row>
    <row r="1616" customFormat="false" ht="12.75" hidden="false" customHeight="true" outlineLevel="0" collapsed="false">
      <c r="A1616" s="6" t="s">
        <v>1570</v>
      </c>
      <c r="B1616" s="7" t="s">
        <v>1571</v>
      </c>
      <c r="C1616" s="6" t="s">
        <v>16</v>
      </c>
      <c r="D1616" s="9" t="n">
        <v>27</v>
      </c>
      <c r="E1616" s="8" t="n">
        <v>16.16</v>
      </c>
      <c r="F1616" s="8" t="n">
        <v>436.32</v>
      </c>
      <c r="G1616" s="8" t="n">
        <v>16.16</v>
      </c>
      <c r="H1616" s="8" t="n">
        <v>436.32</v>
      </c>
    </row>
    <row r="1618" customFormat="false" ht="12.75" hidden="false" customHeight="true" outlineLevel="0" collapsed="false">
      <c r="A1618" s="6" t="s">
        <v>1572</v>
      </c>
      <c r="B1618" s="7" t="s">
        <v>1573</v>
      </c>
      <c r="C1618" s="6" t="s">
        <v>16</v>
      </c>
      <c r="D1618" s="9" t="n">
        <v>70</v>
      </c>
      <c r="E1618" s="8" t="n">
        <v>21.56</v>
      </c>
      <c r="F1618" s="8" t="n">
        <v>1509.2</v>
      </c>
      <c r="G1618" s="8" t="n">
        <v>21.56</v>
      </c>
      <c r="H1618" s="8" t="n">
        <v>1509.2</v>
      </c>
    </row>
    <row r="1620" customFormat="false" ht="12.75" hidden="false" customHeight="true" outlineLevel="0" collapsed="false">
      <c r="A1620" s="6" t="s">
        <v>1574</v>
      </c>
      <c r="B1620" s="7" t="s">
        <v>1575</v>
      </c>
      <c r="C1620" s="6" t="s">
        <v>16</v>
      </c>
      <c r="D1620" s="9" t="n">
        <v>8</v>
      </c>
      <c r="E1620" s="8" t="n">
        <v>16.16</v>
      </c>
      <c r="F1620" s="8" t="n">
        <v>129.28</v>
      </c>
      <c r="G1620" s="8" t="n">
        <v>16.16</v>
      </c>
      <c r="H1620" s="8" t="n">
        <v>129.28</v>
      </c>
    </row>
    <row r="1622" customFormat="false" ht="12.75" hidden="false" customHeight="true" outlineLevel="0" collapsed="false">
      <c r="A1622" s="6" t="s">
        <v>1576</v>
      </c>
      <c r="B1622" s="7" t="s">
        <v>1577</v>
      </c>
    </row>
    <row r="1624" customFormat="false" ht="12.75" hidden="false" customHeight="true" outlineLevel="0" collapsed="false">
      <c r="A1624" s="6" t="s">
        <v>1578</v>
      </c>
      <c r="B1624" s="7" t="s">
        <v>1579</v>
      </c>
      <c r="C1624" s="6" t="s">
        <v>16</v>
      </c>
      <c r="D1624" s="9" t="n">
        <v>2</v>
      </c>
      <c r="E1624" s="8" t="n">
        <v>40.37</v>
      </c>
      <c r="F1624" s="8" t="n">
        <v>80.74</v>
      </c>
      <c r="G1624" s="8" t="n">
        <v>40.37</v>
      </c>
      <c r="H1624" s="8" t="n">
        <v>80.74</v>
      </c>
    </row>
    <row r="1626" customFormat="false" ht="12.75" hidden="false" customHeight="true" outlineLevel="0" collapsed="false">
      <c r="A1626" s="6" t="s">
        <v>1580</v>
      </c>
      <c r="B1626" s="7" t="s">
        <v>1581</v>
      </c>
      <c r="C1626" s="6" t="s">
        <v>16</v>
      </c>
      <c r="D1626" s="9" t="n">
        <v>2</v>
      </c>
      <c r="E1626" s="8" t="n">
        <v>40.37</v>
      </c>
      <c r="F1626" s="8" t="n">
        <v>80.74</v>
      </c>
      <c r="G1626" s="8" t="n">
        <v>40.37</v>
      </c>
      <c r="H1626" s="8" t="n">
        <v>80.74</v>
      </c>
    </row>
    <row r="1628" customFormat="false" ht="12.75" hidden="false" customHeight="true" outlineLevel="0" collapsed="false">
      <c r="A1628" s="6" t="s">
        <v>1582</v>
      </c>
      <c r="B1628" s="7" t="s">
        <v>1583</v>
      </c>
      <c r="C1628" s="6" t="s">
        <v>16</v>
      </c>
      <c r="D1628" s="9" t="n">
        <v>2</v>
      </c>
      <c r="E1628" s="8" t="n">
        <v>28.27</v>
      </c>
      <c r="F1628" s="8" t="n">
        <v>56.54</v>
      </c>
      <c r="G1628" s="8" t="n">
        <v>28.27</v>
      </c>
      <c r="H1628" s="8" t="n">
        <v>56.54</v>
      </c>
    </row>
    <row r="1630" customFormat="false" ht="12.75" hidden="false" customHeight="true" outlineLevel="0" collapsed="false">
      <c r="A1630" s="6" t="s">
        <v>1584</v>
      </c>
      <c r="B1630" s="7" t="s">
        <v>1585</v>
      </c>
      <c r="C1630" s="6" t="s">
        <v>922</v>
      </c>
      <c r="D1630" s="9" t="n">
        <v>10</v>
      </c>
      <c r="E1630" s="8" t="n">
        <v>25.21</v>
      </c>
      <c r="F1630" s="8" t="n">
        <v>252.1</v>
      </c>
      <c r="G1630" s="8" t="n">
        <v>25.21</v>
      </c>
      <c r="H1630" s="8" t="n">
        <v>252.1</v>
      </c>
      <c r="I1630" s="10" t="s">
        <v>1428</v>
      </c>
      <c r="J1630" s="11" t="s">
        <v>18</v>
      </c>
      <c r="K1630" s="10" t="s">
        <v>1586</v>
      </c>
    </row>
    <row r="1632" customFormat="false" ht="12.75" hidden="false" customHeight="true" outlineLevel="0" collapsed="false">
      <c r="A1632" s="6" t="s">
        <v>1587</v>
      </c>
      <c r="B1632" s="7" t="s">
        <v>1588</v>
      </c>
      <c r="F1632" s="8" t="n">
        <v>8121.36</v>
      </c>
      <c r="H1632" s="8" t="n">
        <v>8121.36</v>
      </c>
    </row>
    <row r="1634" customFormat="false" ht="12.75" hidden="false" customHeight="true" outlineLevel="0" collapsed="false">
      <c r="A1634" s="6" t="s">
        <v>1589</v>
      </c>
      <c r="B1634" s="7" t="s">
        <v>1590</v>
      </c>
      <c r="C1634" s="6" t="s">
        <v>16</v>
      </c>
      <c r="D1634" s="9" t="n">
        <v>1</v>
      </c>
      <c r="E1634" s="8" t="n">
        <v>1670.8</v>
      </c>
      <c r="F1634" s="8" t="n">
        <v>1670.8</v>
      </c>
      <c r="G1634" s="8" t="n">
        <v>1670.8</v>
      </c>
      <c r="H1634" s="8" t="n">
        <v>1670.8</v>
      </c>
    </row>
    <row r="1636" customFormat="false" ht="12.75" hidden="false" customHeight="true" outlineLevel="0" collapsed="false">
      <c r="A1636" s="6" t="s">
        <v>1591</v>
      </c>
      <c r="B1636" s="7" t="s">
        <v>1592</v>
      </c>
      <c r="C1636" s="6" t="s">
        <v>16</v>
      </c>
      <c r="D1636" s="9" t="n">
        <v>6</v>
      </c>
      <c r="E1636" s="8" t="n">
        <v>69.01</v>
      </c>
      <c r="F1636" s="8" t="n">
        <v>414.06</v>
      </c>
      <c r="G1636" s="8" t="n">
        <v>69.01</v>
      </c>
      <c r="H1636" s="8" t="n">
        <v>414.06</v>
      </c>
    </row>
    <row r="1638" customFormat="false" ht="12.75" hidden="false" customHeight="true" outlineLevel="0" collapsed="false">
      <c r="A1638" s="6" t="s">
        <v>1593</v>
      </c>
      <c r="B1638" s="7" t="s">
        <v>1594</v>
      </c>
      <c r="C1638" s="6" t="s">
        <v>16</v>
      </c>
      <c r="D1638" s="9" t="n">
        <v>6</v>
      </c>
      <c r="E1638" s="8" t="n">
        <v>80.95</v>
      </c>
      <c r="F1638" s="8" t="n">
        <v>485.7</v>
      </c>
      <c r="G1638" s="8" t="n">
        <v>80.95</v>
      </c>
      <c r="H1638" s="8" t="n">
        <v>485.7</v>
      </c>
    </row>
    <row r="1640" customFormat="false" ht="12.75" hidden="false" customHeight="true" outlineLevel="0" collapsed="false">
      <c r="A1640" s="6" t="s">
        <v>1595</v>
      </c>
      <c r="B1640" s="7" t="s">
        <v>1596</v>
      </c>
      <c r="C1640" s="6" t="s">
        <v>16</v>
      </c>
      <c r="D1640" s="9" t="n">
        <v>6</v>
      </c>
      <c r="E1640" s="8" t="n">
        <v>99.53</v>
      </c>
      <c r="F1640" s="8" t="n">
        <v>597.18</v>
      </c>
      <c r="G1640" s="8" t="n">
        <v>99.53</v>
      </c>
      <c r="H1640" s="8" t="n">
        <v>597.18</v>
      </c>
    </row>
    <row r="1642" customFormat="false" ht="12.75" hidden="false" customHeight="true" outlineLevel="0" collapsed="false">
      <c r="A1642" s="6" t="s">
        <v>1597</v>
      </c>
      <c r="B1642" s="7" t="s">
        <v>1598</v>
      </c>
      <c r="C1642" s="6" t="s">
        <v>16</v>
      </c>
      <c r="D1642" s="9" t="n">
        <v>1</v>
      </c>
      <c r="E1642" s="8" t="n">
        <v>773.69</v>
      </c>
      <c r="F1642" s="8" t="n">
        <v>773.69</v>
      </c>
      <c r="G1642" s="8" t="n">
        <v>773.69</v>
      </c>
      <c r="H1642" s="8" t="n">
        <v>773.69</v>
      </c>
    </row>
    <row r="1644" customFormat="false" ht="12.75" hidden="false" customHeight="true" outlineLevel="0" collapsed="false">
      <c r="A1644" s="6" t="s">
        <v>1599</v>
      </c>
      <c r="B1644" s="7" t="s">
        <v>1600</v>
      </c>
      <c r="C1644" s="6" t="s">
        <v>16</v>
      </c>
      <c r="D1644" s="9" t="n">
        <v>1</v>
      </c>
      <c r="E1644" s="8" t="n">
        <v>184.46</v>
      </c>
      <c r="F1644" s="8" t="n">
        <v>184.46</v>
      </c>
      <c r="G1644" s="8" t="n">
        <v>184.46</v>
      </c>
      <c r="H1644" s="8" t="n">
        <v>184.46</v>
      </c>
    </row>
    <row r="1646" customFormat="false" ht="12.75" hidden="false" customHeight="true" outlineLevel="0" collapsed="false">
      <c r="A1646" s="6" t="s">
        <v>1601</v>
      </c>
      <c r="B1646" s="7" t="s">
        <v>1602</v>
      </c>
      <c r="C1646" s="6" t="s">
        <v>16</v>
      </c>
      <c r="D1646" s="9" t="n">
        <v>1</v>
      </c>
      <c r="E1646" s="8" t="n">
        <v>2682.04</v>
      </c>
      <c r="F1646" s="8" t="n">
        <v>2682.04</v>
      </c>
      <c r="G1646" s="8" t="n">
        <v>2682.04</v>
      </c>
      <c r="H1646" s="8" t="n">
        <v>2682.04</v>
      </c>
    </row>
    <row r="1648" customFormat="false" ht="12.75" hidden="false" customHeight="true" outlineLevel="0" collapsed="false">
      <c r="A1648" s="6" t="s">
        <v>1603</v>
      </c>
      <c r="B1648" s="7" t="s">
        <v>1604</v>
      </c>
    </row>
    <row r="1650" customFormat="false" ht="12.75" hidden="false" customHeight="true" outlineLevel="0" collapsed="false">
      <c r="A1650" s="6" t="s">
        <v>1605</v>
      </c>
      <c r="B1650" s="7" t="s">
        <v>1606</v>
      </c>
      <c r="C1650" s="6" t="s">
        <v>16</v>
      </c>
      <c r="D1650" s="9" t="n">
        <v>1</v>
      </c>
      <c r="E1650" s="8" t="n">
        <v>3.85</v>
      </c>
      <c r="F1650" s="8" t="n">
        <v>3.85</v>
      </c>
      <c r="G1650" s="8" t="n">
        <v>3.85</v>
      </c>
      <c r="H1650" s="8" t="n">
        <v>3.85</v>
      </c>
    </row>
    <row r="1652" customFormat="false" ht="12.75" hidden="false" customHeight="true" outlineLevel="0" collapsed="false">
      <c r="A1652" s="6" t="s">
        <v>1607</v>
      </c>
      <c r="B1652" s="7" t="s">
        <v>1608</v>
      </c>
      <c r="C1652" s="6" t="s">
        <v>922</v>
      </c>
      <c r="D1652" s="9" t="n">
        <v>5</v>
      </c>
      <c r="E1652" s="8" t="n">
        <v>1.99</v>
      </c>
      <c r="F1652" s="8" t="n">
        <v>9.95</v>
      </c>
      <c r="G1652" s="8" t="n">
        <v>1.99</v>
      </c>
      <c r="H1652" s="8" t="n">
        <v>9.95</v>
      </c>
    </row>
    <row r="1654" customFormat="false" ht="12.75" hidden="false" customHeight="true" outlineLevel="0" collapsed="false">
      <c r="A1654" s="6" t="s">
        <v>1609</v>
      </c>
      <c r="B1654" s="7" t="s">
        <v>1610</v>
      </c>
      <c r="C1654" s="6" t="s">
        <v>922</v>
      </c>
      <c r="D1654" s="9" t="n">
        <v>240</v>
      </c>
      <c r="E1654" s="8" t="n">
        <v>2.32</v>
      </c>
      <c r="F1654" s="8" t="n">
        <v>556.8</v>
      </c>
      <c r="G1654" s="8" t="n">
        <v>2.32</v>
      </c>
      <c r="H1654" s="8" t="n">
        <v>556.8</v>
      </c>
    </row>
    <row r="1656" customFormat="false" ht="12.75" hidden="false" customHeight="true" outlineLevel="0" collapsed="false">
      <c r="A1656" s="6" t="s">
        <v>1611</v>
      </c>
      <c r="B1656" s="7" t="s">
        <v>1612</v>
      </c>
      <c r="C1656" s="6" t="s">
        <v>922</v>
      </c>
      <c r="D1656" s="9" t="n">
        <v>100</v>
      </c>
      <c r="E1656" s="8" t="n">
        <v>2.12</v>
      </c>
      <c r="F1656" s="8" t="n">
        <v>212</v>
      </c>
      <c r="G1656" s="8" t="n">
        <v>2.12</v>
      </c>
      <c r="H1656" s="8" t="n">
        <v>212</v>
      </c>
    </row>
    <row r="1658" customFormat="false" ht="25.5" hidden="false" customHeight="true" outlineLevel="0" collapsed="false">
      <c r="A1658" s="6" t="s">
        <v>1613</v>
      </c>
      <c r="B1658" s="7" t="s">
        <v>1614</v>
      </c>
      <c r="C1658" s="6" t="s">
        <v>16</v>
      </c>
      <c r="D1658" s="9" t="n">
        <v>1</v>
      </c>
      <c r="E1658" s="8" t="n">
        <v>530.83</v>
      </c>
      <c r="F1658" s="8" t="n">
        <v>530.83</v>
      </c>
      <c r="G1658" s="8" t="n">
        <v>530.83</v>
      </c>
      <c r="H1658" s="8" t="n">
        <v>530.83</v>
      </c>
    </row>
    <row r="1660" customFormat="false" ht="25.5" hidden="false" customHeight="true" outlineLevel="0" collapsed="false">
      <c r="A1660" s="6" t="s">
        <v>1615</v>
      </c>
      <c r="B1660" s="7" t="s">
        <v>1616</v>
      </c>
      <c r="F1660" s="8" t="n">
        <v>513.7</v>
      </c>
      <c r="H1660" s="8" t="n">
        <v>513.7</v>
      </c>
    </row>
    <row r="1662" customFormat="false" ht="12.75" hidden="false" customHeight="true" outlineLevel="0" collapsed="false">
      <c r="A1662" s="6" t="s">
        <v>1617</v>
      </c>
      <c r="B1662" s="7" t="s">
        <v>1480</v>
      </c>
    </row>
    <row r="1664" customFormat="false" ht="12.75" hidden="false" customHeight="true" outlineLevel="0" collapsed="false">
      <c r="A1664" s="6" t="s">
        <v>1618</v>
      </c>
      <c r="B1664" s="7" t="s">
        <v>1482</v>
      </c>
      <c r="C1664" s="6" t="s">
        <v>922</v>
      </c>
      <c r="D1664" s="9" t="n">
        <v>90</v>
      </c>
      <c r="E1664" s="8" t="n">
        <v>2.12</v>
      </c>
      <c r="F1664" s="8" t="n">
        <v>190.8</v>
      </c>
      <c r="G1664" s="8" t="n">
        <v>2.12</v>
      </c>
      <c r="H1664" s="8" t="n">
        <v>190.8</v>
      </c>
    </row>
    <row r="1666" customFormat="false" ht="12.75" hidden="false" customHeight="true" outlineLevel="0" collapsed="false">
      <c r="A1666" s="6" t="s">
        <v>1619</v>
      </c>
      <c r="B1666" s="7" t="s">
        <v>1620</v>
      </c>
      <c r="C1666" s="6" t="s">
        <v>922</v>
      </c>
      <c r="D1666" s="9" t="n">
        <v>110</v>
      </c>
      <c r="E1666" s="8" t="n">
        <v>2.26</v>
      </c>
      <c r="F1666" s="8" t="n">
        <v>248.6</v>
      </c>
      <c r="G1666" s="8" t="n">
        <v>2.26</v>
      </c>
      <c r="H1666" s="8" t="n">
        <v>248.6</v>
      </c>
    </row>
    <row r="1668" customFormat="false" ht="12.75" hidden="false" customHeight="true" outlineLevel="0" collapsed="false">
      <c r="A1668" s="6" t="s">
        <v>1621</v>
      </c>
      <c r="B1668" s="7" t="s">
        <v>1484</v>
      </c>
      <c r="C1668" s="6" t="s">
        <v>922</v>
      </c>
      <c r="D1668" s="9" t="n">
        <v>5</v>
      </c>
      <c r="E1668" s="8" t="n">
        <v>14.86</v>
      </c>
      <c r="F1668" s="8" t="n">
        <v>74.3</v>
      </c>
      <c r="G1668" s="8" t="n">
        <v>14.86</v>
      </c>
      <c r="H1668" s="8" t="n">
        <v>74.3</v>
      </c>
    </row>
    <row r="1670" customFormat="false" ht="25.5" hidden="false" customHeight="true" outlineLevel="0" collapsed="false">
      <c r="A1670" s="6" t="s">
        <v>1622</v>
      </c>
      <c r="B1670" s="7" t="s">
        <v>1623</v>
      </c>
      <c r="F1670" s="8" t="n">
        <v>1000</v>
      </c>
      <c r="H1670" s="8" t="n">
        <v>1000</v>
      </c>
    </row>
    <row r="1672" customFormat="false" ht="12.75" hidden="false" customHeight="true" outlineLevel="0" collapsed="false">
      <c r="A1672" s="6" t="s">
        <v>1624</v>
      </c>
      <c r="B1672" s="7" t="s">
        <v>1625</v>
      </c>
      <c r="C1672" s="6" t="s">
        <v>16</v>
      </c>
      <c r="D1672" s="9" t="n">
        <v>1</v>
      </c>
      <c r="E1672" s="8" t="n">
        <v>500</v>
      </c>
      <c r="F1672" s="8" t="n">
        <v>500</v>
      </c>
      <c r="G1672" s="8" t="n">
        <v>500</v>
      </c>
      <c r="H1672" s="8" t="n">
        <v>500</v>
      </c>
    </row>
    <row r="1674" customFormat="false" ht="12.75" hidden="false" customHeight="true" outlineLevel="0" collapsed="false">
      <c r="A1674" s="6" t="s">
        <v>1626</v>
      </c>
      <c r="B1674" s="7" t="s">
        <v>1627</v>
      </c>
      <c r="C1674" s="6" t="s">
        <v>16</v>
      </c>
      <c r="D1674" s="9" t="n">
        <v>1</v>
      </c>
      <c r="E1674" s="8" t="n">
        <v>500</v>
      </c>
      <c r="F1674" s="8" t="n">
        <v>500</v>
      </c>
      <c r="G1674" s="8" t="n">
        <v>500</v>
      </c>
      <c r="H1674" s="8" t="n">
        <v>500</v>
      </c>
    </row>
    <row r="1676" customFormat="false" ht="38.25" hidden="false" customHeight="true" outlineLevel="0" collapsed="false">
      <c r="A1676" s="6" t="s">
        <v>1628</v>
      </c>
      <c r="B1676" s="7" t="s">
        <v>1629</v>
      </c>
      <c r="F1676" s="8" t="n">
        <v>200</v>
      </c>
      <c r="H1676" s="8" t="n">
        <v>200</v>
      </c>
    </row>
    <row r="1678" customFormat="false" ht="12.75" hidden="false" customHeight="true" outlineLevel="0" collapsed="false">
      <c r="A1678" s="6" t="s">
        <v>1630</v>
      </c>
      <c r="B1678" s="7" t="s">
        <v>1631</v>
      </c>
      <c r="C1678" s="6" t="s">
        <v>16</v>
      </c>
      <c r="D1678" s="9" t="n">
        <v>1</v>
      </c>
      <c r="E1678" s="8" t="n">
        <v>100</v>
      </c>
      <c r="F1678" s="8" t="n">
        <v>100</v>
      </c>
      <c r="G1678" s="8" t="n">
        <v>100</v>
      </c>
      <c r="H1678" s="8" t="n">
        <v>100</v>
      </c>
      <c r="I1678" s="14" t="s">
        <v>22</v>
      </c>
      <c r="J1678" s="15" t="s">
        <v>31</v>
      </c>
      <c r="K1678" s="14" t="s">
        <v>1632</v>
      </c>
    </row>
    <row r="1680" customFormat="false" ht="12.75" hidden="false" customHeight="true" outlineLevel="0" collapsed="false">
      <c r="A1680" s="6" t="s">
        <v>1633</v>
      </c>
      <c r="B1680" s="7" t="s">
        <v>1634</v>
      </c>
      <c r="C1680" s="6" t="s">
        <v>16</v>
      </c>
      <c r="D1680" s="9" t="n">
        <v>1</v>
      </c>
      <c r="E1680" s="8" t="n">
        <v>100</v>
      </c>
      <c r="F1680" s="8" t="n">
        <v>100</v>
      </c>
      <c r="G1680" s="8" t="n">
        <v>100</v>
      </c>
      <c r="H1680" s="8" t="n">
        <v>100</v>
      </c>
    </row>
    <row r="1682" customFormat="false" ht="25.5" hidden="false" customHeight="true" outlineLevel="0" collapsed="false">
      <c r="A1682" s="6" t="s">
        <v>1635</v>
      </c>
      <c r="B1682" s="7" t="s">
        <v>1636</v>
      </c>
      <c r="F1682" s="8" t="n">
        <v>325.6</v>
      </c>
      <c r="H1682" s="8" t="n">
        <v>325.6</v>
      </c>
    </row>
    <row r="1685" customFormat="false" ht="25.5" hidden="false" customHeight="true" outlineLevel="0" collapsed="false">
      <c r="A1685" s="6" t="s">
        <v>1637</v>
      </c>
      <c r="B1685" s="7" t="s">
        <v>1638</v>
      </c>
      <c r="C1685" s="6" t="s">
        <v>16</v>
      </c>
      <c r="D1685" s="9" t="n">
        <v>1</v>
      </c>
      <c r="E1685" s="8" t="n">
        <v>100</v>
      </c>
      <c r="F1685" s="8" t="n">
        <v>100</v>
      </c>
      <c r="G1685" s="8" t="n">
        <v>100</v>
      </c>
      <c r="H1685" s="8" t="n">
        <v>100</v>
      </c>
      <c r="I1685" s="10" t="s">
        <v>22</v>
      </c>
      <c r="J1685" s="11" t="s">
        <v>18</v>
      </c>
      <c r="K1685" s="10" t="s">
        <v>1639</v>
      </c>
    </row>
    <row r="1687" customFormat="false" ht="25.5" hidden="false" customHeight="true" outlineLevel="0" collapsed="false">
      <c r="A1687" s="6" t="s">
        <v>1640</v>
      </c>
      <c r="B1687" s="7" t="s">
        <v>1641</v>
      </c>
      <c r="C1687" s="6" t="s">
        <v>16</v>
      </c>
      <c r="D1687" s="9" t="n">
        <v>1</v>
      </c>
      <c r="E1687" s="8" t="n">
        <v>225.6</v>
      </c>
      <c r="F1687" s="8" t="n">
        <v>225.6</v>
      </c>
      <c r="G1687" s="8" t="n">
        <v>225.6</v>
      </c>
      <c r="H1687" s="8" t="n">
        <v>225.6</v>
      </c>
    </row>
    <row r="1689" customFormat="false" ht="12.75" hidden="false" customHeight="true" outlineLevel="0" collapsed="false">
      <c r="A1689" s="6" t="s">
        <v>1642</v>
      </c>
      <c r="B1689" s="7" t="s">
        <v>1643</v>
      </c>
      <c r="F1689" s="8" t="n">
        <v>9863.68</v>
      </c>
      <c r="H1689" s="8" t="n">
        <v>9863.68</v>
      </c>
      <c r="I1689" s="14" t="s">
        <v>91</v>
      </c>
      <c r="J1689" s="15" t="s">
        <v>31</v>
      </c>
      <c r="K1689" s="14" t="s">
        <v>1644</v>
      </c>
    </row>
    <row r="1691" customFormat="false" ht="25.5" hidden="false" customHeight="true" outlineLevel="0" collapsed="false">
      <c r="A1691" s="6" t="s">
        <v>1645</v>
      </c>
      <c r="B1691" s="7" t="s">
        <v>1646</v>
      </c>
      <c r="F1691" s="8" t="n">
        <v>1597.5</v>
      </c>
      <c r="H1691" s="8" t="n">
        <v>1597.5</v>
      </c>
    </row>
    <row r="1693" customFormat="false" ht="12.75" hidden="false" customHeight="true" outlineLevel="0" collapsed="false">
      <c r="A1693" s="6" t="s">
        <v>1647</v>
      </c>
      <c r="B1693" s="7" t="s">
        <v>1648</v>
      </c>
    </row>
    <row r="1695" customFormat="false" ht="12.75" hidden="false" customHeight="true" outlineLevel="0" collapsed="false">
      <c r="A1695" s="6" t="s">
        <v>1649</v>
      </c>
      <c r="B1695" s="7" t="s">
        <v>1650</v>
      </c>
      <c r="C1695" s="6" t="s">
        <v>16</v>
      </c>
      <c r="D1695" s="9" t="n">
        <v>2</v>
      </c>
      <c r="E1695" s="8" t="n">
        <v>250</v>
      </c>
      <c r="F1695" s="8" t="n">
        <v>500</v>
      </c>
      <c r="G1695" s="8" t="n">
        <v>250</v>
      </c>
      <c r="H1695" s="8" t="n">
        <v>500</v>
      </c>
    </row>
    <row r="1697" customFormat="false" ht="12.75" hidden="false" customHeight="true" outlineLevel="0" collapsed="false">
      <c r="A1697" s="6" t="s">
        <v>1651</v>
      </c>
      <c r="B1697" s="7" t="s">
        <v>1652</v>
      </c>
      <c r="C1697" s="6" t="s">
        <v>16</v>
      </c>
      <c r="D1697" s="9" t="n">
        <v>1</v>
      </c>
      <c r="E1697" s="8" t="n">
        <v>250</v>
      </c>
      <c r="F1697" s="8" t="n">
        <v>250</v>
      </c>
      <c r="G1697" s="8" t="n">
        <v>250</v>
      </c>
      <c r="H1697" s="8" t="n">
        <v>250</v>
      </c>
    </row>
    <row r="1699" customFormat="false" ht="12.75" hidden="false" customHeight="true" outlineLevel="0" collapsed="false">
      <c r="A1699" s="6" t="s">
        <v>1653</v>
      </c>
      <c r="B1699" s="7" t="s">
        <v>1654</v>
      </c>
      <c r="C1699" s="6" t="s">
        <v>16</v>
      </c>
      <c r="D1699" s="9" t="n">
        <v>3</v>
      </c>
      <c r="E1699" s="8" t="n">
        <v>150</v>
      </c>
      <c r="F1699" s="8" t="n">
        <v>450</v>
      </c>
      <c r="G1699" s="8" t="n">
        <v>150</v>
      </c>
      <c r="H1699" s="8" t="n">
        <v>450</v>
      </c>
    </row>
    <row r="1701" customFormat="false" ht="12.75" hidden="false" customHeight="true" outlineLevel="0" collapsed="false">
      <c r="A1701" s="6" t="s">
        <v>1655</v>
      </c>
      <c r="B1701" s="7" t="s">
        <v>1656</v>
      </c>
    </row>
    <row r="1703" customFormat="false" ht="12.75" hidden="false" customHeight="true" outlineLevel="0" collapsed="false">
      <c r="A1703" s="6" t="s">
        <v>1657</v>
      </c>
      <c r="B1703" s="7" t="s">
        <v>1658</v>
      </c>
      <c r="C1703" s="6" t="s">
        <v>922</v>
      </c>
      <c r="D1703" s="9" t="n">
        <v>150</v>
      </c>
      <c r="E1703" s="8" t="n">
        <v>2.65</v>
      </c>
      <c r="F1703" s="8" t="n">
        <v>397.5</v>
      </c>
      <c r="G1703" s="8" t="n">
        <v>2.65</v>
      </c>
      <c r="H1703" s="8" t="n">
        <v>397.5</v>
      </c>
    </row>
    <row r="1705" customFormat="false" ht="12.75" hidden="false" customHeight="true" outlineLevel="0" collapsed="false">
      <c r="A1705" s="6" t="s">
        <v>1659</v>
      </c>
      <c r="B1705" s="7" t="s">
        <v>1660</v>
      </c>
      <c r="F1705" s="8" t="n">
        <v>253.12</v>
      </c>
      <c r="H1705" s="8" t="n">
        <v>253.12</v>
      </c>
    </row>
    <row r="1707" customFormat="false" ht="12.75" hidden="false" customHeight="true" outlineLevel="0" collapsed="false">
      <c r="A1707" s="6" t="s">
        <v>1661</v>
      </c>
      <c r="B1707" s="7" t="s">
        <v>1662</v>
      </c>
    </row>
    <row r="1709" customFormat="false" ht="12.75" hidden="false" customHeight="true" outlineLevel="0" collapsed="false">
      <c r="A1709" s="6" t="s">
        <v>1663</v>
      </c>
      <c r="B1709" s="7" t="s">
        <v>1664</v>
      </c>
      <c r="C1709" s="6" t="s">
        <v>922</v>
      </c>
      <c r="D1709" s="9" t="n">
        <v>112</v>
      </c>
      <c r="E1709" s="8" t="n">
        <v>2.26</v>
      </c>
      <c r="F1709" s="8" t="n">
        <v>253.12</v>
      </c>
      <c r="G1709" s="8" t="n">
        <v>2.26</v>
      </c>
      <c r="H1709" s="8" t="n">
        <v>253.12</v>
      </c>
    </row>
    <row r="1711" customFormat="false" ht="51" hidden="false" customHeight="true" outlineLevel="0" collapsed="false">
      <c r="A1711" s="6" t="s">
        <v>1665</v>
      </c>
      <c r="B1711" s="7" t="s">
        <v>1666</v>
      </c>
      <c r="F1711" s="8" t="n">
        <v>3232.78</v>
      </c>
      <c r="H1711" s="8" t="n">
        <v>3232.78</v>
      </c>
    </row>
    <row r="1713" customFormat="false" ht="25.5" hidden="false" customHeight="true" outlineLevel="0" collapsed="false">
      <c r="A1713" s="6" t="s">
        <v>1667</v>
      </c>
      <c r="B1713" s="7" t="s">
        <v>1668</v>
      </c>
    </row>
    <row r="1715" customFormat="false" ht="12.75" hidden="false" customHeight="true" outlineLevel="0" collapsed="false">
      <c r="A1715" s="6" t="s">
        <v>1669</v>
      </c>
      <c r="B1715" s="7" t="s">
        <v>1670</v>
      </c>
      <c r="C1715" s="6" t="s">
        <v>16</v>
      </c>
      <c r="D1715" s="9" t="n">
        <v>1</v>
      </c>
      <c r="E1715" s="8" t="n">
        <v>2768.3</v>
      </c>
      <c r="F1715" s="8" t="n">
        <v>2768.3</v>
      </c>
      <c r="G1715" s="8" t="n">
        <v>2768.3</v>
      </c>
      <c r="H1715" s="8" t="n">
        <v>2768.3</v>
      </c>
    </row>
    <row r="1717" customFormat="false" ht="12.75" hidden="false" customHeight="true" outlineLevel="0" collapsed="false">
      <c r="A1717" s="6" t="s">
        <v>1671</v>
      </c>
      <c r="B1717" s="7" t="s">
        <v>1672</v>
      </c>
      <c r="C1717" s="6" t="s">
        <v>16</v>
      </c>
      <c r="D1717" s="9" t="n">
        <v>1</v>
      </c>
      <c r="E1717" s="8" t="n">
        <v>464.48</v>
      </c>
      <c r="F1717" s="8" t="n">
        <v>464.48</v>
      </c>
      <c r="G1717" s="8" t="n">
        <v>464.48</v>
      </c>
      <c r="H1717" s="8" t="n">
        <v>464.48</v>
      </c>
    </row>
    <row r="1719" customFormat="false" ht="12.75" hidden="false" customHeight="true" outlineLevel="0" collapsed="false">
      <c r="A1719" s="6" t="s">
        <v>1673</v>
      </c>
      <c r="B1719" s="7" t="s">
        <v>1674</v>
      </c>
      <c r="F1719" s="8" t="n">
        <v>3826.7</v>
      </c>
      <c r="H1719" s="8" t="n">
        <v>3826.7</v>
      </c>
    </row>
    <row r="1721" customFormat="false" ht="25.5" hidden="false" customHeight="true" outlineLevel="0" collapsed="false">
      <c r="A1721" s="6" t="s">
        <v>1675</v>
      </c>
      <c r="B1721" s="7" t="s">
        <v>1676</v>
      </c>
      <c r="C1721" s="6" t="s">
        <v>922</v>
      </c>
      <c r="D1721" s="9" t="n">
        <v>1615</v>
      </c>
      <c r="E1721" s="8" t="n">
        <v>1.96</v>
      </c>
      <c r="F1721" s="8" t="n">
        <v>3165.4</v>
      </c>
      <c r="G1721" s="8" t="n">
        <v>1.96</v>
      </c>
      <c r="H1721" s="8" t="n">
        <v>3165.4</v>
      </c>
    </row>
    <row r="1723" customFormat="false" ht="12.75" hidden="false" customHeight="true" outlineLevel="0" collapsed="false">
      <c r="A1723" s="6" t="s">
        <v>1677</v>
      </c>
      <c r="B1723" s="7" t="s">
        <v>1678</v>
      </c>
      <c r="C1723" s="6" t="s">
        <v>922</v>
      </c>
      <c r="D1723" s="9" t="n">
        <v>170</v>
      </c>
      <c r="E1723" s="8" t="n">
        <v>3.89</v>
      </c>
      <c r="F1723" s="8" t="n">
        <v>661.3</v>
      </c>
      <c r="G1723" s="8" t="n">
        <v>3.89</v>
      </c>
      <c r="H1723" s="8" t="n">
        <v>661.3</v>
      </c>
    </row>
    <row r="1725" customFormat="false" ht="12.75" hidden="false" customHeight="true" outlineLevel="0" collapsed="false">
      <c r="A1725" s="6" t="s">
        <v>1679</v>
      </c>
      <c r="B1725" s="7" t="s">
        <v>1680</v>
      </c>
      <c r="F1725" s="8" t="n">
        <v>667.48</v>
      </c>
      <c r="H1725" s="8" t="n">
        <v>667.48</v>
      </c>
    </row>
    <row r="1727" customFormat="false" ht="12.75" hidden="false" customHeight="true" outlineLevel="0" collapsed="false">
      <c r="A1727" s="6" t="s">
        <v>1681</v>
      </c>
      <c r="B1727" s="7" t="s">
        <v>1682</v>
      </c>
    </row>
    <row r="1729" customFormat="false" ht="12.75" hidden="false" customHeight="true" outlineLevel="0" collapsed="false">
      <c r="A1729" s="6" t="s">
        <v>1683</v>
      </c>
      <c r="B1729" s="7" t="s">
        <v>1684</v>
      </c>
      <c r="C1729" s="6" t="s">
        <v>16</v>
      </c>
      <c r="D1729" s="9" t="n">
        <v>28</v>
      </c>
      <c r="E1729" s="8" t="n">
        <v>15.17</v>
      </c>
      <c r="F1729" s="8" t="n">
        <v>424.76</v>
      </c>
      <c r="G1729" s="8" t="n">
        <v>15.17</v>
      </c>
      <c r="H1729" s="8" t="n">
        <v>424.76</v>
      </c>
    </row>
    <row r="1731" customFormat="false" ht="12.75" hidden="false" customHeight="true" outlineLevel="0" collapsed="false">
      <c r="A1731" s="6" t="s">
        <v>1685</v>
      </c>
      <c r="B1731" s="7" t="s">
        <v>1686</v>
      </c>
    </row>
    <row r="1733" customFormat="false" ht="12.75" hidden="false" customHeight="true" outlineLevel="0" collapsed="false">
      <c r="A1733" s="6" t="s">
        <v>1687</v>
      </c>
      <c r="B1733" s="7" t="s">
        <v>1684</v>
      </c>
      <c r="C1733" s="6" t="s">
        <v>16</v>
      </c>
      <c r="D1733" s="9" t="n">
        <v>6</v>
      </c>
      <c r="E1733" s="8" t="n">
        <v>30.34</v>
      </c>
      <c r="F1733" s="8" t="n">
        <v>182.04</v>
      </c>
      <c r="G1733" s="8" t="n">
        <v>30.34</v>
      </c>
      <c r="H1733" s="8" t="n">
        <v>182.04</v>
      </c>
    </row>
    <row r="1735" customFormat="false" ht="12.75" hidden="false" customHeight="true" outlineLevel="0" collapsed="false">
      <c r="A1735" s="6" t="s">
        <v>1688</v>
      </c>
      <c r="B1735" s="7" t="s">
        <v>1689</v>
      </c>
      <c r="C1735" s="6" t="s">
        <v>16</v>
      </c>
      <c r="D1735" s="9" t="n">
        <v>2</v>
      </c>
      <c r="E1735" s="8" t="n">
        <v>30.34</v>
      </c>
      <c r="F1735" s="8" t="n">
        <v>60.68</v>
      </c>
      <c r="G1735" s="8" t="n">
        <v>30.34</v>
      </c>
      <c r="H1735" s="8" t="n">
        <v>60.68</v>
      </c>
    </row>
    <row r="1737" customFormat="false" ht="12.75" hidden="false" customHeight="true" outlineLevel="0" collapsed="false">
      <c r="A1737" s="6" t="s">
        <v>1690</v>
      </c>
      <c r="B1737" s="7" t="s">
        <v>1691</v>
      </c>
      <c r="F1737" s="8" t="n">
        <v>286.1</v>
      </c>
      <c r="H1737" s="8" t="n">
        <v>286.1</v>
      </c>
    </row>
    <row r="1739" customFormat="false" ht="12.75" hidden="false" customHeight="true" outlineLevel="0" collapsed="false">
      <c r="A1739" s="6" t="s">
        <v>1692</v>
      </c>
      <c r="B1739" s="7" t="s">
        <v>1693</v>
      </c>
      <c r="C1739" s="6" t="s">
        <v>922</v>
      </c>
      <c r="D1739" s="9" t="n">
        <v>30</v>
      </c>
      <c r="E1739" s="8" t="n">
        <v>3.19</v>
      </c>
      <c r="F1739" s="8" t="n">
        <v>95.7</v>
      </c>
      <c r="G1739" s="8" t="n">
        <v>3.19</v>
      </c>
      <c r="H1739" s="8" t="n">
        <v>95.7</v>
      </c>
    </row>
    <row r="1741" customFormat="false" ht="12.75" hidden="false" customHeight="true" outlineLevel="0" collapsed="false">
      <c r="A1741" s="6" t="s">
        <v>1694</v>
      </c>
      <c r="B1741" s="7" t="s">
        <v>1695</v>
      </c>
      <c r="C1741" s="6" t="s">
        <v>922</v>
      </c>
      <c r="D1741" s="9" t="n">
        <v>20</v>
      </c>
      <c r="E1741" s="8" t="n">
        <v>1.77</v>
      </c>
      <c r="F1741" s="8" t="n">
        <v>35.4</v>
      </c>
      <c r="G1741" s="8" t="n">
        <v>1.77</v>
      </c>
      <c r="H1741" s="8" t="n">
        <v>35.4</v>
      </c>
    </row>
    <row r="1743" customFormat="false" ht="12.75" hidden="false" customHeight="true" outlineLevel="0" collapsed="false">
      <c r="A1743" s="6" t="s">
        <v>1696</v>
      </c>
      <c r="B1743" s="7" t="s">
        <v>1697</v>
      </c>
      <c r="C1743" s="6" t="s">
        <v>922</v>
      </c>
      <c r="D1743" s="9" t="n">
        <v>10</v>
      </c>
      <c r="E1743" s="8" t="n">
        <v>1.4</v>
      </c>
      <c r="F1743" s="8" t="n">
        <v>14</v>
      </c>
      <c r="G1743" s="8" t="n">
        <v>1.4</v>
      </c>
      <c r="H1743" s="8" t="n">
        <v>14</v>
      </c>
    </row>
    <row r="1745" customFormat="false" ht="12.75" hidden="false" customHeight="true" outlineLevel="0" collapsed="false">
      <c r="A1745" s="6" t="s">
        <v>1698</v>
      </c>
      <c r="B1745" s="7" t="s">
        <v>1406</v>
      </c>
      <c r="C1745" s="6" t="s">
        <v>922</v>
      </c>
      <c r="D1745" s="9" t="n">
        <v>30</v>
      </c>
      <c r="E1745" s="8" t="n">
        <v>2.26</v>
      </c>
      <c r="F1745" s="8" t="n">
        <v>67.8</v>
      </c>
      <c r="G1745" s="8" t="n">
        <v>2.26</v>
      </c>
      <c r="H1745" s="8" t="n">
        <v>67.8</v>
      </c>
    </row>
    <row r="1747" customFormat="false" ht="12.75" hidden="false" customHeight="true" outlineLevel="0" collapsed="false">
      <c r="A1747" s="6" t="s">
        <v>1699</v>
      </c>
      <c r="B1747" s="7" t="s">
        <v>1700</v>
      </c>
      <c r="C1747" s="6" t="s">
        <v>922</v>
      </c>
      <c r="D1747" s="9" t="n">
        <v>30</v>
      </c>
      <c r="E1747" s="8" t="n">
        <v>2.44</v>
      </c>
      <c r="F1747" s="8" t="n">
        <v>73.2</v>
      </c>
      <c r="G1747" s="8" t="n">
        <v>2.44</v>
      </c>
      <c r="H1747" s="8" t="n">
        <v>73.2</v>
      </c>
    </row>
    <row r="1749" customFormat="false" ht="12.75" hidden="false" customHeight="true" outlineLevel="0" collapsed="false">
      <c r="A1749" s="6" t="s">
        <v>1701</v>
      </c>
      <c r="B1749" s="7" t="s">
        <v>1702</v>
      </c>
      <c r="F1749" s="8" t="n">
        <v>2885.06</v>
      </c>
      <c r="H1749" s="8" t="n">
        <v>2885.06</v>
      </c>
      <c r="I1749" s="14" t="s">
        <v>91</v>
      </c>
      <c r="J1749" s="15" t="s">
        <v>31</v>
      </c>
      <c r="K1749" s="14" t="s">
        <v>1703</v>
      </c>
    </row>
    <row r="1751" customFormat="false" ht="12.75" hidden="false" customHeight="true" outlineLevel="0" collapsed="false">
      <c r="A1751" s="6" t="s">
        <v>1704</v>
      </c>
      <c r="B1751" s="7" t="s">
        <v>1705</v>
      </c>
      <c r="F1751" s="8" t="n">
        <v>934.28</v>
      </c>
      <c r="H1751" s="8" t="n">
        <v>934.28</v>
      </c>
    </row>
    <row r="1753" customFormat="false" ht="12.75" hidden="false" customHeight="true" outlineLevel="0" collapsed="false">
      <c r="A1753" s="6" t="s">
        <v>1706</v>
      </c>
      <c r="B1753" s="7" t="s">
        <v>1707</v>
      </c>
    </row>
    <row r="1755" customFormat="false" ht="12.75" hidden="false" customHeight="true" outlineLevel="0" collapsed="false">
      <c r="A1755" s="6" t="s">
        <v>1708</v>
      </c>
      <c r="B1755" s="7" t="s">
        <v>1709</v>
      </c>
      <c r="C1755" s="6" t="s">
        <v>16</v>
      </c>
      <c r="D1755" s="9" t="n">
        <v>21</v>
      </c>
      <c r="E1755" s="8" t="n">
        <v>41.14</v>
      </c>
      <c r="F1755" s="8" t="n">
        <v>863.94</v>
      </c>
      <c r="G1755" s="8" t="n">
        <v>41.14</v>
      </c>
      <c r="H1755" s="8" t="n">
        <v>863.94</v>
      </c>
    </row>
    <row r="1757" customFormat="false" ht="12.75" hidden="false" customHeight="true" outlineLevel="0" collapsed="false">
      <c r="A1757" s="6" t="s">
        <v>1710</v>
      </c>
      <c r="B1757" s="7" t="s">
        <v>1711</v>
      </c>
    </row>
    <row r="1759" customFormat="false" ht="12.75" hidden="false" customHeight="true" outlineLevel="0" collapsed="false">
      <c r="A1759" s="6" t="s">
        <v>1712</v>
      </c>
      <c r="B1759" s="7" t="s">
        <v>1713</v>
      </c>
      <c r="C1759" s="6" t="s">
        <v>16</v>
      </c>
      <c r="D1759" s="9" t="n">
        <v>1</v>
      </c>
      <c r="E1759" s="8" t="n">
        <v>70.34</v>
      </c>
      <c r="F1759" s="8" t="n">
        <v>70.34</v>
      </c>
      <c r="G1759" s="8" t="n">
        <v>70.34</v>
      </c>
      <c r="H1759" s="8" t="n">
        <v>70.34</v>
      </c>
    </row>
    <row r="1761" customFormat="false" ht="12.75" hidden="false" customHeight="true" outlineLevel="0" collapsed="false">
      <c r="A1761" s="6" t="s">
        <v>1714</v>
      </c>
      <c r="B1761" s="7" t="s">
        <v>1715</v>
      </c>
      <c r="F1761" s="8" t="n">
        <v>1950.78</v>
      </c>
      <c r="H1761" s="8" t="n">
        <v>1950.78</v>
      </c>
    </row>
    <row r="1763" customFormat="false" ht="25.5" hidden="false" customHeight="true" outlineLevel="0" collapsed="false">
      <c r="A1763" s="6" t="s">
        <v>1716</v>
      </c>
      <c r="B1763" s="7" t="s">
        <v>1717</v>
      </c>
    </row>
    <row r="1765" customFormat="false" ht="12.75" hidden="false" customHeight="true" outlineLevel="0" collapsed="false">
      <c r="A1765" s="6" t="s">
        <v>1718</v>
      </c>
      <c r="B1765" s="7" t="s">
        <v>1719</v>
      </c>
      <c r="C1765" s="6" t="s">
        <v>16</v>
      </c>
      <c r="D1765" s="9" t="n">
        <v>22</v>
      </c>
      <c r="E1765" s="8" t="n">
        <v>10.62</v>
      </c>
      <c r="F1765" s="8" t="n">
        <v>233.64</v>
      </c>
      <c r="G1765" s="8" t="n">
        <v>10.62</v>
      </c>
      <c r="H1765" s="8" t="n">
        <v>233.64</v>
      </c>
    </row>
    <row r="1767" customFormat="false" ht="12.75" hidden="false" customHeight="true" outlineLevel="0" collapsed="false">
      <c r="A1767" s="6" t="s">
        <v>1720</v>
      </c>
      <c r="B1767" s="7" t="s">
        <v>1721</v>
      </c>
      <c r="C1767" s="6" t="s">
        <v>16</v>
      </c>
      <c r="D1767" s="9" t="n">
        <v>10</v>
      </c>
      <c r="E1767" s="8" t="n">
        <v>10.62</v>
      </c>
      <c r="F1767" s="8" t="n">
        <v>106.2</v>
      </c>
      <c r="G1767" s="8" t="n">
        <v>10.62</v>
      </c>
      <c r="H1767" s="8" t="n">
        <v>106.2</v>
      </c>
    </row>
    <row r="1769" customFormat="false" ht="12.75" hidden="false" customHeight="true" outlineLevel="0" collapsed="false">
      <c r="A1769" s="6" t="s">
        <v>1722</v>
      </c>
      <c r="B1769" s="7" t="s">
        <v>1723</v>
      </c>
      <c r="C1769" s="6" t="s">
        <v>16</v>
      </c>
      <c r="D1769" s="9" t="n">
        <v>9</v>
      </c>
      <c r="E1769" s="8" t="n">
        <v>10.62</v>
      </c>
      <c r="F1769" s="8" t="n">
        <v>95.58</v>
      </c>
      <c r="G1769" s="8" t="n">
        <v>10.62</v>
      </c>
      <c r="H1769" s="8" t="n">
        <v>95.58</v>
      </c>
    </row>
    <row r="1771" customFormat="false" ht="12.75" hidden="false" customHeight="true" outlineLevel="0" collapsed="false">
      <c r="A1771" s="6" t="s">
        <v>1724</v>
      </c>
      <c r="B1771" s="7" t="s">
        <v>1725</v>
      </c>
      <c r="C1771" s="6" t="s">
        <v>16</v>
      </c>
      <c r="D1771" s="9" t="n">
        <v>2</v>
      </c>
      <c r="E1771" s="8" t="n">
        <v>17.25</v>
      </c>
      <c r="F1771" s="8" t="n">
        <v>34.5</v>
      </c>
      <c r="G1771" s="8" t="n">
        <v>17.25</v>
      </c>
      <c r="H1771" s="8" t="n">
        <v>34.5</v>
      </c>
    </row>
    <row r="1773" customFormat="false" ht="12.75" hidden="false" customHeight="true" outlineLevel="0" collapsed="false">
      <c r="A1773" s="6" t="s">
        <v>1726</v>
      </c>
      <c r="B1773" s="7" t="s">
        <v>1727</v>
      </c>
      <c r="C1773" s="6" t="s">
        <v>16</v>
      </c>
      <c r="D1773" s="9" t="n">
        <v>1</v>
      </c>
      <c r="E1773" s="8" t="n">
        <v>17.25</v>
      </c>
      <c r="F1773" s="8" t="n">
        <v>17.25</v>
      </c>
      <c r="G1773" s="8" t="n">
        <v>17.25</v>
      </c>
      <c r="H1773" s="8" t="n">
        <v>17.25</v>
      </c>
    </row>
    <row r="1775" customFormat="false" ht="12.75" hidden="false" customHeight="true" outlineLevel="0" collapsed="false">
      <c r="A1775" s="6" t="s">
        <v>1728</v>
      </c>
      <c r="B1775" s="7" t="s">
        <v>1729</v>
      </c>
      <c r="C1775" s="6" t="s">
        <v>16</v>
      </c>
      <c r="D1775" s="9" t="n">
        <v>2</v>
      </c>
      <c r="E1775" s="8" t="n">
        <v>17.25</v>
      </c>
      <c r="F1775" s="8" t="n">
        <v>34.5</v>
      </c>
      <c r="G1775" s="8" t="n">
        <v>17.25</v>
      </c>
      <c r="H1775" s="8" t="n">
        <v>34.5</v>
      </c>
    </row>
    <row r="1777" customFormat="false" ht="12.75" hidden="false" customHeight="true" outlineLevel="0" collapsed="false">
      <c r="A1777" s="6" t="s">
        <v>1730</v>
      </c>
      <c r="B1777" s="7" t="s">
        <v>1731</v>
      </c>
      <c r="C1777" s="6" t="s">
        <v>16</v>
      </c>
      <c r="D1777" s="9" t="n">
        <v>1</v>
      </c>
      <c r="E1777" s="8" t="n">
        <v>17.25</v>
      </c>
      <c r="F1777" s="8" t="n">
        <v>17.25</v>
      </c>
      <c r="G1777" s="8" t="n">
        <v>17.25</v>
      </c>
      <c r="H1777" s="8" t="n">
        <v>17.25</v>
      </c>
    </row>
    <row r="1779" customFormat="false" ht="12.75" hidden="false" customHeight="true" outlineLevel="0" collapsed="false">
      <c r="A1779" s="6" t="s">
        <v>1732</v>
      </c>
      <c r="B1779" s="7" t="s">
        <v>1733</v>
      </c>
      <c r="C1779" s="6" t="s">
        <v>16</v>
      </c>
      <c r="D1779" s="9" t="n">
        <v>1</v>
      </c>
      <c r="E1779" s="8" t="n">
        <v>10.62</v>
      </c>
      <c r="F1779" s="8" t="n">
        <v>10.62</v>
      </c>
      <c r="G1779" s="8" t="n">
        <v>10.62</v>
      </c>
      <c r="H1779" s="8" t="n">
        <v>10.62</v>
      </c>
    </row>
    <row r="1781" customFormat="false" ht="12.75" hidden="false" customHeight="true" outlineLevel="0" collapsed="false">
      <c r="A1781" s="6" t="s">
        <v>1734</v>
      </c>
      <c r="B1781" s="7" t="s">
        <v>1735</v>
      </c>
      <c r="C1781" s="6" t="s">
        <v>16</v>
      </c>
      <c r="D1781" s="9" t="n">
        <v>2</v>
      </c>
      <c r="E1781" s="8" t="n">
        <v>10.62</v>
      </c>
      <c r="F1781" s="8" t="n">
        <v>21.24</v>
      </c>
      <c r="G1781" s="8" t="n">
        <v>10.62</v>
      </c>
      <c r="H1781" s="8" t="n">
        <v>21.24</v>
      </c>
    </row>
    <row r="1783" customFormat="false" ht="12.75" hidden="false" customHeight="true" outlineLevel="0" collapsed="false">
      <c r="A1783" s="6" t="s">
        <v>1736</v>
      </c>
      <c r="B1783" s="7" t="s">
        <v>1737</v>
      </c>
      <c r="C1783" s="6" t="s">
        <v>16</v>
      </c>
      <c r="D1783" s="9" t="n">
        <v>10</v>
      </c>
      <c r="E1783" s="8" t="n">
        <v>17.25</v>
      </c>
      <c r="F1783" s="8" t="n">
        <v>172.5</v>
      </c>
      <c r="G1783" s="8" t="n">
        <v>17.25</v>
      </c>
      <c r="H1783" s="8" t="n">
        <v>172.5</v>
      </c>
    </row>
    <row r="1785" customFormat="false" ht="12.75" hidden="false" customHeight="true" outlineLevel="0" collapsed="false">
      <c r="A1785" s="6" t="s">
        <v>1738</v>
      </c>
      <c r="B1785" s="7" t="s">
        <v>1739</v>
      </c>
    </row>
    <row r="1787" customFormat="false" ht="12.75" hidden="false" customHeight="true" outlineLevel="0" collapsed="false">
      <c r="A1787" s="6" t="s">
        <v>1740</v>
      </c>
      <c r="B1787" s="7" t="s">
        <v>1741</v>
      </c>
      <c r="C1787" s="6" t="s">
        <v>16</v>
      </c>
      <c r="D1787" s="9" t="n">
        <v>2</v>
      </c>
      <c r="E1787" s="8" t="n">
        <v>17.25</v>
      </c>
      <c r="F1787" s="8" t="n">
        <v>34.5</v>
      </c>
      <c r="G1787" s="8" t="n">
        <v>17.25</v>
      </c>
      <c r="H1787" s="8" t="n">
        <v>34.5</v>
      </c>
    </row>
    <row r="1789" customFormat="false" ht="12.75" hidden="false" customHeight="true" outlineLevel="0" collapsed="false">
      <c r="A1789" s="6" t="s">
        <v>1742</v>
      </c>
      <c r="B1789" s="7" t="s">
        <v>1743</v>
      </c>
      <c r="C1789" s="6" t="s">
        <v>16</v>
      </c>
      <c r="D1789" s="9" t="n">
        <v>10</v>
      </c>
      <c r="E1789" s="8" t="n">
        <v>17.25</v>
      </c>
      <c r="F1789" s="8" t="n">
        <v>172.5</v>
      </c>
      <c r="G1789" s="8" t="n">
        <v>17.25</v>
      </c>
      <c r="H1789" s="8" t="n">
        <v>172.5</v>
      </c>
    </row>
    <row r="1791" customFormat="false" ht="12.75" hidden="false" customHeight="true" outlineLevel="0" collapsed="false">
      <c r="A1791" s="6" t="s">
        <v>1744</v>
      </c>
      <c r="B1791" s="7" t="s">
        <v>1745</v>
      </c>
      <c r="C1791" s="6" t="s">
        <v>16</v>
      </c>
      <c r="D1791" s="9" t="n">
        <v>15</v>
      </c>
      <c r="E1791" s="8" t="n">
        <v>17.25</v>
      </c>
      <c r="F1791" s="8" t="n">
        <v>258.75</v>
      </c>
      <c r="G1791" s="8" t="n">
        <v>17.25</v>
      </c>
      <c r="H1791" s="8" t="n">
        <v>258.75</v>
      </c>
    </row>
    <row r="1793" customFormat="false" ht="12.75" hidden="false" customHeight="true" outlineLevel="0" collapsed="false">
      <c r="A1793" s="6" t="s">
        <v>1746</v>
      </c>
      <c r="B1793" s="7" t="s">
        <v>1747</v>
      </c>
      <c r="C1793" s="6" t="s">
        <v>16</v>
      </c>
      <c r="D1793" s="9" t="n">
        <v>43</v>
      </c>
      <c r="E1793" s="8" t="n">
        <v>17.25</v>
      </c>
      <c r="F1793" s="8" t="n">
        <v>741.75</v>
      </c>
      <c r="G1793" s="8" t="n">
        <v>17.25</v>
      </c>
      <c r="H1793" s="8" t="n">
        <v>741.75</v>
      </c>
    </row>
    <row r="1795" customFormat="false" ht="12.75" hidden="false" customHeight="true" outlineLevel="0" collapsed="false">
      <c r="A1795" s="6" t="s">
        <v>1748</v>
      </c>
      <c r="B1795" s="7" t="s">
        <v>1749</v>
      </c>
      <c r="F1795" s="8" t="n">
        <v>17332.79</v>
      </c>
      <c r="H1795" s="8" t="n">
        <v>17332.79</v>
      </c>
    </row>
    <row r="1797" customFormat="false" ht="25.5" hidden="false" customHeight="true" outlineLevel="0" collapsed="false">
      <c r="A1797" s="6" t="s">
        <v>1750</v>
      </c>
      <c r="B1797" s="7" t="s">
        <v>1751</v>
      </c>
      <c r="F1797" s="8" t="n">
        <v>7409.99</v>
      </c>
      <c r="H1797" s="8" t="n">
        <v>7409.99</v>
      </c>
    </row>
    <row r="1799" customFormat="false" ht="51" hidden="false" customHeight="true" outlineLevel="0" collapsed="false">
      <c r="A1799" s="6" t="s">
        <v>1752</v>
      </c>
      <c r="B1799" s="7" t="s">
        <v>1753</v>
      </c>
      <c r="C1799" s="6" t="s">
        <v>16</v>
      </c>
      <c r="D1799" s="9" t="n">
        <v>1</v>
      </c>
      <c r="E1799" s="8" t="n">
        <v>636.07</v>
      </c>
      <c r="F1799" s="8" t="n">
        <v>636.07</v>
      </c>
      <c r="G1799" s="8" t="n">
        <v>636.07</v>
      </c>
      <c r="H1799" s="8" t="n">
        <v>636.07</v>
      </c>
      <c r="I1799" s="14" t="s">
        <v>22</v>
      </c>
      <c r="J1799" s="15" t="s">
        <v>31</v>
      </c>
      <c r="K1799" s="14" t="s">
        <v>1754</v>
      </c>
    </row>
    <row r="1801" customFormat="false" ht="51" hidden="false" customHeight="true" outlineLevel="0" collapsed="false">
      <c r="A1801" s="6" t="s">
        <v>1755</v>
      </c>
      <c r="B1801" s="7" t="s">
        <v>1756</v>
      </c>
      <c r="C1801" s="6" t="s">
        <v>16</v>
      </c>
      <c r="D1801" s="9" t="n">
        <v>1</v>
      </c>
      <c r="E1801" s="8" t="n">
        <v>357.65</v>
      </c>
      <c r="F1801" s="8" t="n">
        <v>357.65</v>
      </c>
      <c r="G1801" s="8" t="n">
        <v>357.65</v>
      </c>
      <c r="H1801" s="8" t="n">
        <v>357.65</v>
      </c>
    </row>
    <row r="1803" customFormat="false" ht="12.75" hidden="false" customHeight="true" outlineLevel="0" collapsed="false">
      <c r="A1803" s="6" t="s">
        <v>1757</v>
      </c>
      <c r="B1803" s="7" t="s">
        <v>1758</v>
      </c>
      <c r="C1803" s="6" t="s">
        <v>16</v>
      </c>
      <c r="D1803" s="9" t="n">
        <v>29</v>
      </c>
      <c r="E1803" s="8" t="n">
        <v>43.14</v>
      </c>
      <c r="F1803" s="8" t="n">
        <v>1251.06</v>
      </c>
      <c r="G1803" s="8" t="n">
        <v>43.14</v>
      </c>
      <c r="H1803" s="8" t="n">
        <v>1251.06</v>
      </c>
    </row>
    <row r="1805" customFormat="false" ht="12.75" hidden="false" customHeight="true" outlineLevel="0" collapsed="false">
      <c r="A1805" s="6" t="s">
        <v>1759</v>
      </c>
      <c r="B1805" s="7" t="s">
        <v>1760</v>
      </c>
      <c r="C1805" s="6" t="s">
        <v>16</v>
      </c>
      <c r="D1805" s="9" t="n">
        <v>8</v>
      </c>
      <c r="E1805" s="8" t="n">
        <v>47.24</v>
      </c>
      <c r="F1805" s="8" t="n">
        <v>377.92</v>
      </c>
      <c r="G1805" s="8" t="n">
        <v>47.24</v>
      </c>
      <c r="H1805" s="8" t="n">
        <v>377.92</v>
      </c>
    </row>
    <row r="1807" customFormat="false" ht="25.5" hidden="false" customHeight="true" outlineLevel="0" collapsed="false">
      <c r="A1807" s="6" t="s">
        <v>1761</v>
      </c>
      <c r="B1807" s="7" t="s">
        <v>1762</v>
      </c>
      <c r="C1807" s="6" t="s">
        <v>16</v>
      </c>
      <c r="D1807" s="9" t="n">
        <v>6</v>
      </c>
      <c r="E1807" s="8" t="n">
        <v>236.22</v>
      </c>
      <c r="F1807" s="8" t="n">
        <v>1417.32</v>
      </c>
      <c r="G1807" s="8" t="n">
        <v>236.22</v>
      </c>
      <c r="H1807" s="8" t="n">
        <v>1417.32</v>
      </c>
    </row>
    <row r="1809" customFormat="false" ht="12.75" hidden="false" customHeight="true" outlineLevel="0" collapsed="false">
      <c r="A1809" s="6" t="s">
        <v>1763</v>
      </c>
      <c r="B1809" s="7" t="s">
        <v>1764</v>
      </c>
      <c r="C1809" s="6" t="s">
        <v>16</v>
      </c>
      <c r="D1809" s="9" t="n">
        <v>9</v>
      </c>
      <c r="E1809" s="8" t="n">
        <v>44.21</v>
      </c>
      <c r="F1809" s="8" t="n">
        <v>397.89</v>
      </c>
      <c r="G1809" s="8" t="n">
        <v>44.21</v>
      </c>
      <c r="H1809" s="8" t="n">
        <v>397.89</v>
      </c>
    </row>
    <row r="1811" customFormat="false" ht="12.75" hidden="false" customHeight="true" outlineLevel="0" collapsed="false">
      <c r="A1811" s="6" t="s">
        <v>1765</v>
      </c>
      <c r="B1811" s="7" t="s">
        <v>1766</v>
      </c>
      <c r="C1811" s="6" t="s">
        <v>16</v>
      </c>
      <c r="D1811" s="9" t="n">
        <v>7</v>
      </c>
      <c r="E1811" s="8" t="n">
        <v>41.27</v>
      </c>
      <c r="F1811" s="8" t="n">
        <v>288.89</v>
      </c>
      <c r="G1811" s="8" t="n">
        <v>41.27</v>
      </c>
      <c r="H1811" s="8" t="n">
        <v>288.89</v>
      </c>
      <c r="I1811" s="14" t="s">
        <v>17</v>
      </c>
      <c r="J1811" s="15" t="s">
        <v>31</v>
      </c>
      <c r="K1811" s="14" t="s">
        <v>1767</v>
      </c>
    </row>
    <row r="1813" customFormat="false" ht="12.75" hidden="false" customHeight="true" outlineLevel="0" collapsed="false">
      <c r="A1813" s="6" t="s">
        <v>1768</v>
      </c>
      <c r="B1813" s="7" t="s">
        <v>1769</v>
      </c>
      <c r="C1813" s="6" t="s">
        <v>16</v>
      </c>
      <c r="D1813" s="9" t="n">
        <v>7</v>
      </c>
      <c r="E1813" s="8" t="n">
        <v>41.27</v>
      </c>
      <c r="F1813" s="8" t="n">
        <v>288.89</v>
      </c>
      <c r="G1813" s="8" t="n">
        <v>41.27</v>
      </c>
      <c r="H1813" s="8" t="n">
        <v>288.89</v>
      </c>
    </row>
    <row r="1815" customFormat="false" ht="12.75" hidden="false" customHeight="true" outlineLevel="0" collapsed="false">
      <c r="A1815" s="6" t="s">
        <v>1770</v>
      </c>
      <c r="B1815" s="7" t="s">
        <v>1771</v>
      </c>
      <c r="C1815" s="6" t="s">
        <v>16</v>
      </c>
      <c r="D1815" s="9" t="n">
        <v>2</v>
      </c>
      <c r="E1815" s="8" t="n">
        <v>77.63</v>
      </c>
      <c r="F1815" s="8" t="n">
        <v>155.26</v>
      </c>
      <c r="G1815" s="8" t="n">
        <v>77.63</v>
      </c>
      <c r="H1815" s="8" t="n">
        <v>155.26</v>
      </c>
      <c r="I1815" s="10" t="s">
        <v>45</v>
      </c>
      <c r="J1815" s="11" t="s">
        <v>18</v>
      </c>
      <c r="K1815" s="10" t="s">
        <v>1772</v>
      </c>
    </row>
    <row r="1817" customFormat="false" ht="12.75" hidden="false" customHeight="true" outlineLevel="0" collapsed="false">
      <c r="A1817" s="6" t="s">
        <v>1773</v>
      </c>
      <c r="B1817" s="7" t="s">
        <v>1774</v>
      </c>
      <c r="C1817" s="6" t="s">
        <v>16</v>
      </c>
      <c r="D1817" s="9" t="n">
        <v>2</v>
      </c>
      <c r="E1817" s="8" t="n">
        <v>215.52</v>
      </c>
      <c r="F1817" s="8" t="n">
        <v>431.04</v>
      </c>
      <c r="G1817" s="8" t="n">
        <v>215.52</v>
      </c>
      <c r="H1817" s="8" t="n">
        <v>431.04</v>
      </c>
    </row>
    <row r="1819" customFormat="false" ht="12.75" hidden="false" customHeight="true" outlineLevel="0" collapsed="false">
      <c r="A1819" s="6" t="s">
        <v>1775</v>
      </c>
      <c r="B1819" s="7" t="s">
        <v>1465</v>
      </c>
    </row>
    <row r="1821" customFormat="false" ht="12.75" hidden="false" customHeight="true" outlineLevel="0" collapsed="false">
      <c r="A1821" s="6" t="s">
        <v>1776</v>
      </c>
      <c r="B1821" s="7" t="s">
        <v>1777</v>
      </c>
      <c r="C1821" s="6" t="s">
        <v>922</v>
      </c>
      <c r="D1821" s="9" t="n">
        <v>800</v>
      </c>
      <c r="E1821" s="8" t="n">
        <v>2.26</v>
      </c>
      <c r="F1821" s="8" t="n">
        <v>1808</v>
      </c>
      <c r="G1821" s="8" t="n">
        <v>2.26</v>
      </c>
      <c r="H1821" s="8" t="n">
        <v>1808</v>
      </c>
    </row>
    <row r="1823" customFormat="false" ht="12.75" hidden="false" customHeight="true" outlineLevel="0" collapsed="false">
      <c r="A1823" s="6" t="s">
        <v>1778</v>
      </c>
      <c r="B1823" s="7" t="s">
        <v>1779</v>
      </c>
      <c r="F1823" s="8" t="n">
        <v>4492.12</v>
      </c>
      <c r="H1823" s="8" t="n">
        <v>4492.12</v>
      </c>
    </row>
    <row r="1825" customFormat="false" ht="76.5" hidden="false" customHeight="true" outlineLevel="0" collapsed="false">
      <c r="A1825" s="6" t="s">
        <v>1780</v>
      </c>
      <c r="B1825" s="7" t="s">
        <v>1781</v>
      </c>
      <c r="C1825" s="6" t="s">
        <v>16</v>
      </c>
      <c r="D1825" s="9" t="n">
        <v>1</v>
      </c>
      <c r="E1825" s="8" t="n">
        <v>602.5</v>
      </c>
      <c r="F1825" s="8" t="n">
        <v>602.5</v>
      </c>
      <c r="G1825" s="8" t="n">
        <v>602.5</v>
      </c>
      <c r="H1825" s="8" t="n">
        <v>602.5</v>
      </c>
    </row>
    <row r="1827" customFormat="false" ht="12.75" hidden="false" customHeight="true" outlineLevel="0" collapsed="false">
      <c r="A1827" s="6" t="s">
        <v>1782</v>
      </c>
      <c r="B1827" s="7" t="s">
        <v>1783</v>
      </c>
    </row>
    <row r="1829" customFormat="false" ht="25.5" hidden="false" customHeight="true" outlineLevel="0" collapsed="false">
      <c r="A1829" s="6" t="s">
        <v>1784</v>
      </c>
      <c r="B1829" s="7" t="s">
        <v>1785</v>
      </c>
      <c r="C1829" s="6" t="s">
        <v>16</v>
      </c>
      <c r="D1829" s="9" t="n">
        <v>14</v>
      </c>
      <c r="E1829" s="8" t="n">
        <v>175.36</v>
      </c>
      <c r="F1829" s="8" t="n">
        <v>2455.04</v>
      </c>
      <c r="G1829" s="8" t="n">
        <v>175.36</v>
      </c>
      <c r="H1829" s="8" t="n">
        <v>2455.04</v>
      </c>
      <c r="I1829" s="14" t="s">
        <v>192</v>
      </c>
      <c r="J1829" s="15" t="s">
        <v>31</v>
      </c>
      <c r="K1829" s="14" t="s">
        <v>1786</v>
      </c>
    </row>
    <row r="1831" customFormat="false" ht="12.75" hidden="false" customHeight="true" outlineLevel="0" collapsed="false">
      <c r="A1831" s="6" t="s">
        <v>1787</v>
      </c>
      <c r="B1831" s="7" t="s">
        <v>1788</v>
      </c>
    </row>
    <row r="1833" customFormat="false" ht="12.75" hidden="false" customHeight="true" outlineLevel="0" collapsed="false">
      <c r="A1833" s="6" t="s">
        <v>1789</v>
      </c>
      <c r="B1833" s="7" t="s">
        <v>1790</v>
      </c>
      <c r="C1833" s="6" t="s">
        <v>16</v>
      </c>
      <c r="D1833" s="9" t="n">
        <v>1</v>
      </c>
      <c r="E1833" s="8" t="n">
        <v>911.71</v>
      </c>
      <c r="F1833" s="8" t="n">
        <v>911.71</v>
      </c>
      <c r="G1833" s="8" t="n">
        <v>911.71</v>
      </c>
      <c r="H1833" s="8" t="n">
        <v>911.71</v>
      </c>
    </row>
    <row r="1835" customFormat="false" ht="12.75" hidden="false" customHeight="true" outlineLevel="0" collapsed="false">
      <c r="A1835" s="6" t="s">
        <v>1791</v>
      </c>
      <c r="B1835" s="7" t="s">
        <v>1792</v>
      </c>
      <c r="C1835" s="6" t="s">
        <v>16</v>
      </c>
      <c r="D1835" s="9" t="n">
        <v>1</v>
      </c>
      <c r="E1835" s="8" t="n">
        <v>161.9</v>
      </c>
      <c r="F1835" s="8" t="n">
        <v>161.9</v>
      </c>
      <c r="G1835" s="8" t="n">
        <v>161.9</v>
      </c>
      <c r="H1835" s="8" t="n">
        <v>161.9</v>
      </c>
    </row>
    <row r="1838" customFormat="false" ht="12.75" hidden="false" customHeight="true" outlineLevel="0" collapsed="false">
      <c r="A1838" s="6" t="s">
        <v>1793</v>
      </c>
      <c r="B1838" s="7" t="s">
        <v>1794</v>
      </c>
      <c r="C1838" s="6" t="s">
        <v>16</v>
      </c>
      <c r="D1838" s="9" t="n">
        <v>1</v>
      </c>
      <c r="E1838" s="8" t="n">
        <v>45.12</v>
      </c>
      <c r="F1838" s="8" t="n">
        <v>45.12</v>
      </c>
      <c r="G1838" s="8" t="n">
        <v>45.12</v>
      </c>
      <c r="H1838" s="8" t="n">
        <v>45.12</v>
      </c>
    </row>
    <row r="1840" customFormat="false" ht="12.75" hidden="false" customHeight="true" outlineLevel="0" collapsed="false">
      <c r="A1840" s="6" t="s">
        <v>1795</v>
      </c>
      <c r="B1840" s="7" t="s">
        <v>1796</v>
      </c>
      <c r="C1840" s="6" t="s">
        <v>16</v>
      </c>
      <c r="D1840" s="9" t="n">
        <v>1</v>
      </c>
      <c r="E1840" s="8" t="n">
        <v>315.85</v>
      </c>
      <c r="F1840" s="8" t="n">
        <v>315.85</v>
      </c>
      <c r="G1840" s="8" t="n">
        <v>315.85</v>
      </c>
      <c r="H1840" s="8" t="n">
        <v>315.85</v>
      </c>
    </row>
    <row r="1842" customFormat="false" ht="25.5" hidden="false" customHeight="true" outlineLevel="0" collapsed="false">
      <c r="A1842" s="6" t="s">
        <v>1797</v>
      </c>
      <c r="B1842" s="7" t="s">
        <v>1798</v>
      </c>
      <c r="F1842" s="8" t="n">
        <v>2772.77</v>
      </c>
      <c r="H1842" s="8" t="n">
        <v>2772.77</v>
      </c>
    </row>
    <row r="1844" customFormat="false" ht="63.75" hidden="false" customHeight="true" outlineLevel="0" collapsed="false">
      <c r="A1844" s="6" t="s">
        <v>1799</v>
      </c>
      <c r="B1844" s="7" t="s">
        <v>1800</v>
      </c>
      <c r="C1844" s="6" t="s">
        <v>16</v>
      </c>
      <c r="D1844" s="9" t="n">
        <v>1</v>
      </c>
      <c r="E1844" s="8" t="n">
        <v>268.63</v>
      </c>
      <c r="F1844" s="8" t="n">
        <v>268.63</v>
      </c>
      <c r="G1844" s="8" t="n">
        <v>268.63</v>
      </c>
      <c r="H1844" s="8" t="n">
        <v>268.63</v>
      </c>
    </row>
    <row r="1846" customFormat="false" ht="12.75" hidden="false" customHeight="true" outlineLevel="0" collapsed="false">
      <c r="A1846" s="6" t="s">
        <v>1801</v>
      </c>
      <c r="B1846" s="7" t="s">
        <v>1802</v>
      </c>
      <c r="C1846" s="6" t="s">
        <v>16</v>
      </c>
      <c r="D1846" s="9" t="n">
        <v>2</v>
      </c>
      <c r="E1846" s="8" t="n">
        <v>214.99</v>
      </c>
      <c r="F1846" s="8" t="n">
        <v>429.98</v>
      </c>
      <c r="G1846" s="8" t="n">
        <v>214.99</v>
      </c>
      <c r="H1846" s="8" t="n">
        <v>429.98</v>
      </c>
    </row>
    <row r="1848" customFormat="false" ht="12.75" hidden="false" customHeight="true" outlineLevel="0" collapsed="false">
      <c r="A1848" s="6" t="s">
        <v>1803</v>
      </c>
      <c r="B1848" s="7" t="s">
        <v>1804</v>
      </c>
      <c r="C1848" s="6" t="s">
        <v>16</v>
      </c>
      <c r="D1848" s="9" t="n">
        <v>2</v>
      </c>
      <c r="E1848" s="8" t="n">
        <v>132.31</v>
      </c>
      <c r="F1848" s="8" t="n">
        <v>264.62</v>
      </c>
      <c r="G1848" s="8" t="n">
        <v>132.31</v>
      </c>
      <c r="H1848" s="8" t="n">
        <v>264.62</v>
      </c>
    </row>
    <row r="1850" customFormat="false" ht="12.75" hidden="false" customHeight="true" outlineLevel="0" collapsed="false">
      <c r="A1850" s="6" t="s">
        <v>1805</v>
      </c>
      <c r="B1850" s="7" t="s">
        <v>1806</v>
      </c>
      <c r="C1850" s="6" t="s">
        <v>16</v>
      </c>
      <c r="D1850" s="9" t="n">
        <v>12</v>
      </c>
      <c r="E1850" s="8" t="n">
        <v>45.68</v>
      </c>
      <c r="F1850" s="8" t="n">
        <v>548.16</v>
      </c>
      <c r="G1850" s="8" t="n">
        <v>45.68</v>
      </c>
      <c r="H1850" s="8" t="n">
        <v>548.16</v>
      </c>
    </row>
    <row r="1852" customFormat="false" ht="12.75" hidden="false" customHeight="true" outlineLevel="0" collapsed="false">
      <c r="A1852" s="6" t="s">
        <v>1807</v>
      </c>
      <c r="B1852" s="7" t="s">
        <v>1808</v>
      </c>
      <c r="C1852" s="6" t="s">
        <v>16</v>
      </c>
      <c r="D1852" s="9" t="n">
        <v>4</v>
      </c>
      <c r="E1852" s="8" t="n">
        <v>16.19</v>
      </c>
      <c r="F1852" s="8" t="n">
        <v>64.76</v>
      </c>
      <c r="G1852" s="8" t="n">
        <v>16.19</v>
      </c>
      <c r="H1852" s="8" t="n">
        <v>64.76</v>
      </c>
    </row>
    <row r="1854" customFormat="false" ht="12.75" hidden="false" customHeight="true" outlineLevel="0" collapsed="false">
      <c r="A1854" s="6" t="s">
        <v>1809</v>
      </c>
      <c r="B1854" s="7" t="s">
        <v>1810</v>
      </c>
      <c r="C1854" s="6" t="s">
        <v>16</v>
      </c>
      <c r="D1854" s="9" t="n">
        <v>1</v>
      </c>
      <c r="E1854" s="8" t="n">
        <v>103.42</v>
      </c>
      <c r="F1854" s="8" t="n">
        <v>103.42</v>
      </c>
      <c r="G1854" s="8" t="n">
        <v>103.42</v>
      </c>
      <c r="H1854" s="8" t="n">
        <v>103.42</v>
      </c>
    </row>
    <row r="1856" customFormat="false" ht="12.75" hidden="false" customHeight="true" outlineLevel="0" collapsed="false">
      <c r="A1856" s="6" t="s">
        <v>1811</v>
      </c>
      <c r="B1856" s="7" t="s">
        <v>1465</v>
      </c>
    </row>
    <row r="1858" customFormat="false" ht="12.75" hidden="false" customHeight="true" outlineLevel="0" collapsed="false">
      <c r="A1858" s="6" t="s">
        <v>1812</v>
      </c>
      <c r="B1858" s="7" t="s">
        <v>1813</v>
      </c>
      <c r="C1858" s="6" t="s">
        <v>922</v>
      </c>
      <c r="D1858" s="9" t="n">
        <v>530</v>
      </c>
      <c r="E1858" s="8" t="n">
        <v>1.8</v>
      </c>
      <c r="F1858" s="8" t="n">
        <v>954</v>
      </c>
      <c r="G1858" s="8" t="n">
        <v>1.8</v>
      </c>
      <c r="H1858" s="8" t="n">
        <v>954</v>
      </c>
    </row>
    <row r="1860" customFormat="false" ht="12.75" hidden="false" customHeight="true" outlineLevel="0" collapsed="false">
      <c r="A1860" s="6" t="s">
        <v>1814</v>
      </c>
      <c r="B1860" s="7" t="s">
        <v>1815</v>
      </c>
      <c r="C1860" s="6" t="s">
        <v>922</v>
      </c>
      <c r="D1860" s="9" t="n">
        <v>60</v>
      </c>
      <c r="E1860" s="8" t="n">
        <v>2.32</v>
      </c>
      <c r="F1860" s="8" t="n">
        <v>139.2</v>
      </c>
      <c r="G1860" s="8" t="n">
        <v>2.32</v>
      </c>
      <c r="H1860" s="8" t="n">
        <v>139.2</v>
      </c>
    </row>
    <row r="1862" customFormat="false" ht="25.5" hidden="false" customHeight="true" outlineLevel="0" collapsed="false">
      <c r="A1862" s="6" t="s">
        <v>1816</v>
      </c>
      <c r="B1862" s="7" t="s">
        <v>1623</v>
      </c>
      <c r="F1862" s="8" t="n">
        <v>500</v>
      </c>
      <c r="H1862" s="8" t="n">
        <v>500</v>
      </c>
    </row>
    <row r="1864" customFormat="false" ht="12.75" hidden="false" customHeight="true" outlineLevel="0" collapsed="false">
      <c r="A1864" s="6" t="s">
        <v>1817</v>
      </c>
      <c r="B1864" s="7" t="s">
        <v>1625</v>
      </c>
      <c r="C1864" s="6" t="s">
        <v>16</v>
      </c>
      <c r="D1864" s="9" t="n">
        <v>1</v>
      </c>
      <c r="E1864" s="8" t="n">
        <v>250</v>
      </c>
      <c r="F1864" s="8" t="n">
        <v>250</v>
      </c>
      <c r="G1864" s="8" t="n">
        <v>250</v>
      </c>
      <c r="H1864" s="8" t="n">
        <v>250</v>
      </c>
    </row>
    <row r="1866" customFormat="false" ht="12.75" hidden="false" customHeight="true" outlineLevel="0" collapsed="false">
      <c r="A1866" s="6" t="s">
        <v>1818</v>
      </c>
      <c r="B1866" s="7" t="s">
        <v>1627</v>
      </c>
      <c r="C1866" s="6" t="s">
        <v>16</v>
      </c>
      <c r="D1866" s="9" t="n">
        <v>1</v>
      </c>
      <c r="E1866" s="8" t="n">
        <v>250</v>
      </c>
      <c r="F1866" s="8" t="n">
        <v>250</v>
      </c>
      <c r="G1866" s="8" t="n">
        <v>250</v>
      </c>
      <c r="H1866" s="8" t="n">
        <v>250</v>
      </c>
    </row>
    <row r="1868" customFormat="false" ht="12.75" hidden="false" customHeight="true" outlineLevel="0" collapsed="false">
      <c r="A1868" s="6" t="s">
        <v>1819</v>
      </c>
      <c r="B1868" s="7" t="s">
        <v>1820</v>
      </c>
      <c r="F1868" s="8" t="n">
        <v>2157.91</v>
      </c>
      <c r="H1868" s="8" t="n">
        <v>2157.91</v>
      </c>
    </row>
    <row r="1870" customFormat="false" ht="63.75" hidden="false" customHeight="true" outlineLevel="0" collapsed="false">
      <c r="A1870" s="6" t="s">
        <v>1821</v>
      </c>
      <c r="B1870" s="7" t="s">
        <v>1822</v>
      </c>
      <c r="C1870" s="6" t="s">
        <v>16</v>
      </c>
      <c r="D1870" s="9" t="n">
        <v>1</v>
      </c>
      <c r="E1870" s="8" t="n">
        <v>1632.31</v>
      </c>
      <c r="F1870" s="8" t="n">
        <v>1632.31</v>
      </c>
      <c r="G1870" s="8" t="n">
        <v>1632.31</v>
      </c>
      <c r="H1870" s="8" t="n">
        <v>1632.31</v>
      </c>
      <c r="I1870" s="14" t="s">
        <v>45</v>
      </c>
      <c r="J1870" s="15" t="s">
        <v>31</v>
      </c>
      <c r="K1870" s="14" t="s">
        <v>1823</v>
      </c>
    </row>
    <row r="1872" customFormat="false" ht="12.75" hidden="false" customHeight="true" outlineLevel="0" collapsed="false">
      <c r="A1872" s="6" t="s">
        <v>1824</v>
      </c>
      <c r="B1872" s="7" t="s">
        <v>1825</v>
      </c>
    </row>
    <row r="1874" customFormat="false" ht="12.75" hidden="false" customHeight="true" outlineLevel="0" collapsed="false">
      <c r="A1874" s="6" t="s">
        <v>1826</v>
      </c>
      <c r="B1874" s="7" t="s">
        <v>1631</v>
      </c>
      <c r="C1874" s="6" t="s">
        <v>16</v>
      </c>
      <c r="D1874" s="9" t="n">
        <v>1</v>
      </c>
      <c r="E1874" s="8" t="n">
        <v>100</v>
      </c>
      <c r="F1874" s="8" t="n">
        <v>100</v>
      </c>
      <c r="G1874" s="8" t="n">
        <v>100</v>
      </c>
      <c r="H1874" s="8" t="n">
        <v>100</v>
      </c>
    </row>
    <row r="1876" customFormat="false" ht="12.75" hidden="false" customHeight="true" outlineLevel="0" collapsed="false">
      <c r="A1876" s="6" t="s">
        <v>1827</v>
      </c>
      <c r="B1876" s="7" t="s">
        <v>1634</v>
      </c>
      <c r="C1876" s="6" t="s">
        <v>16</v>
      </c>
      <c r="D1876" s="9" t="n">
        <v>1</v>
      </c>
      <c r="E1876" s="8" t="n">
        <v>100</v>
      </c>
      <c r="F1876" s="8" t="n">
        <v>100</v>
      </c>
      <c r="G1876" s="8" t="n">
        <v>100</v>
      </c>
      <c r="H1876" s="8" t="n">
        <v>100</v>
      </c>
    </row>
    <row r="1878" customFormat="false" ht="25.5" hidden="false" customHeight="true" outlineLevel="0" collapsed="false">
      <c r="A1878" s="6" t="s">
        <v>1828</v>
      </c>
      <c r="B1878" s="7" t="s">
        <v>1636</v>
      </c>
    </row>
    <row r="1880" customFormat="false" ht="25.5" hidden="false" customHeight="true" outlineLevel="0" collapsed="false">
      <c r="A1880" s="6" t="s">
        <v>1829</v>
      </c>
      <c r="B1880" s="7" t="s">
        <v>1638</v>
      </c>
      <c r="C1880" s="6" t="s">
        <v>16</v>
      </c>
      <c r="D1880" s="9" t="n">
        <v>1</v>
      </c>
      <c r="E1880" s="8" t="n">
        <v>100</v>
      </c>
      <c r="F1880" s="8" t="n">
        <v>100</v>
      </c>
      <c r="G1880" s="8" t="n">
        <v>100</v>
      </c>
      <c r="H1880" s="8" t="n">
        <v>100</v>
      </c>
    </row>
    <row r="1882" customFormat="false" ht="25.5" hidden="false" customHeight="true" outlineLevel="0" collapsed="false">
      <c r="A1882" s="6" t="s">
        <v>1830</v>
      </c>
      <c r="B1882" s="7" t="s">
        <v>1641</v>
      </c>
      <c r="C1882" s="6" t="s">
        <v>16</v>
      </c>
      <c r="D1882" s="9" t="n">
        <v>1</v>
      </c>
      <c r="E1882" s="8" t="n">
        <v>225.6</v>
      </c>
      <c r="F1882" s="8" t="n">
        <v>225.6</v>
      </c>
      <c r="G1882" s="8" t="n">
        <v>225.6</v>
      </c>
      <c r="H1882" s="8" t="n">
        <v>225.6</v>
      </c>
    </row>
    <row r="1884" customFormat="false" ht="12.75" hidden="false" customHeight="true" outlineLevel="0" collapsed="false">
      <c r="A1884" s="6" t="s">
        <v>1831</v>
      </c>
      <c r="B1884" s="7" t="s">
        <v>1832</v>
      </c>
      <c r="F1884" s="8" t="n">
        <v>271944.75</v>
      </c>
      <c r="H1884" s="8" t="n">
        <v>271944.75</v>
      </c>
    </row>
    <row r="1886" customFormat="false" ht="12.75" hidden="false" customHeight="true" outlineLevel="0" collapsed="false">
      <c r="A1886" s="6" t="s">
        <v>1833</v>
      </c>
      <c r="B1886" s="7" t="s">
        <v>1834</v>
      </c>
      <c r="F1886" s="8" t="n">
        <v>17696.96</v>
      </c>
      <c r="H1886" s="8" t="n">
        <v>17696.96</v>
      </c>
    </row>
    <row r="1888" customFormat="false" ht="38.25" hidden="false" customHeight="true" outlineLevel="0" collapsed="false">
      <c r="A1888" s="6" t="s">
        <v>1835</v>
      </c>
      <c r="B1888" s="7" t="s">
        <v>1836</v>
      </c>
      <c r="C1888" s="6" t="s">
        <v>16</v>
      </c>
      <c r="D1888" s="9" t="n">
        <v>3</v>
      </c>
      <c r="E1888" s="8" t="n">
        <v>1138.48</v>
      </c>
      <c r="F1888" s="8" t="n">
        <v>3415.44</v>
      </c>
      <c r="G1888" s="8" t="n">
        <v>1138.48</v>
      </c>
      <c r="H1888" s="8" t="n">
        <v>3415.44</v>
      </c>
    </row>
    <row r="1890" customFormat="false" ht="51" hidden="false" customHeight="true" outlineLevel="0" collapsed="false">
      <c r="A1890" s="6" t="s">
        <v>1837</v>
      </c>
      <c r="B1890" s="7" t="s">
        <v>1838</v>
      </c>
      <c r="C1890" s="6" t="s">
        <v>16</v>
      </c>
      <c r="D1890" s="9" t="n">
        <v>1</v>
      </c>
      <c r="E1890" s="8" t="n">
        <v>2236.97</v>
      </c>
      <c r="F1890" s="8" t="n">
        <v>2236.97</v>
      </c>
      <c r="G1890" s="8" t="n">
        <v>2236.97</v>
      </c>
      <c r="H1890" s="8" t="n">
        <v>2236.97</v>
      </c>
    </row>
    <row r="1892" customFormat="false" ht="38.25" hidden="false" customHeight="true" outlineLevel="0" collapsed="false">
      <c r="A1892" s="6" t="s">
        <v>1839</v>
      </c>
      <c r="B1892" s="7" t="s">
        <v>1840</v>
      </c>
      <c r="C1892" s="6" t="s">
        <v>16</v>
      </c>
      <c r="D1892" s="9" t="n">
        <v>1</v>
      </c>
      <c r="E1892" s="8" t="n">
        <v>6287.35</v>
      </c>
      <c r="F1892" s="8" t="n">
        <v>6287.35</v>
      </c>
      <c r="G1892" s="8" t="n">
        <v>6287.35</v>
      </c>
      <c r="H1892" s="8" t="n">
        <v>6287.35</v>
      </c>
      <c r="I1892" s="14" t="s">
        <v>192</v>
      </c>
      <c r="J1892" s="15" t="s">
        <v>31</v>
      </c>
      <c r="K1892" s="14" t="s">
        <v>1841</v>
      </c>
    </row>
    <row r="1894" customFormat="false" ht="38.25" hidden="false" customHeight="true" outlineLevel="0" collapsed="false">
      <c r="A1894" s="6" t="s">
        <v>1842</v>
      </c>
      <c r="B1894" s="7" t="s">
        <v>1843</v>
      </c>
      <c r="C1894" s="6" t="s">
        <v>16</v>
      </c>
      <c r="D1894" s="9" t="n">
        <v>1</v>
      </c>
      <c r="E1894" s="8" t="n">
        <v>5757.2</v>
      </c>
      <c r="F1894" s="8" t="n">
        <v>5757.2</v>
      </c>
      <c r="G1894" s="8" t="n">
        <v>5757.2</v>
      </c>
      <c r="H1894" s="8" t="n">
        <v>5757.2</v>
      </c>
      <c r="I1894" s="14" t="s">
        <v>192</v>
      </c>
      <c r="J1894" s="15" t="s">
        <v>31</v>
      </c>
      <c r="K1894" s="14" t="s">
        <v>1844</v>
      </c>
    </row>
    <row r="1896" customFormat="false" ht="25.5" hidden="false" customHeight="true" outlineLevel="0" collapsed="false">
      <c r="A1896" s="6" t="s">
        <v>1845</v>
      </c>
      <c r="B1896" s="7" t="s">
        <v>1846</v>
      </c>
      <c r="F1896" s="8" t="n">
        <v>29076.88</v>
      </c>
      <c r="H1896" s="8" t="n">
        <v>29076.88</v>
      </c>
    </row>
    <row r="1898" customFormat="false" ht="63.75" hidden="false" customHeight="true" outlineLevel="0" collapsed="false">
      <c r="A1898" s="6" t="s">
        <v>1847</v>
      </c>
      <c r="B1898" s="7" t="s">
        <v>1848</v>
      </c>
      <c r="C1898" s="6" t="s">
        <v>16</v>
      </c>
      <c r="D1898" s="9" t="n">
        <v>2</v>
      </c>
      <c r="E1898" s="8" t="n">
        <v>14538.44</v>
      </c>
      <c r="F1898" s="8" t="n">
        <v>29076.88</v>
      </c>
      <c r="G1898" s="8" t="n">
        <v>14538.44</v>
      </c>
      <c r="H1898" s="8" t="n">
        <v>29076.88</v>
      </c>
      <c r="I1898" s="14" t="s">
        <v>45</v>
      </c>
      <c r="J1898" s="15" t="s">
        <v>31</v>
      </c>
      <c r="K1898" s="14" t="s">
        <v>1849</v>
      </c>
    </row>
    <row r="1900" customFormat="false" ht="12.75" hidden="false" customHeight="true" outlineLevel="0" collapsed="false">
      <c r="A1900" s="6" t="s">
        <v>1850</v>
      </c>
      <c r="B1900" s="7" t="s">
        <v>1851</v>
      </c>
      <c r="F1900" s="8" t="n">
        <v>23061.53</v>
      </c>
      <c r="H1900" s="8" t="n">
        <v>23061.53</v>
      </c>
    </row>
    <row r="1902" customFormat="false" ht="51" hidden="false" customHeight="true" outlineLevel="0" collapsed="false">
      <c r="A1902" s="6" t="s">
        <v>1852</v>
      </c>
      <c r="B1902" s="7" t="s">
        <v>1853</v>
      </c>
      <c r="C1902" s="6" t="s">
        <v>16</v>
      </c>
      <c r="D1902" s="9" t="n">
        <v>3</v>
      </c>
      <c r="E1902" s="8" t="n">
        <v>6270.61</v>
      </c>
      <c r="F1902" s="8" t="n">
        <v>18811.83</v>
      </c>
      <c r="G1902" s="8" t="n">
        <v>6270.61</v>
      </c>
      <c r="H1902" s="8" t="n">
        <v>18811.83</v>
      </c>
    </row>
    <row r="1904" customFormat="false" ht="25.5" hidden="false" customHeight="true" outlineLevel="0" collapsed="false">
      <c r="A1904" s="6" t="s">
        <v>1854</v>
      </c>
      <c r="B1904" s="7" t="s">
        <v>1855</v>
      </c>
      <c r="C1904" s="6" t="s">
        <v>16</v>
      </c>
      <c r="D1904" s="9" t="n">
        <v>1</v>
      </c>
      <c r="E1904" s="8" t="n">
        <v>2943.85</v>
      </c>
      <c r="F1904" s="8" t="n">
        <v>2943.85</v>
      </c>
      <c r="G1904" s="8" t="n">
        <v>2943.85</v>
      </c>
      <c r="H1904" s="8" t="n">
        <v>2943.85</v>
      </c>
    </row>
    <row r="1906" customFormat="false" ht="127.5" hidden="false" customHeight="true" outlineLevel="0" collapsed="false">
      <c r="A1906" s="6" t="s">
        <v>1856</v>
      </c>
      <c r="B1906" s="7" t="s">
        <v>1857</v>
      </c>
      <c r="C1906" s="6" t="s">
        <v>16</v>
      </c>
      <c r="D1906" s="9" t="n">
        <v>1</v>
      </c>
      <c r="E1906" s="8" t="n">
        <v>1305.85</v>
      </c>
      <c r="F1906" s="8" t="n">
        <v>1305.85</v>
      </c>
      <c r="G1906" s="8" t="n">
        <v>1305.85</v>
      </c>
      <c r="H1906" s="8" t="n">
        <v>1305.85</v>
      </c>
      <c r="I1906" s="10" t="s">
        <v>45</v>
      </c>
      <c r="J1906" s="11" t="s">
        <v>18</v>
      </c>
      <c r="K1906" s="10" t="s">
        <v>1858</v>
      </c>
    </row>
    <row r="1908" customFormat="false" ht="12.75" hidden="false" customHeight="true" outlineLevel="0" collapsed="false">
      <c r="A1908" s="6" t="s">
        <v>1859</v>
      </c>
      <c r="B1908" s="7" t="s">
        <v>1860</v>
      </c>
      <c r="F1908" s="8" t="n">
        <v>17144.42</v>
      </c>
      <c r="H1908" s="8" t="n">
        <v>17144.42</v>
      </c>
    </row>
    <row r="1910" customFormat="false" ht="12.75" hidden="false" customHeight="true" outlineLevel="0" collapsed="false">
      <c r="A1910" s="6" t="s">
        <v>1861</v>
      </c>
      <c r="B1910" s="7" t="s">
        <v>1862</v>
      </c>
    </row>
    <row r="1912" customFormat="false" ht="38.25" hidden="false" customHeight="true" outlineLevel="0" collapsed="false">
      <c r="A1912" s="6" t="s">
        <v>1863</v>
      </c>
      <c r="B1912" s="7" t="s">
        <v>1864</v>
      </c>
      <c r="C1912" s="6" t="s">
        <v>16</v>
      </c>
      <c r="D1912" s="9" t="n">
        <v>2</v>
      </c>
      <c r="E1912" s="8" t="n">
        <v>5368.2</v>
      </c>
      <c r="F1912" s="8" t="n">
        <v>10736.4</v>
      </c>
      <c r="G1912" s="8" t="n">
        <v>5368.2</v>
      </c>
      <c r="H1912" s="8" t="n">
        <v>10736.4</v>
      </c>
    </row>
    <row r="1914" customFormat="false" ht="12.75" hidden="false" customHeight="true" outlineLevel="0" collapsed="false">
      <c r="A1914" s="6" t="s">
        <v>1865</v>
      </c>
      <c r="B1914" s="7" t="s">
        <v>1866</v>
      </c>
    </row>
    <row r="1916" customFormat="false" ht="38.25" hidden="false" customHeight="true" outlineLevel="0" collapsed="false">
      <c r="A1916" s="6" t="s">
        <v>1867</v>
      </c>
      <c r="B1916" s="7" t="s">
        <v>1868</v>
      </c>
      <c r="C1916" s="6" t="s">
        <v>16</v>
      </c>
      <c r="D1916" s="9" t="n">
        <v>1</v>
      </c>
      <c r="E1916" s="8" t="n">
        <v>6408.02</v>
      </c>
      <c r="F1916" s="8" t="n">
        <v>6408.02</v>
      </c>
      <c r="G1916" s="8" t="n">
        <v>6408.02</v>
      </c>
      <c r="H1916" s="8" t="n">
        <v>6408.02</v>
      </c>
    </row>
    <row r="1918" customFormat="false" ht="12.75" hidden="false" customHeight="true" outlineLevel="0" collapsed="false">
      <c r="A1918" s="6" t="s">
        <v>1869</v>
      </c>
      <c r="B1918" s="7" t="s">
        <v>1870</v>
      </c>
      <c r="F1918" s="8" t="n">
        <v>1922.86</v>
      </c>
      <c r="H1918" s="8" t="n">
        <v>1922.86</v>
      </c>
    </row>
    <row r="1920" customFormat="false" ht="51" hidden="false" customHeight="true" outlineLevel="0" collapsed="false">
      <c r="A1920" s="6" t="s">
        <v>1871</v>
      </c>
      <c r="B1920" s="7" t="s">
        <v>1872</v>
      </c>
      <c r="C1920" s="6" t="s">
        <v>16</v>
      </c>
      <c r="D1920" s="9" t="n">
        <v>1</v>
      </c>
      <c r="E1920" s="8" t="n">
        <v>795.5</v>
      </c>
      <c r="F1920" s="8" t="n">
        <v>795.5</v>
      </c>
      <c r="G1920" s="8" t="n">
        <v>795.5</v>
      </c>
      <c r="H1920" s="8" t="n">
        <v>795.5</v>
      </c>
    </row>
    <row r="1922" customFormat="false" ht="76.5" hidden="false" customHeight="true" outlineLevel="0" collapsed="false">
      <c r="A1922" s="6" t="s">
        <v>1873</v>
      </c>
      <c r="B1922" s="7" t="s">
        <v>1874</v>
      </c>
      <c r="C1922" s="6" t="s">
        <v>16</v>
      </c>
      <c r="D1922" s="9" t="n">
        <v>1</v>
      </c>
      <c r="E1922" s="8" t="n">
        <v>759.93</v>
      </c>
      <c r="F1922" s="8" t="n">
        <v>759.93</v>
      </c>
      <c r="G1922" s="8" t="n">
        <v>759.93</v>
      </c>
      <c r="H1922" s="8" t="n">
        <v>759.93</v>
      </c>
    </row>
    <row r="1925" customFormat="false" ht="38.25" hidden="false" customHeight="true" outlineLevel="0" collapsed="false">
      <c r="A1925" s="6" t="s">
        <v>1875</v>
      </c>
      <c r="B1925" s="7" t="s">
        <v>1876</v>
      </c>
      <c r="C1925" s="6" t="s">
        <v>16</v>
      </c>
      <c r="D1925" s="9" t="n">
        <v>1</v>
      </c>
      <c r="E1925" s="8" t="n">
        <v>152.43</v>
      </c>
      <c r="F1925" s="8" t="n">
        <v>152.43</v>
      </c>
      <c r="G1925" s="8" t="n">
        <v>152.43</v>
      </c>
      <c r="H1925" s="8" t="n">
        <v>152.43</v>
      </c>
    </row>
    <row r="1927" customFormat="false" ht="25.5" hidden="false" customHeight="true" outlineLevel="0" collapsed="false">
      <c r="A1927" s="6" t="s">
        <v>1877</v>
      </c>
      <c r="B1927" s="7" t="s">
        <v>1878</v>
      </c>
      <c r="C1927" s="6" t="s">
        <v>16</v>
      </c>
      <c r="D1927" s="9" t="n">
        <v>1</v>
      </c>
      <c r="E1927" s="8" t="n">
        <v>215</v>
      </c>
      <c r="F1927" s="8" t="n">
        <v>215</v>
      </c>
      <c r="G1927" s="8" t="n">
        <v>215</v>
      </c>
      <c r="H1927" s="8" t="n">
        <v>215</v>
      </c>
    </row>
    <row r="1929" customFormat="false" ht="12.75" hidden="false" customHeight="true" outlineLevel="0" collapsed="false">
      <c r="A1929" s="6" t="s">
        <v>1879</v>
      </c>
      <c r="B1929" s="7" t="s">
        <v>1880</v>
      </c>
      <c r="F1929" s="8" t="n">
        <v>23389.79</v>
      </c>
      <c r="H1929" s="8" t="n">
        <v>23389.79</v>
      </c>
    </row>
    <row r="1931" customFormat="false" ht="63.75" hidden="false" customHeight="true" outlineLevel="0" collapsed="false">
      <c r="A1931" s="6" t="s">
        <v>1881</v>
      </c>
      <c r="B1931" s="7" t="s">
        <v>1882</v>
      </c>
      <c r="C1931" s="6" t="s">
        <v>16</v>
      </c>
      <c r="D1931" s="9" t="n">
        <v>1</v>
      </c>
      <c r="E1931" s="8" t="n">
        <v>23389.79</v>
      </c>
      <c r="F1931" s="8" t="n">
        <v>23389.79</v>
      </c>
      <c r="G1931" s="8" t="n">
        <v>23389.79</v>
      </c>
      <c r="H1931" s="8" t="n">
        <v>23389.79</v>
      </c>
    </row>
    <row r="1933" customFormat="false" ht="12.75" hidden="false" customHeight="true" outlineLevel="0" collapsed="false">
      <c r="A1933" s="6" t="s">
        <v>1883</v>
      </c>
      <c r="B1933" s="7" t="s">
        <v>1884</v>
      </c>
      <c r="F1933" s="8" t="n">
        <v>3732.11</v>
      </c>
      <c r="H1933" s="8" t="n">
        <v>3732.11</v>
      </c>
    </row>
    <row r="1935" customFormat="false" ht="38.25" hidden="false" customHeight="true" outlineLevel="0" collapsed="false">
      <c r="A1935" s="6" t="s">
        <v>1885</v>
      </c>
      <c r="B1935" s="7" t="s">
        <v>1886</v>
      </c>
      <c r="C1935" s="6" t="s">
        <v>16</v>
      </c>
      <c r="D1935" s="9" t="n">
        <v>1</v>
      </c>
      <c r="E1935" s="8" t="n">
        <v>3732.11</v>
      </c>
      <c r="F1935" s="8" t="n">
        <v>3732.11</v>
      </c>
      <c r="G1935" s="8" t="n">
        <v>3732.11</v>
      </c>
      <c r="H1935" s="8" t="n">
        <v>3732.11</v>
      </c>
    </row>
    <row r="1937" customFormat="false" ht="12.75" hidden="false" customHeight="true" outlineLevel="0" collapsed="false">
      <c r="A1937" s="6" t="s">
        <v>1887</v>
      </c>
      <c r="B1937" s="7" t="s">
        <v>1888</v>
      </c>
      <c r="F1937" s="8" t="n">
        <v>11911.41</v>
      </c>
      <c r="H1937" s="8" t="n">
        <v>11911.41</v>
      </c>
    </row>
    <row r="1939" customFormat="false" ht="38.25" hidden="false" customHeight="true" outlineLevel="0" collapsed="false">
      <c r="A1939" s="6" t="s">
        <v>1889</v>
      </c>
      <c r="B1939" s="7" t="s">
        <v>1890</v>
      </c>
      <c r="C1939" s="6" t="s">
        <v>16</v>
      </c>
      <c r="D1939" s="9" t="n">
        <v>1</v>
      </c>
      <c r="E1939" s="8" t="n">
        <v>6841.61</v>
      </c>
      <c r="F1939" s="8" t="n">
        <v>6841.61</v>
      </c>
      <c r="G1939" s="8" t="n">
        <v>6841.61</v>
      </c>
      <c r="H1939" s="8" t="n">
        <v>6841.61</v>
      </c>
    </row>
    <row r="1941" customFormat="false" ht="38.25" hidden="false" customHeight="true" outlineLevel="0" collapsed="false">
      <c r="A1941" s="6" t="s">
        <v>1891</v>
      </c>
      <c r="B1941" s="7" t="s">
        <v>1892</v>
      </c>
      <c r="C1941" s="6" t="s">
        <v>16</v>
      </c>
      <c r="D1941" s="9" t="n">
        <v>1</v>
      </c>
      <c r="E1941" s="8" t="n">
        <v>5069.8</v>
      </c>
      <c r="F1941" s="8" t="n">
        <v>5069.8</v>
      </c>
      <c r="G1941" s="8" t="n">
        <v>5069.8</v>
      </c>
      <c r="H1941" s="8" t="n">
        <v>5069.8</v>
      </c>
    </row>
    <row r="1943" customFormat="false" ht="12.75" hidden="false" customHeight="true" outlineLevel="0" collapsed="false">
      <c r="A1943" s="6" t="s">
        <v>1893</v>
      </c>
      <c r="B1943" s="7" t="s">
        <v>1894</v>
      </c>
      <c r="F1943" s="8" t="n">
        <v>6624.21</v>
      </c>
      <c r="H1943" s="8" t="n">
        <v>6624.21</v>
      </c>
    </row>
    <row r="1945" customFormat="false" ht="51" hidden="false" customHeight="true" outlineLevel="0" collapsed="false">
      <c r="A1945" s="6" t="s">
        <v>1895</v>
      </c>
      <c r="B1945" s="7" t="s">
        <v>1896</v>
      </c>
      <c r="C1945" s="6" t="s">
        <v>16</v>
      </c>
      <c r="D1945" s="9" t="n">
        <v>1</v>
      </c>
      <c r="E1945" s="8" t="n">
        <v>572.06</v>
      </c>
      <c r="F1945" s="8" t="n">
        <v>572.06</v>
      </c>
      <c r="G1945" s="8" t="n">
        <v>572.06</v>
      </c>
      <c r="H1945" s="8" t="n">
        <v>572.06</v>
      </c>
    </row>
    <row r="1947" customFormat="false" ht="51" hidden="false" customHeight="true" outlineLevel="0" collapsed="false">
      <c r="A1947" s="6" t="s">
        <v>1897</v>
      </c>
      <c r="B1947" s="7" t="s">
        <v>1898</v>
      </c>
      <c r="C1947" s="6" t="s">
        <v>16</v>
      </c>
      <c r="D1947" s="9" t="n">
        <v>1</v>
      </c>
      <c r="E1947" s="8" t="n">
        <v>626.25</v>
      </c>
      <c r="F1947" s="8" t="n">
        <v>626.25</v>
      </c>
      <c r="G1947" s="8" t="n">
        <v>626.25</v>
      </c>
      <c r="H1947" s="8" t="n">
        <v>626.25</v>
      </c>
    </row>
    <row r="1949" customFormat="false" ht="63.75" hidden="false" customHeight="true" outlineLevel="0" collapsed="false">
      <c r="A1949" s="6" t="s">
        <v>1899</v>
      </c>
      <c r="B1949" s="7" t="s">
        <v>1900</v>
      </c>
      <c r="C1949" s="6" t="s">
        <v>16</v>
      </c>
      <c r="D1949" s="9" t="n">
        <v>1</v>
      </c>
      <c r="E1949" s="8" t="n">
        <v>895.78</v>
      </c>
      <c r="F1949" s="8" t="n">
        <v>895.78</v>
      </c>
      <c r="G1949" s="8" t="n">
        <v>895.78</v>
      </c>
      <c r="H1949" s="8" t="n">
        <v>895.78</v>
      </c>
    </row>
    <row r="1951" customFormat="false" ht="63.75" hidden="false" customHeight="true" outlineLevel="0" collapsed="false">
      <c r="A1951" s="6" t="s">
        <v>1901</v>
      </c>
      <c r="B1951" s="7" t="s">
        <v>1902</v>
      </c>
      <c r="C1951" s="6" t="s">
        <v>16</v>
      </c>
      <c r="D1951" s="9" t="n">
        <v>1</v>
      </c>
      <c r="E1951" s="8" t="n">
        <v>895.78</v>
      </c>
      <c r="F1951" s="8" t="n">
        <v>895.78</v>
      </c>
      <c r="G1951" s="8" t="n">
        <v>895.78</v>
      </c>
      <c r="H1951" s="8" t="n">
        <v>895.78</v>
      </c>
    </row>
    <row r="1953" customFormat="false" ht="63.75" hidden="false" customHeight="true" outlineLevel="0" collapsed="false">
      <c r="A1953" s="6" t="s">
        <v>1903</v>
      </c>
      <c r="B1953" s="7" t="s">
        <v>1904</v>
      </c>
      <c r="C1953" s="6" t="s">
        <v>16</v>
      </c>
      <c r="D1953" s="9" t="n">
        <v>1</v>
      </c>
      <c r="E1953" s="8" t="n">
        <v>1817.17</v>
      </c>
      <c r="F1953" s="8" t="n">
        <v>1817.17</v>
      </c>
      <c r="G1953" s="8" t="n">
        <v>1817.17</v>
      </c>
      <c r="H1953" s="8" t="n">
        <v>1817.17</v>
      </c>
    </row>
    <row r="1955" customFormat="false" ht="63.75" hidden="false" customHeight="true" outlineLevel="0" collapsed="false">
      <c r="A1955" s="6" t="s">
        <v>1905</v>
      </c>
      <c r="B1955" s="7" t="s">
        <v>1906</v>
      </c>
      <c r="C1955" s="6" t="s">
        <v>16</v>
      </c>
      <c r="D1955" s="9" t="n">
        <v>1</v>
      </c>
      <c r="E1955" s="8" t="n">
        <v>1817.17</v>
      </c>
      <c r="F1955" s="8" t="n">
        <v>1817.17</v>
      </c>
      <c r="G1955" s="8" t="n">
        <v>1817.17</v>
      </c>
      <c r="H1955" s="8" t="n">
        <v>1817.17</v>
      </c>
    </row>
    <row r="1957" customFormat="false" ht="12.75" hidden="false" customHeight="true" outlineLevel="0" collapsed="false">
      <c r="A1957" s="6" t="s">
        <v>1907</v>
      </c>
      <c r="B1957" s="7" t="s">
        <v>1908</v>
      </c>
      <c r="F1957" s="8" t="n">
        <v>14631.51</v>
      </c>
      <c r="H1957" s="8" t="n">
        <v>14631.51</v>
      </c>
    </row>
    <row r="1959" customFormat="false" ht="12.75" hidden="false" customHeight="true" outlineLevel="0" collapsed="false">
      <c r="A1959" s="6" t="s">
        <v>1909</v>
      </c>
      <c r="B1959" s="7" t="s">
        <v>1910</v>
      </c>
    </row>
    <row r="1961" customFormat="false" ht="25.5" hidden="false" customHeight="true" outlineLevel="0" collapsed="false">
      <c r="A1961" s="6" t="s">
        <v>1911</v>
      </c>
      <c r="B1961" s="7" t="s">
        <v>1912</v>
      </c>
      <c r="C1961" s="6" t="s">
        <v>16</v>
      </c>
      <c r="D1961" s="9" t="n">
        <v>6</v>
      </c>
      <c r="E1961" s="8" t="n">
        <v>169.52</v>
      </c>
      <c r="F1961" s="8" t="n">
        <v>1017.12</v>
      </c>
      <c r="G1961" s="8" t="n">
        <v>169.52</v>
      </c>
      <c r="H1961" s="8" t="n">
        <v>1017.12</v>
      </c>
    </row>
    <row r="1963" customFormat="false" ht="25.5" hidden="false" customHeight="true" outlineLevel="0" collapsed="false">
      <c r="A1963" s="6" t="s">
        <v>1913</v>
      </c>
      <c r="B1963" s="7" t="s">
        <v>1914</v>
      </c>
      <c r="C1963" s="6" t="s">
        <v>16</v>
      </c>
      <c r="D1963" s="9" t="n">
        <v>4</v>
      </c>
      <c r="E1963" s="8" t="n">
        <v>181.6</v>
      </c>
      <c r="F1963" s="8" t="n">
        <v>726.4</v>
      </c>
      <c r="G1963" s="8" t="n">
        <v>181.6</v>
      </c>
      <c r="H1963" s="8" t="n">
        <v>726.4</v>
      </c>
    </row>
    <row r="1965" customFormat="false" ht="12.75" hidden="false" customHeight="true" outlineLevel="0" collapsed="false">
      <c r="A1965" s="6" t="s">
        <v>1915</v>
      </c>
      <c r="B1965" s="7" t="s">
        <v>1916</v>
      </c>
    </row>
    <row r="1967" customFormat="false" ht="12.75" hidden="false" customHeight="true" outlineLevel="0" collapsed="false">
      <c r="A1967" s="6" t="s">
        <v>1917</v>
      </c>
      <c r="B1967" s="7" t="s">
        <v>1918</v>
      </c>
      <c r="C1967" s="6" t="s">
        <v>16</v>
      </c>
      <c r="D1967" s="9" t="n">
        <v>10</v>
      </c>
      <c r="E1967" s="8" t="n">
        <v>134.87</v>
      </c>
      <c r="F1967" s="8" t="n">
        <v>1348.7</v>
      </c>
      <c r="G1967" s="8" t="n">
        <v>134.87</v>
      </c>
      <c r="H1967" s="8" t="n">
        <v>1348.7</v>
      </c>
    </row>
    <row r="1969" customFormat="false" ht="12.75" hidden="false" customHeight="true" outlineLevel="0" collapsed="false">
      <c r="A1969" s="6" t="s">
        <v>1919</v>
      </c>
      <c r="B1969" s="7" t="s">
        <v>1920</v>
      </c>
    </row>
    <row r="1971" customFormat="false" ht="12.75" hidden="false" customHeight="true" outlineLevel="0" collapsed="false">
      <c r="A1971" s="6" t="s">
        <v>1921</v>
      </c>
      <c r="B1971" s="7" t="s">
        <v>1922</v>
      </c>
      <c r="C1971" s="6" t="s">
        <v>16</v>
      </c>
      <c r="D1971" s="9" t="n">
        <v>6</v>
      </c>
      <c r="E1971" s="8" t="n">
        <v>90.94</v>
      </c>
      <c r="F1971" s="8" t="n">
        <v>545.64</v>
      </c>
      <c r="G1971" s="8" t="n">
        <v>90.94</v>
      </c>
      <c r="H1971" s="8" t="n">
        <v>545.64</v>
      </c>
    </row>
    <row r="1973" customFormat="false" ht="12.75" hidden="false" customHeight="true" outlineLevel="0" collapsed="false">
      <c r="A1973" s="6" t="s">
        <v>1923</v>
      </c>
      <c r="B1973" s="7" t="s">
        <v>1924</v>
      </c>
      <c r="C1973" s="6" t="s">
        <v>16</v>
      </c>
      <c r="D1973" s="9" t="n">
        <v>11</v>
      </c>
      <c r="E1973" s="8" t="n">
        <v>111.66</v>
      </c>
      <c r="F1973" s="8" t="n">
        <v>1228.26</v>
      </c>
      <c r="G1973" s="8" t="n">
        <v>111.66</v>
      </c>
      <c r="H1973" s="8" t="n">
        <v>1228.26</v>
      </c>
    </row>
    <row r="1975" customFormat="false" ht="12.75" hidden="false" customHeight="true" outlineLevel="0" collapsed="false">
      <c r="A1975" s="6" t="s">
        <v>1925</v>
      </c>
      <c r="B1975" s="7" t="s">
        <v>1926</v>
      </c>
      <c r="C1975" s="6" t="s">
        <v>16</v>
      </c>
      <c r="D1975" s="9" t="n">
        <v>1</v>
      </c>
      <c r="E1975" s="8" t="n">
        <v>141.98</v>
      </c>
      <c r="F1975" s="8" t="n">
        <v>141.98</v>
      </c>
      <c r="G1975" s="8" t="n">
        <v>141.98</v>
      </c>
      <c r="H1975" s="8" t="n">
        <v>141.98</v>
      </c>
    </row>
    <row r="1977" customFormat="false" ht="12.75" hidden="false" customHeight="true" outlineLevel="0" collapsed="false">
      <c r="A1977" s="6" t="s">
        <v>1927</v>
      </c>
      <c r="B1977" s="7" t="s">
        <v>1928</v>
      </c>
    </row>
    <row r="1979" customFormat="false" ht="12.75" hidden="false" customHeight="true" outlineLevel="0" collapsed="false">
      <c r="A1979" s="6" t="s">
        <v>1929</v>
      </c>
      <c r="B1979" s="7" t="s">
        <v>1930</v>
      </c>
      <c r="C1979" s="6" t="s">
        <v>16</v>
      </c>
      <c r="D1979" s="9" t="n">
        <v>2</v>
      </c>
      <c r="E1979" s="8" t="n">
        <v>152.2</v>
      </c>
      <c r="F1979" s="8" t="n">
        <v>304.4</v>
      </c>
      <c r="G1979" s="8" t="n">
        <v>152.2</v>
      </c>
      <c r="H1979" s="8" t="n">
        <v>304.4</v>
      </c>
    </row>
    <row r="1981" customFormat="false" ht="25.5" hidden="false" customHeight="true" outlineLevel="0" collapsed="false">
      <c r="A1981" s="6" t="s">
        <v>1931</v>
      </c>
      <c r="B1981" s="7" t="s">
        <v>1932</v>
      </c>
      <c r="C1981" s="6" t="s">
        <v>16</v>
      </c>
      <c r="D1981" s="9" t="n">
        <v>1</v>
      </c>
      <c r="E1981" s="8" t="n">
        <v>221.39</v>
      </c>
      <c r="F1981" s="8" t="n">
        <v>221.39</v>
      </c>
      <c r="G1981" s="8" t="n">
        <v>221.39</v>
      </c>
      <c r="H1981" s="8" t="n">
        <v>221.39</v>
      </c>
    </row>
    <row r="1983" customFormat="false" ht="12.75" hidden="false" customHeight="true" outlineLevel="0" collapsed="false">
      <c r="A1983" s="6" t="s">
        <v>1933</v>
      </c>
      <c r="B1983" s="7" t="s">
        <v>1928</v>
      </c>
      <c r="I1983" s="10" t="s">
        <v>192</v>
      </c>
      <c r="J1983" s="11" t="s">
        <v>18</v>
      </c>
      <c r="K1983" s="10" t="s">
        <v>1934</v>
      </c>
    </row>
    <row r="1985" customFormat="false" ht="12.75" hidden="false" customHeight="true" outlineLevel="0" collapsed="false">
      <c r="A1985" s="6" t="s">
        <v>1935</v>
      </c>
      <c r="B1985" s="7" t="s">
        <v>1936</v>
      </c>
      <c r="C1985" s="6" t="s">
        <v>16</v>
      </c>
      <c r="D1985" s="9" t="n">
        <v>14</v>
      </c>
      <c r="E1985" s="8" t="n">
        <v>90.94</v>
      </c>
      <c r="F1985" s="8" t="n">
        <v>1273.16</v>
      </c>
      <c r="G1985" s="8" t="n">
        <v>90.94</v>
      </c>
      <c r="H1985" s="8" t="n">
        <v>1273.16</v>
      </c>
    </row>
    <row r="1987" customFormat="false" ht="12.75" hidden="false" customHeight="true" outlineLevel="0" collapsed="false">
      <c r="A1987" s="6" t="s">
        <v>1937</v>
      </c>
      <c r="B1987" s="7" t="s">
        <v>1938</v>
      </c>
      <c r="C1987" s="6" t="s">
        <v>16</v>
      </c>
      <c r="D1987" s="9" t="n">
        <v>21</v>
      </c>
      <c r="E1987" s="8" t="n">
        <v>112.18</v>
      </c>
      <c r="F1987" s="8" t="n">
        <v>2355.78</v>
      </c>
      <c r="G1987" s="8" t="n">
        <v>112.18</v>
      </c>
      <c r="H1987" s="8" t="n">
        <v>2355.78</v>
      </c>
    </row>
    <row r="1989" customFormat="false" ht="12.75" hidden="false" customHeight="true" outlineLevel="0" collapsed="false">
      <c r="A1989" s="6" t="s">
        <v>1939</v>
      </c>
      <c r="B1989" s="7" t="s">
        <v>1940</v>
      </c>
      <c r="C1989" s="6" t="s">
        <v>16</v>
      </c>
      <c r="D1989" s="9" t="n">
        <v>4</v>
      </c>
      <c r="E1989" s="8" t="n">
        <v>121.75</v>
      </c>
      <c r="F1989" s="8" t="n">
        <v>487</v>
      </c>
      <c r="G1989" s="8" t="n">
        <v>121.75</v>
      </c>
      <c r="H1989" s="8" t="n">
        <v>487</v>
      </c>
    </row>
    <row r="1991" customFormat="false" ht="12.75" hidden="false" customHeight="true" outlineLevel="0" collapsed="false">
      <c r="A1991" s="6" t="s">
        <v>1941</v>
      </c>
      <c r="B1991" s="7" t="s">
        <v>1942</v>
      </c>
    </row>
    <row r="1993" customFormat="false" ht="12.75" hidden="false" customHeight="true" outlineLevel="0" collapsed="false">
      <c r="A1993" s="6" t="s">
        <v>1943</v>
      </c>
      <c r="B1993" s="7" t="s">
        <v>1944</v>
      </c>
      <c r="C1993" s="6" t="s">
        <v>16</v>
      </c>
      <c r="D1993" s="9" t="n">
        <v>13</v>
      </c>
      <c r="E1993" s="8" t="n">
        <v>62.98</v>
      </c>
      <c r="F1993" s="8" t="n">
        <v>818.74</v>
      </c>
      <c r="G1993" s="8" t="n">
        <v>62.98</v>
      </c>
      <c r="H1993" s="8" t="n">
        <v>818.74</v>
      </c>
    </row>
    <row r="1995" customFormat="false" ht="12.75" hidden="false" customHeight="true" outlineLevel="0" collapsed="false">
      <c r="A1995" s="6" t="s">
        <v>1945</v>
      </c>
      <c r="B1995" s="7" t="s">
        <v>1946</v>
      </c>
      <c r="C1995" s="6" t="s">
        <v>16</v>
      </c>
      <c r="D1995" s="9" t="n">
        <v>1</v>
      </c>
      <c r="E1995" s="8" t="n">
        <v>70.86</v>
      </c>
      <c r="F1995" s="8" t="n">
        <v>70.86</v>
      </c>
      <c r="G1995" s="8" t="n">
        <v>70.86</v>
      </c>
      <c r="H1995" s="8" t="n">
        <v>70.86</v>
      </c>
    </row>
    <row r="1997" customFormat="false" ht="12.75" hidden="false" customHeight="true" outlineLevel="0" collapsed="false">
      <c r="A1997" s="6" t="s">
        <v>1947</v>
      </c>
      <c r="B1997" s="7" t="s">
        <v>1948</v>
      </c>
      <c r="C1997" s="6" t="s">
        <v>16</v>
      </c>
      <c r="D1997" s="9" t="n">
        <v>18</v>
      </c>
      <c r="E1997" s="8" t="n">
        <v>86.28</v>
      </c>
      <c r="F1997" s="8" t="n">
        <v>1553.04</v>
      </c>
      <c r="G1997" s="8" t="n">
        <v>86.28</v>
      </c>
      <c r="H1997" s="8" t="n">
        <v>1553.04</v>
      </c>
    </row>
    <row r="1999" customFormat="false" ht="12.75" hidden="false" customHeight="true" outlineLevel="0" collapsed="false">
      <c r="A1999" s="6" t="s">
        <v>1949</v>
      </c>
      <c r="B1999" s="7" t="s">
        <v>1950</v>
      </c>
    </row>
    <row r="2001" customFormat="false" ht="12.75" hidden="false" customHeight="true" outlineLevel="0" collapsed="false">
      <c r="A2001" s="6" t="s">
        <v>1951</v>
      </c>
      <c r="B2001" s="7" t="s">
        <v>1952</v>
      </c>
      <c r="C2001" s="6" t="s">
        <v>16</v>
      </c>
      <c r="D2001" s="9" t="n">
        <v>31</v>
      </c>
      <c r="E2001" s="8" t="n">
        <v>27.37</v>
      </c>
      <c r="F2001" s="8" t="n">
        <v>848.47</v>
      </c>
      <c r="G2001" s="8" t="n">
        <v>27.37</v>
      </c>
      <c r="H2001" s="8" t="n">
        <v>848.47</v>
      </c>
    </row>
    <row r="2003" customFormat="false" ht="12.75" hidden="false" customHeight="true" outlineLevel="0" collapsed="false">
      <c r="A2003" s="6" t="s">
        <v>1953</v>
      </c>
      <c r="B2003" s="7" t="s">
        <v>1954</v>
      </c>
    </row>
    <row r="2005" customFormat="false" ht="12.75" hidden="false" customHeight="true" outlineLevel="0" collapsed="false">
      <c r="A2005" s="6" t="s">
        <v>1955</v>
      </c>
      <c r="B2005" s="7" t="s">
        <v>1956</v>
      </c>
      <c r="C2005" s="6" t="s">
        <v>16</v>
      </c>
      <c r="D2005" s="9" t="n">
        <v>1</v>
      </c>
      <c r="E2005" s="8" t="n">
        <v>165.79</v>
      </c>
      <c r="F2005" s="8" t="n">
        <v>165.79</v>
      </c>
      <c r="G2005" s="8" t="n">
        <v>165.79</v>
      </c>
      <c r="H2005" s="8" t="n">
        <v>165.79</v>
      </c>
    </row>
    <row r="2007" customFormat="false" ht="12.75" hidden="false" customHeight="true" outlineLevel="0" collapsed="false">
      <c r="A2007" s="6" t="s">
        <v>1957</v>
      </c>
      <c r="B2007" s="7" t="s">
        <v>1958</v>
      </c>
    </row>
    <row r="2009" customFormat="false" ht="12.75" hidden="false" customHeight="true" outlineLevel="0" collapsed="false">
      <c r="A2009" s="6" t="s">
        <v>1959</v>
      </c>
      <c r="B2009" s="7" t="s">
        <v>1960</v>
      </c>
      <c r="C2009" s="6" t="s">
        <v>16</v>
      </c>
      <c r="D2009" s="9" t="n">
        <v>1</v>
      </c>
      <c r="E2009" s="8" t="n">
        <v>304.81</v>
      </c>
      <c r="F2009" s="8" t="n">
        <v>304.81</v>
      </c>
      <c r="G2009" s="8" t="n">
        <v>304.81</v>
      </c>
      <c r="H2009" s="8" t="n">
        <v>304.81</v>
      </c>
    </row>
    <row r="2011" customFormat="false" ht="12.75" hidden="false" customHeight="true" outlineLevel="0" collapsed="false">
      <c r="A2011" s="6" t="s">
        <v>1961</v>
      </c>
      <c r="B2011" s="7" t="s">
        <v>1962</v>
      </c>
    </row>
    <row r="2013" customFormat="false" ht="38.25" hidden="false" customHeight="true" outlineLevel="0" collapsed="false">
      <c r="A2013" s="6" t="s">
        <v>1963</v>
      </c>
      <c r="B2013" s="7" t="s">
        <v>1964</v>
      </c>
      <c r="C2013" s="6" t="s">
        <v>16</v>
      </c>
      <c r="D2013" s="9" t="n">
        <v>1</v>
      </c>
      <c r="E2013" s="8" t="n">
        <v>145.05</v>
      </c>
      <c r="F2013" s="8" t="n">
        <v>145.05</v>
      </c>
      <c r="G2013" s="8" t="n">
        <v>145.05</v>
      </c>
      <c r="H2013" s="8" t="n">
        <v>145.05</v>
      </c>
    </row>
    <row r="2016" customFormat="false" ht="38.25" hidden="false" customHeight="true" outlineLevel="0" collapsed="false">
      <c r="A2016" s="6" t="s">
        <v>1965</v>
      </c>
      <c r="B2016" s="7" t="s">
        <v>1966</v>
      </c>
      <c r="C2016" s="6" t="s">
        <v>16</v>
      </c>
      <c r="D2016" s="9" t="n">
        <v>1</v>
      </c>
      <c r="E2016" s="8" t="n">
        <v>156.03</v>
      </c>
      <c r="F2016" s="8" t="n">
        <v>156.03</v>
      </c>
      <c r="G2016" s="8" t="n">
        <v>156.03</v>
      </c>
      <c r="H2016" s="8" t="n">
        <v>156.03</v>
      </c>
    </row>
    <row r="2018" customFormat="false" ht="38.25" hidden="false" customHeight="true" outlineLevel="0" collapsed="false">
      <c r="A2018" s="6" t="s">
        <v>1967</v>
      </c>
      <c r="B2018" s="7" t="s">
        <v>1968</v>
      </c>
      <c r="C2018" s="6" t="s">
        <v>16</v>
      </c>
      <c r="D2018" s="9" t="n">
        <v>1</v>
      </c>
      <c r="E2018" s="8" t="n">
        <v>163.78</v>
      </c>
      <c r="F2018" s="8" t="n">
        <v>163.78</v>
      </c>
      <c r="G2018" s="8" t="n">
        <v>163.78</v>
      </c>
      <c r="H2018" s="8" t="n">
        <v>163.78</v>
      </c>
    </row>
    <row r="2020" customFormat="false" ht="38.25" hidden="false" customHeight="true" outlineLevel="0" collapsed="false">
      <c r="A2020" s="6" t="s">
        <v>1969</v>
      </c>
      <c r="B2020" s="7" t="s">
        <v>1970</v>
      </c>
      <c r="C2020" s="6" t="s">
        <v>16</v>
      </c>
      <c r="D2020" s="9" t="n">
        <v>3</v>
      </c>
      <c r="E2020" s="8" t="n">
        <v>176.49</v>
      </c>
      <c r="F2020" s="8" t="n">
        <v>529.47</v>
      </c>
      <c r="G2020" s="8" t="n">
        <v>176.49</v>
      </c>
      <c r="H2020" s="8" t="n">
        <v>529.47</v>
      </c>
    </row>
    <row r="2022" customFormat="false" ht="38.25" hidden="false" customHeight="true" outlineLevel="0" collapsed="false">
      <c r="A2022" s="6" t="s">
        <v>1971</v>
      </c>
      <c r="B2022" s="7" t="s">
        <v>1972</v>
      </c>
      <c r="C2022" s="6" t="s">
        <v>16</v>
      </c>
      <c r="D2022" s="9" t="n">
        <v>1</v>
      </c>
      <c r="E2022" s="8" t="n">
        <v>225.64</v>
      </c>
      <c r="F2022" s="8" t="n">
        <v>225.64</v>
      </c>
      <c r="G2022" s="8" t="n">
        <v>225.64</v>
      </c>
      <c r="H2022" s="8" t="n">
        <v>225.64</v>
      </c>
    </row>
    <row r="2024" customFormat="false" ht="12.75" hidden="false" customHeight="true" outlineLevel="0" collapsed="false">
      <c r="A2024" s="6" t="s">
        <v>1973</v>
      </c>
      <c r="B2024" s="7" t="s">
        <v>1974</v>
      </c>
      <c r="F2024" s="8" t="n">
        <v>37927.23</v>
      </c>
      <c r="H2024" s="8" t="n">
        <v>37927.23</v>
      </c>
    </row>
    <row r="2026" customFormat="false" ht="12.75" hidden="false" customHeight="true" outlineLevel="0" collapsed="false">
      <c r="A2026" s="6" t="s">
        <v>1975</v>
      </c>
      <c r="B2026" s="7" t="s">
        <v>1976</v>
      </c>
    </row>
    <row r="2028" customFormat="false" ht="12.75" hidden="false" customHeight="true" outlineLevel="0" collapsed="false">
      <c r="A2028" s="6" t="s">
        <v>1977</v>
      </c>
      <c r="B2028" s="7" t="s">
        <v>1978</v>
      </c>
    </row>
    <row r="2030" customFormat="false" ht="38.25" hidden="false" customHeight="true" outlineLevel="0" collapsed="false">
      <c r="A2030" s="6" t="s">
        <v>1979</v>
      </c>
      <c r="B2030" s="7" t="s">
        <v>1980</v>
      </c>
      <c r="C2030" s="6" t="s">
        <v>16</v>
      </c>
      <c r="D2030" s="9" t="n">
        <v>6</v>
      </c>
      <c r="E2030" s="8" t="n">
        <v>2287.1</v>
      </c>
      <c r="F2030" s="8" t="n">
        <v>13722.6</v>
      </c>
      <c r="G2030" s="8" t="n">
        <v>2287.1</v>
      </c>
      <c r="H2030" s="8" t="n">
        <v>13722.6</v>
      </c>
    </row>
    <row r="2032" customFormat="false" ht="38.25" hidden="false" customHeight="true" outlineLevel="0" collapsed="false">
      <c r="A2032" s="6" t="s">
        <v>1981</v>
      </c>
      <c r="B2032" s="7" t="s">
        <v>1982</v>
      </c>
      <c r="C2032" s="6" t="s">
        <v>16</v>
      </c>
      <c r="D2032" s="9" t="n">
        <v>2</v>
      </c>
      <c r="E2032" s="8" t="n">
        <v>2287.1</v>
      </c>
      <c r="F2032" s="8" t="n">
        <v>4574.2</v>
      </c>
      <c r="G2032" s="8" t="n">
        <v>2287.1</v>
      </c>
      <c r="H2032" s="8" t="n">
        <v>4574.2</v>
      </c>
    </row>
    <row r="2034" customFormat="false" ht="12.75" hidden="false" customHeight="true" outlineLevel="0" collapsed="false">
      <c r="A2034" s="6" t="s">
        <v>1983</v>
      </c>
      <c r="B2034" s="7" t="s">
        <v>1984</v>
      </c>
      <c r="I2034" s="12" t="s">
        <v>17</v>
      </c>
      <c r="J2034" s="13" t="s">
        <v>23</v>
      </c>
      <c r="K2034" s="12" t="s">
        <v>1985</v>
      </c>
    </row>
    <row r="2036" customFormat="false" ht="38.25" hidden="false" customHeight="true" outlineLevel="0" collapsed="false">
      <c r="A2036" s="6" t="s">
        <v>1986</v>
      </c>
      <c r="B2036" s="7" t="s">
        <v>1987</v>
      </c>
      <c r="C2036" s="6" t="s">
        <v>16</v>
      </c>
      <c r="D2036" s="9" t="n">
        <v>6</v>
      </c>
      <c r="E2036" s="8" t="n">
        <v>2034.97</v>
      </c>
      <c r="F2036" s="8" t="n">
        <v>12209.82</v>
      </c>
      <c r="G2036" s="8" t="n">
        <v>2034.97</v>
      </c>
      <c r="H2036" s="8" t="n">
        <v>12209.82</v>
      </c>
    </row>
    <row r="2038" customFormat="false" ht="38.25" hidden="false" customHeight="true" outlineLevel="0" collapsed="false">
      <c r="A2038" s="6" t="s">
        <v>1988</v>
      </c>
      <c r="B2038" s="7" t="s">
        <v>1989</v>
      </c>
      <c r="C2038" s="6" t="s">
        <v>16</v>
      </c>
      <c r="D2038" s="9" t="n">
        <v>2</v>
      </c>
      <c r="E2038" s="8" t="n">
        <v>2034.97</v>
      </c>
      <c r="F2038" s="8" t="n">
        <v>4069.94</v>
      </c>
      <c r="G2038" s="8" t="n">
        <v>2034.97</v>
      </c>
      <c r="H2038" s="8" t="n">
        <v>4069.94</v>
      </c>
    </row>
    <row r="2040" customFormat="false" ht="12.75" hidden="false" customHeight="true" outlineLevel="0" collapsed="false">
      <c r="A2040" s="6" t="s">
        <v>1990</v>
      </c>
      <c r="B2040" s="7" t="s">
        <v>1991</v>
      </c>
    </row>
    <row r="2042" customFormat="false" ht="12.75" hidden="false" customHeight="true" outlineLevel="0" collapsed="false">
      <c r="A2042" s="6" t="s">
        <v>1992</v>
      </c>
      <c r="B2042" s="7" t="s">
        <v>1993</v>
      </c>
      <c r="C2042" s="6" t="s">
        <v>16</v>
      </c>
      <c r="D2042" s="9" t="n">
        <v>1</v>
      </c>
      <c r="E2042" s="8" t="n">
        <v>1343.32</v>
      </c>
      <c r="F2042" s="8" t="n">
        <v>1343.32</v>
      </c>
      <c r="G2042" s="8" t="n">
        <v>1343.32</v>
      </c>
      <c r="H2042" s="8" t="n">
        <v>1343.32</v>
      </c>
    </row>
    <row r="2044" customFormat="false" ht="12.75" hidden="false" customHeight="true" outlineLevel="0" collapsed="false">
      <c r="A2044" s="6" t="s">
        <v>1994</v>
      </c>
      <c r="B2044" s="7" t="s">
        <v>1995</v>
      </c>
      <c r="C2044" s="6" t="s">
        <v>16</v>
      </c>
      <c r="D2044" s="9" t="n">
        <v>1</v>
      </c>
      <c r="E2044" s="8" t="n">
        <v>1095.37</v>
      </c>
      <c r="F2044" s="8" t="n">
        <v>1095.37</v>
      </c>
      <c r="G2044" s="8" t="n">
        <v>1095.37</v>
      </c>
      <c r="H2044" s="8" t="n">
        <v>1095.37</v>
      </c>
    </row>
    <row r="2046" customFormat="false" ht="12.75" hidden="false" customHeight="true" outlineLevel="0" collapsed="false">
      <c r="A2046" s="6" t="s">
        <v>1996</v>
      </c>
      <c r="B2046" s="7" t="s">
        <v>1997</v>
      </c>
    </row>
    <row r="2048" customFormat="false" ht="12.75" hidden="false" customHeight="true" outlineLevel="0" collapsed="false">
      <c r="A2048" s="6" t="s">
        <v>1998</v>
      </c>
      <c r="B2048" s="7" t="s">
        <v>1999</v>
      </c>
      <c r="C2048" s="6" t="s">
        <v>16</v>
      </c>
      <c r="D2048" s="9" t="n">
        <v>2</v>
      </c>
      <c r="E2048" s="8" t="n">
        <v>118.5</v>
      </c>
      <c r="F2048" s="8" t="n">
        <v>237</v>
      </c>
      <c r="G2048" s="8" t="n">
        <v>118.5</v>
      </c>
      <c r="H2048" s="8" t="n">
        <v>237</v>
      </c>
      <c r="I2048" s="10" t="s">
        <v>192</v>
      </c>
      <c r="J2048" s="11" t="s">
        <v>18</v>
      </c>
      <c r="K2048" s="10" t="s">
        <v>2000</v>
      </c>
    </row>
    <row r="2050" customFormat="false" ht="12.75" hidden="false" customHeight="true" outlineLevel="0" collapsed="false">
      <c r="A2050" s="6" t="s">
        <v>2001</v>
      </c>
      <c r="B2050" s="7" t="s">
        <v>2002</v>
      </c>
    </row>
    <row r="2052" customFormat="false" ht="12.75" hidden="false" customHeight="true" outlineLevel="0" collapsed="false">
      <c r="A2052" s="6" t="s">
        <v>2003</v>
      </c>
      <c r="B2052" s="7" t="s">
        <v>2004</v>
      </c>
      <c r="C2052" s="6" t="s">
        <v>16</v>
      </c>
      <c r="D2052" s="9" t="n">
        <v>2</v>
      </c>
      <c r="E2052" s="8" t="n">
        <v>54.56</v>
      </c>
      <c r="F2052" s="8" t="n">
        <v>109.12</v>
      </c>
      <c r="G2052" s="8" t="n">
        <v>54.56</v>
      </c>
      <c r="H2052" s="8" t="n">
        <v>109.12</v>
      </c>
    </row>
    <row r="2054" customFormat="false" ht="12.75" hidden="false" customHeight="true" outlineLevel="0" collapsed="false">
      <c r="A2054" s="6" t="s">
        <v>2005</v>
      </c>
      <c r="B2054" s="7" t="s">
        <v>2006</v>
      </c>
      <c r="C2054" s="6" t="s">
        <v>16</v>
      </c>
      <c r="D2054" s="9" t="n">
        <v>2</v>
      </c>
      <c r="E2054" s="8" t="n">
        <v>282.93</v>
      </c>
      <c r="F2054" s="8" t="n">
        <v>565.86</v>
      </c>
      <c r="G2054" s="8" t="n">
        <v>282.93</v>
      </c>
      <c r="H2054" s="8" t="n">
        <v>565.86</v>
      </c>
    </row>
    <row r="2056" customFormat="false" ht="12.75" hidden="false" customHeight="true" outlineLevel="0" collapsed="false">
      <c r="A2056" s="6" t="s">
        <v>2007</v>
      </c>
      <c r="B2056" s="7" t="s">
        <v>2008</v>
      </c>
      <c r="F2056" s="8" t="n">
        <v>36789.43</v>
      </c>
      <c r="H2056" s="8" t="n">
        <v>36789.43</v>
      </c>
    </row>
    <row r="2058" customFormat="false" ht="12.75" hidden="false" customHeight="true" outlineLevel="0" collapsed="false">
      <c r="A2058" s="6" t="s">
        <v>2009</v>
      </c>
      <c r="B2058" s="7" t="s">
        <v>2010</v>
      </c>
    </row>
    <row r="2060" customFormat="false" ht="12.75" hidden="false" customHeight="true" outlineLevel="0" collapsed="false">
      <c r="A2060" s="6" t="s">
        <v>2011</v>
      </c>
      <c r="B2060" s="7" t="s">
        <v>2012</v>
      </c>
      <c r="C2060" s="6" t="s">
        <v>86</v>
      </c>
      <c r="D2060" s="9" t="n">
        <v>24</v>
      </c>
      <c r="E2060" s="8" t="n">
        <v>104.55</v>
      </c>
      <c r="F2060" s="8" t="n">
        <v>2509.2</v>
      </c>
      <c r="G2060" s="8" t="n">
        <v>104.55</v>
      </c>
      <c r="H2060" s="8" t="n">
        <v>2509.2</v>
      </c>
    </row>
    <row r="2062" customFormat="false" ht="12.75" hidden="false" customHeight="true" outlineLevel="0" collapsed="false">
      <c r="A2062" s="6" t="s">
        <v>2013</v>
      </c>
      <c r="B2062" s="7" t="s">
        <v>2014</v>
      </c>
      <c r="C2062" s="6" t="s">
        <v>86</v>
      </c>
      <c r="D2062" s="9" t="n">
        <v>40</v>
      </c>
      <c r="E2062" s="8" t="n">
        <v>33.89</v>
      </c>
      <c r="F2062" s="8" t="n">
        <v>1355.6</v>
      </c>
      <c r="G2062" s="8" t="n">
        <v>33.89</v>
      </c>
      <c r="H2062" s="8" t="n">
        <v>1355.6</v>
      </c>
    </row>
    <row r="2064" customFormat="false" ht="12.75" hidden="false" customHeight="true" outlineLevel="0" collapsed="false">
      <c r="A2064" s="6" t="s">
        <v>2015</v>
      </c>
      <c r="B2064" s="7" t="s">
        <v>2016</v>
      </c>
    </row>
    <row r="2066" customFormat="false" ht="12.75" hidden="false" customHeight="true" outlineLevel="0" collapsed="false">
      <c r="A2066" s="6" t="s">
        <v>2017</v>
      </c>
      <c r="B2066" s="7" t="s">
        <v>2012</v>
      </c>
    </row>
    <row r="2068" customFormat="false" ht="12.75" hidden="false" customHeight="true" outlineLevel="0" collapsed="false">
      <c r="A2068" s="6" t="s">
        <v>2018</v>
      </c>
      <c r="B2068" s="7" t="s">
        <v>2019</v>
      </c>
      <c r="C2068" s="6" t="s">
        <v>61</v>
      </c>
      <c r="D2068" s="9" t="n">
        <v>68</v>
      </c>
      <c r="E2068" s="8" t="n">
        <v>85.9</v>
      </c>
      <c r="F2068" s="8" t="n">
        <v>5841.2</v>
      </c>
      <c r="G2068" s="8" t="n">
        <v>85.9</v>
      </c>
      <c r="H2068" s="8" t="n">
        <v>5841.2</v>
      </c>
    </row>
    <row r="2070" customFormat="false" ht="12.75" hidden="false" customHeight="true" outlineLevel="0" collapsed="false">
      <c r="A2070" s="6" t="s">
        <v>2020</v>
      </c>
      <c r="B2070" s="7" t="s">
        <v>2021</v>
      </c>
      <c r="C2070" s="6" t="s">
        <v>61</v>
      </c>
      <c r="D2070" s="9" t="n">
        <v>32</v>
      </c>
      <c r="E2070" s="8" t="n">
        <v>100.23</v>
      </c>
      <c r="F2070" s="8" t="n">
        <v>3207.36</v>
      </c>
      <c r="G2070" s="8" t="n">
        <v>100.23</v>
      </c>
      <c r="H2070" s="8" t="n">
        <v>3207.36</v>
      </c>
    </row>
    <row r="2072" customFormat="false" ht="12.75" hidden="false" customHeight="true" outlineLevel="0" collapsed="false">
      <c r="A2072" s="6" t="s">
        <v>2022</v>
      </c>
      <c r="B2072" s="7" t="s">
        <v>2023</v>
      </c>
      <c r="C2072" s="6" t="s">
        <v>61</v>
      </c>
      <c r="D2072" s="9" t="n">
        <v>20</v>
      </c>
      <c r="E2072" s="8" t="n">
        <v>104.55</v>
      </c>
      <c r="F2072" s="8" t="n">
        <v>2091</v>
      </c>
      <c r="G2072" s="8" t="n">
        <v>104.55</v>
      </c>
      <c r="H2072" s="8" t="n">
        <v>2091</v>
      </c>
    </row>
    <row r="2074" customFormat="false" ht="12.75" hidden="false" customHeight="true" outlineLevel="0" collapsed="false">
      <c r="A2074" s="6" t="s">
        <v>2024</v>
      </c>
      <c r="B2074" s="7" t="s">
        <v>2025</v>
      </c>
      <c r="C2074" s="6" t="s">
        <v>61</v>
      </c>
      <c r="D2074" s="9" t="n">
        <v>36</v>
      </c>
      <c r="E2074" s="8" t="n">
        <v>128.91</v>
      </c>
      <c r="F2074" s="8" t="n">
        <v>4640.76</v>
      </c>
      <c r="G2074" s="8" t="n">
        <v>128.91</v>
      </c>
      <c r="H2074" s="8" t="n">
        <v>4640.76</v>
      </c>
    </row>
    <row r="2076" customFormat="false" ht="12.75" hidden="false" customHeight="true" outlineLevel="0" collapsed="false">
      <c r="A2076" s="6" t="s">
        <v>2026</v>
      </c>
      <c r="B2076" s="7" t="s">
        <v>2027</v>
      </c>
      <c r="C2076" s="6" t="s">
        <v>61</v>
      </c>
      <c r="D2076" s="9" t="n">
        <v>31</v>
      </c>
      <c r="E2076" s="8" t="n">
        <v>143.23</v>
      </c>
      <c r="F2076" s="8" t="n">
        <v>4440.13</v>
      </c>
      <c r="G2076" s="8" t="n">
        <v>143.23</v>
      </c>
      <c r="H2076" s="8" t="n">
        <v>4440.13</v>
      </c>
    </row>
    <row r="2078" customFormat="false" ht="12.75" hidden="false" customHeight="true" outlineLevel="0" collapsed="false">
      <c r="A2078" s="6" t="s">
        <v>2028</v>
      </c>
      <c r="B2078" s="7" t="s">
        <v>2029</v>
      </c>
      <c r="C2078" s="6" t="s">
        <v>61</v>
      </c>
      <c r="D2078" s="9" t="n">
        <v>9</v>
      </c>
      <c r="E2078" s="8" t="n">
        <v>181.02</v>
      </c>
      <c r="F2078" s="8" t="n">
        <v>1629.18</v>
      </c>
      <c r="G2078" s="8" t="n">
        <v>181.02</v>
      </c>
      <c r="H2078" s="8" t="n">
        <v>1629.18</v>
      </c>
    </row>
    <row r="2080" customFormat="false" ht="12.75" hidden="false" customHeight="true" outlineLevel="0" collapsed="false">
      <c r="A2080" s="6" t="s">
        <v>2030</v>
      </c>
      <c r="B2080" s="7" t="s">
        <v>2014</v>
      </c>
    </row>
    <row r="2082" customFormat="false" ht="12.75" hidden="false" customHeight="true" outlineLevel="0" collapsed="false">
      <c r="A2082" s="6" t="s">
        <v>2031</v>
      </c>
      <c r="B2082" s="7" t="s">
        <v>2032</v>
      </c>
      <c r="C2082" s="6" t="s">
        <v>61</v>
      </c>
      <c r="D2082" s="9" t="n">
        <v>30</v>
      </c>
      <c r="E2082" s="8" t="n">
        <v>16.23</v>
      </c>
      <c r="F2082" s="8" t="n">
        <v>486.9</v>
      </c>
      <c r="G2082" s="8" t="n">
        <v>16.23</v>
      </c>
      <c r="H2082" s="8" t="n">
        <v>486.9</v>
      </c>
    </row>
    <row r="2084" customFormat="false" ht="12.75" hidden="false" customHeight="true" outlineLevel="0" collapsed="false">
      <c r="A2084" s="6" t="s">
        <v>2033</v>
      </c>
      <c r="B2084" s="7" t="s">
        <v>2034</v>
      </c>
      <c r="C2084" s="6" t="s">
        <v>61</v>
      </c>
      <c r="D2084" s="9" t="n">
        <v>50</v>
      </c>
      <c r="E2084" s="8" t="n">
        <v>18.02</v>
      </c>
      <c r="F2084" s="8" t="n">
        <v>901</v>
      </c>
      <c r="G2084" s="8" t="n">
        <v>18.02</v>
      </c>
      <c r="H2084" s="8" t="n">
        <v>901</v>
      </c>
    </row>
    <row r="2086" customFormat="false" ht="12.75" hidden="false" customHeight="true" outlineLevel="0" collapsed="false">
      <c r="A2086" s="6" t="s">
        <v>2035</v>
      </c>
      <c r="B2086" s="7" t="s">
        <v>2036</v>
      </c>
      <c r="C2086" s="6" t="s">
        <v>61</v>
      </c>
      <c r="D2086" s="9" t="n">
        <v>99</v>
      </c>
      <c r="E2086" s="8" t="n">
        <v>21.6</v>
      </c>
      <c r="F2086" s="8" t="n">
        <v>2138.4</v>
      </c>
      <c r="G2086" s="8" t="n">
        <v>21.6</v>
      </c>
      <c r="H2086" s="8" t="n">
        <v>2138.4</v>
      </c>
    </row>
    <row r="2088" customFormat="false" ht="12.75" hidden="false" customHeight="true" outlineLevel="0" collapsed="false">
      <c r="A2088" s="6" t="s">
        <v>2037</v>
      </c>
      <c r="B2088" s="7" t="s">
        <v>2019</v>
      </c>
      <c r="C2088" s="6" t="s">
        <v>61</v>
      </c>
      <c r="D2088" s="9" t="n">
        <v>20</v>
      </c>
      <c r="E2088" s="8" t="n">
        <v>25.19</v>
      </c>
      <c r="F2088" s="8" t="n">
        <v>503.8</v>
      </c>
      <c r="G2088" s="8" t="n">
        <v>25.19</v>
      </c>
      <c r="H2088" s="8" t="n">
        <v>503.8</v>
      </c>
    </row>
    <row r="2090" customFormat="false" ht="12.75" hidden="false" customHeight="true" outlineLevel="0" collapsed="false">
      <c r="A2090" s="6" t="s">
        <v>2038</v>
      </c>
      <c r="B2090" s="7" t="s">
        <v>2021</v>
      </c>
      <c r="C2090" s="6" t="s">
        <v>61</v>
      </c>
      <c r="D2090" s="9" t="n">
        <v>29</v>
      </c>
      <c r="E2090" s="8" t="n">
        <v>28.77</v>
      </c>
      <c r="F2090" s="8" t="n">
        <v>834.33</v>
      </c>
      <c r="G2090" s="8" t="n">
        <v>28.77</v>
      </c>
      <c r="H2090" s="8" t="n">
        <v>834.33</v>
      </c>
    </row>
    <row r="2092" customFormat="false" ht="12.75" hidden="false" customHeight="true" outlineLevel="0" collapsed="false">
      <c r="A2092" s="6" t="s">
        <v>2039</v>
      </c>
      <c r="B2092" s="7" t="s">
        <v>2023</v>
      </c>
      <c r="C2092" s="6" t="s">
        <v>61</v>
      </c>
      <c r="D2092" s="9" t="n">
        <v>33</v>
      </c>
      <c r="E2092" s="8" t="n">
        <v>29.86</v>
      </c>
      <c r="F2092" s="8" t="n">
        <v>985.38</v>
      </c>
      <c r="G2092" s="8" t="n">
        <v>29.86</v>
      </c>
      <c r="H2092" s="8" t="n">
        <v>985.38</v>
      </c>
    </row>
    <row r="2094" customFormat="false" ht="12.75" hidden="false" customHeight="true" outlineLevel="0" collapsed="false">
      <c r="A2094" s="6" t="s">
        <v>2040</v>
      </c>
      <c r="B2094" s="7" t="s">
        <v>2041</v>
      </c>
      <c r="C2094" s="6" t="s">
        <v>61</v>
      </c>
      <c r="D2094" s="9" t="n">
        <v>3</v>
      </c>
      <c r="E2094" s="8" t="n">
        <v>32.72</v>
      </c>
      <c r="F2094" s="8" t="n">
        <v>98.16</v>
      </c>
      <c r="G2094" s="8" t="n">
        <v>32.72</v>
      </c>
      <c r="H2094" s="8" t="n">
        <v>98.16</v>
      </c>
    </row>
    <row r="2096" customFormat="false" ht="12.75" hidden="false" customHeight="true" outlineLevel="0" collapsed="false">
      <c r="A2096" s="6" t="s">
        <v>2042</v>
      </c>
      <c r="B2096" s="7" t="s">
        <v>2025</v>
      </c>
      <c r="C2096" s="6" t="s">
        <v>61</v>
      </c>
      <c r="D2096" s="9" t="n">
        <v>28</v>
      </c>
      <c r="E2096" s="8" t="n">
        <v>35.92</v>
      </c>
      <c r="F2096" s="8" t="n">
        <v>1005.76</v>
      </c>
      <c r="G2096" s="8" t="n">
        <v>35.92</v>
      </c>
      <c r="H2096" s="8" t="n">
        <v>1005.76</v>
      </c>
    </row>
    <row r="2098" customFormat="false" ht="12.75" hidden="false" customHeight="true" outlineLevel="0" collapsed="false">
      <c r="A2098" s="6" t="s">
        <v>2043</v>
      </c>
      <c r="B2098" s="7" t="s">
        <v>2027</v>
      </c>
      <c r="C2098" s="6" t="s">
        <v>61</v>
      </c>
      <c r="D2098" s="9" t="n">
        <v>4</v>
      </c>
      <c r="E2098" s="8" t="n">
        <v>39.49</v>
      </c>
      <c r="F2098" s="8" t="n">
        <v>157.96</v>
      </c>
      <c r="G2098" s="8" t="n">
        <v>39.49</v>
      </c>
      <c r="H2098" s="8" t="n">
        <v>157.96</v>
      </c>
    </row>
    <row r="2100" customFormat="false" ht="12.75" hidden="false" customHeight="true" outlineLevel="0" collapsed="false">
      <c r="A2100" s="6" t="s">
        <v>2044</v>
      </c>
      <c r="B2100" s="7" t="s">
        <v>2045</v>
      </c>
    </row>
    <row r="2102" customFormat="false" ht="12.75" hidden="false" customHeight="true" outlineLevel="0" collapsed="false">
      <c r="A2102" s="6" t="s">
        <v>2046</v>
      </c>
      <c r="B2102" s="7" t="s">
        <v>2036</v>
      </c>
      <c r="C2102" s="6" t="s">
        <v>61</v>
      </c>
      <c r="D2102" s="9" t="n">
        <v>7</v>
      </c>
      <c r="E2102" s="8" t="n">
        <v>69.53</v>
      </c>
      <c r="F2102" s="8" t="n">
        <v>486.71</v>
      </c>
      <c r="G2102" s="8" t="n">
        <v>69.53</v>
      </c>
      <c r="H2102" s="8" t="n">
        <v>486.71</v>
      </c>
    </row>
    <row r="2104" customFormat="false" ht="12.75" hidden="false" customHeight="true" outlineLevel="0" collapsed="false">
      <c r="A2104" s="6" t="s">
        <v>2047</v>
      </c>
      <c r="B2104" s="7" t="s">
        <v>2027</v>
      </c>
      <c r="C2104" s="6" t="s">
        <v>61</v>
      </c>
      <c r="D2104" s="9" t="n">
        <v>8</v>
      </c>
      <c r="E2104" s="8" t="n">
        <v>138.65</v>
      </c>
      <c r="F2104" s="8" t="n">
        <v>1109.2</v>
      </c>
      <c r="G2104" s="8" t="n">
        <v>138.65</v>
      </c>
      <c r="H2104" s="8" t="n">
        <v>1109.2</v>
      </c>
    </row>
    <row r="2106" customFormat="false" ht="12.75" hidden="false" customHeight="true" outlineLevel="0" collapsed="false">
      <c r="A2106" s="6" t="s">
        <v>2048</v>
      </c>
      <c r="B2106" s="7" t="s">
        <v>2049</v>
      </c>
      <c r="C2106" s="6" t="s">
        <v>16</v>
      </c>
      <c r="D2106" s="9" t="n">
        <v>70</v>
      </c>
      <c r="E2106" s="8" t="n">
        <v>33.82</v>
      </c>
      <c r="F2106" s="8" t="n">
        <v>2367.4</v>
      </c>
      <c r="G2106" s="8" t="n">
        <v>33.82</v>
      </c>
      <c r="H2106" s="8" t="n">
        <v>2367.4</v>
      </c>
    </row>
    <row r="2108" customFormat="false" ht="12.75" hidden="false" customHeight="true" outlineLevel="0" collapsed="false">
      <c r="A2108" s="6" t="s">
        <v>2050</v>
      </c>
      <c r="B2108" s="7" t="s">
        <v>2051</v>
      </c>
      <c r="F2108" s="8" t="n">
        <v>19834.76</v>
      </c>
      <c r="H2108" s="8" t="n">
        <v>19834.76</v>
      </c>
    </row>
    <row r="2110" customFormat="false" ht="25.5" hidden="false" customHeight="true" outlineLevel="0" collapsed="false">
      <c r="A2110" s="6" t="s">
        <v>2052</v>
      </c>
      <c r="B2110" s="7" t="s">
        <v>2053</v>
      </c>
    </row>
    <row r="2112" customFormat="false" ht="12.75" hidden="false" customHeight="true" outlineLevel="0" collapsed="false">
      <c r="A2112" s="6" t="s">
        <v>2054</v>
      </c>
      <c r="B2112" s="7" t="s">
        <v>2055</v>
      </c>
      <c r="C2112" s="6" t="s">
        <v>922</v>
      </c>
      <c r="D2112" s="9" t="n">
        <v>97</v>
      </c>
      <c r="E2112" s="8" t="n">
        <v>18.25</v>
      </c>
      <c r="F2112" s="8" t="n">
        <v>1770.25</v>
      </c>
      <c r="G2112" s="8" t="n">
        <v>18.25</v>
      </c>
      <c r="H2112" s="8" t="n">
        <v>1770.25</v>
      </c>
    </row>
    <row r="2114" customFormat="false" ht="12.75" hidden="false" customHeight="true" outlineLevel="0" collapsed="false">
      <c r="A2114" s="6" t="s">
        <v>2056</v>
      </c>
      <c r="B2114" s="7" t="s">
        <v>2057</v>
      </c>
      <c r="C2114" s="6" t="s">
        <v>922</v>
      </c>
      <c r="D2114" s="9" t="n">
        <v>143</v>
      </c>
      <c r="E2114" s="8" t="n">
        <v>23.7</v>
      </c>
      <c r="F2114" s="8" t="n">
        <v>3389.1</v>
      </c>
      <c r="G2114" s="8" t="n">
        <v>23.7</v>
      </c>
      <c r="H2114" s="8" t="n">
        <v>3389.1</v>
      </c>
    </row>
    <row r="2116" customFormat="false" ht="12.75" hidden="false" customHeight="true" outlineLevel="0" collapsed="false">
      <c r="A2116" s="6" t="s">
        <v>2058</v>
      </c>
      <c r="B2116" s="7" t="s">
        <v>2059</v>
      </c>
      <c r="C2116" s="6" t="s">
        <v>922</v>
      </c>
      <c r="D2116" s="9" t="n">
        <v>40</v>
      </c>
      <c r="E2116" s="8" t="n">
        <v>26.62</v>
      </c>
      <c r="F2116" s="8" t="n">
        <v>1064.8</v>
      </c>
      <c r="G2116" s="8" t="n">
        <v>26.62</v>
      </c>
      <c r="H2116" s="8" t="n">
        <v>1064.8</v>
      </c>
    </row>
    <row r="2118" customFormat="false" ht="12.75" hidden="false" customHeight="true" outlineLevel="0" collapsed="false">
      <c r="A2118" s="6" t="s">
        <v>2060</v>
      </c>
      <c r="B2118" s="7" t="s">
        <v>2061</v>
      </c>
      <c r="C2118" s="6" t="s">
        <v>922</v>
      </c>
      <c r="D2118" s="9" t="n">
        <v>7</v>
      </c>
      <c r="E2118" s="8" t="n">
        <v>29.37</v>
      </c>
      <c r="F2118" s="8" t="n">
        <v>205.59</v>
      </c>
      <c r="G2118" s="8" t="n">
        <v>29.37</v>
      </c>
      <c r="H2118" s="8" t="n">
        <v>205.59</v>
      </c>
    </row>
    <row r="2120" customFormat="false" ht="12.75" hidden="false" customHeight="true" outlineLevel="0" collapsed="false">
      <c r="A2120" s="6" t="s">
        <v>2062</v>
      </c>
      <c r="B2120" s="7" t="s">
        <v>2063</v>
      </c>
    </row>
    <row r="2122" customFormat="false" ht="12.75" hidden="false" customHeight="true" outlineLevel="0" collapsed="false">
      <c r="A2122" s="6" t="s">
        <v>2064</v>
      </c>
      <c r="B2122" s="7" t="s">
        <v>1404</v>
      </c>
      <c r="C2122" s="6" t="s">
        <v>922</v>
      </c>
      <c r="D2122" s="9" t="n">
        <v>7</v>
      </c>
      <c r="E2122" s="8" t="n">
        <v>28.58</v>
      </c>
      <c r="F2122" s="8" t="n">
        <v>200.06</v>
      </c>
      <c r="G2122" s="8" t="n">
        <v>28.58</v>
      </c>
      <c r="H2122" s="8" t="n">
        <v>200.06</v>
      </c>
    </row>
    <row r="2124" customFormat="false" ht="12.75" hidden="false" customHeight="true" outlineLevel="0" collapsed="false">
      <c r="A2124" s="6" t="s">
        <v>2065</v>
      </c>
      <c r="B2124" s="7" t="s">
        <v>1354</v>
      </c>
      <c r="C2124" s="6" t="s">
        <v>922</v>
      </c>
      <c r="D2124" s="9" t="n">
        <v>22</v>
      </c>
      <c r="E2124" s="8" t="n">
        <v>35.87</v>
      </c>
      <c r="F2124" s="8" t="n">
        <v>789.14</v>
      </c>
      <c r="G2124" s="8" t="n">
        <v>35.87</v>
      </c>
      <c r="H2124" s="8" t="n">
        <v>789.14</v>
      </c>
    </row>
    <row r="2126" customFormat="false" ht="12.75" hidden="false" customHeight="true" outlineLevel="0" collapsed="false">
      <c r="A2126" s="6" t="s">
        <v>2066</v>
      </c>
      <c r="B2126" s="7" t="s">
        <v>1402</v>
      </c>
      <c r="C2126" s="6" t="s">
        <v>922</v>
      </c>
      <c r="D2126" s="9" t="n">
        <v>72</v>
      </c>
      <c r="E2126" s="8" t="n">
        <v>43.7</v>
      </c>
      <c r="F2126" s="8" t="n">
        <v>3146.4</v>
      </c>
      <c r="G2126" s="8" t="n">
        <v>43.7</v>
      </c>
      <c r="H2126" s="8" t="n">
        <v>3146.4</v>
      </c>
    </row>
    <row r="2128" customFormat="false" ht="12.75" hidden="false" customHeight="true" outlineLevel="0" collapsed="false">
      <c r="A2128" s="6" t="s">
        <v>2067</v>
      </c>
      <c r="B2128" s="7" t="s">
        <v>2068</v>
      </c>
      <c r="C2128" s="6" t="s">
        <v>922</v>
      </c>
      <c r="D2128" s="9" t="n">
        <v>10</v>
      </c>
      <c r="E2128" s="8" t="n">
        <v>64.05</v>
      </c>
      <c r="F2128" s="8" t="n">
        <v>640.5</v>
      </c>
      <c r="G2128" s="8" t="n">
        <v>64.05</v>
      </c>
      <c r="H2128" s="8" t="n">
        <v>640.5</v>
      </c>
    </row>
    <row r="2130" customFormat="false" ht="12.75" hidden="false" customHeight="true" outlineLevel="0" collapsed="false">
      <c r="A2130" s="6" t="s">
        <v>2069</v>
      </c>
      <c r="B2130" s="7" t="s">
        <v>2070</v>
      </c>
      <c r="C2130" s="6" t="s">
        <v>922</v>
      </c>
      <c r="D2130" s="9" t="n">
        <v>17</v>
      </c>
      <c r="E2130" s="8" t="n">
        <v>94.29</v>
      </c>
      <c r="F2130" s="8" t="n">
        <v>1602.93</v>
      </c>
      <c r="G2130" s="8" t="n">
        <v>94.29</v>
      </c>
      <c r="H2130" s="8" t="n">
        <v>1602.93</v>
      </c>
    </row>
    <row r="2132" customFormat="false" ht="12.75" hidden="false" customHeight="true" outlineLevel="0" collapsed="false">
      <c r="A2132" s="6" t="s">
        <v>2071</v>
      </c>
      <c r="B2132" s="7" t="s">
        <v>2072</v>
      </c>
    </row>
    <row r="2134" customFormat="false" ht="12.75" hidden="false" customHeight="true" outlineLevel="0" collapsed="false">
      <c r="A2134" s="6" t="s">
        <v>2073</v>
      </c>
      <c r="B2134" s="7" t="s">
        <v>1700</v>
      </c>
      <c r="C2134" s="6" t="s">
        <v>922</v>
      </c>
      <c r="D2134" s="9" t="n">
        <v>20</v>
      </c>
      <c r="E2134" s="8" t="n">
        <v>7.65</v>
      </c>
      <c r="F2134" s="8" t="n">
        <v>153</v>
      </c>
      <c r="G2134" s="8" t="n">
        <v>7.65</v>
      </c>
      <c r="H2134" s="8" t="n">
        <v>153</v>
      </c>
    </row>
    <row r="2136" customFormat="false" ht="12.75" hidden="false" customHeight="true" outlineLevel="0" collapsed="false">
      <c r="A2136" s="6" t="s">
        <v>2074</v>
      </c>
      <c r="B2136" s="7" t="s">
        <v>1402</v>
      </c>
      <c r="C2136" s="6" t="s">
        <v>922</v>
      </c>
      <c r="D2136" s="9" t="n">
        <v>11</v>
      </c>
      <c r="E2136" s="8" t="n">
        <v>21.43</v>
      </c>
      <c r="F2136" s="8" t="n">
        <v>235.73</v>
      </c>
      <c r="G2136" s="8" t="n">
        <v>21.43</v>
      </c>
      <c r="H2136" s="8" t="n">
        <v>235.73</v>
      </c>
    </row>
    <row r="2138" customFormat="false" ht="12.75" hidden="false" customHeight="true" outlineLevel="0" collapsed="false">
      <c r="A2138" s="6" t="s">
        <v>2075</v>
      </c>
      <c r="B2138" s="7" t="s">
        <v>2068</v>
      </c>
      <c r="C2138" s="6" t="s">
        <v>922</v>
      </c>
      <c r="D2138" s="9" t="n">
        <v>11</v>
      </c>
      <c r="E2138" s="8" t="n">
        <v>35.71</v>
      </c>
      <c r="F2138" s="8" t="n">
        <v>392.81</v>
      </c>
      <c r="G2138" s="8" t="n">
        <v>35.71</v>
      </c>
      <c r="H2138" s="8" t="n">
        <v>392.81</v>
      </c>
    </row>
    <row r="2140" customFormat="false" ht="25.5" hidden="false" customHeight="true" outlineLevel="0" collapsed="false">
      <c r="A2140" s="6" t="s">
        <v>2076</v>
      </c>
      <c r="B2140" s="7" t="s">
        <v>2077</v>
      </c>
    </row>
    <row r="2142" customFormat="false" ht="12.75" hidden="false" customHeight="true" outlineLevel="0" collapsed="false">
      <c r="A2142" s="6" t="s">
        <v>2078</v>
      </c>
      <c r="B2142" s="7" t="s">
        <v>1402</v>
      </c>
      <c r="C2142" s="6" t="s">
        <v>922</v>
      </c>
      <c r="D2142" s="9" t="n">
        <v>33</v>
      </c>
      <c r="E2142" s="8" t="n">
        <v>56.89</v>
      </c>
      <c r="F2142" s="8" t="n">
        <v>1877.37</v>
      </c>
      <c r="G2142" s="8" t="n">
        <v>56.89</v>
      </c>
      <c r="H2142" s="8" t="n">
        <v>1877.37</v>
      </c>
    </row>
    <row r="2144" customFormat="false" ht="12.75" hidden="false" customHeight="true" outlineLevel="0" collapsed="false">
      <c r="A2144" s="6" t="s">
        <v>2079</v>
      </c>
      <c r="B2144" s="7" t="s">
        <v>2080</v>
      </c>
    </row>
    <row r="2146" customFormat="false" ht="12.75" hidden="false" customHeight="true" outlineLevel="0" collapsed="false">
      <c r="A2146" s="6" t="s">
        <v>2081</v>
      </c>
      <c r="B2146" s="7" t="s">
        <v>928</v>
      </c>
      <c r="C2146" s="6" t="s">
        <v>922</v>
      </c>
      <c r="D2146" s="9" t="n">
        <v>80</v>
      </c>
      <c r="E2146" s="8" t="n">
        <v>5.44</v>
      </c>
      <c r="F2146" s="8" t="n">
        <v>435.2</v>
      </c>
      <c r="G2146" s="8" t="n">
        <v>5.44</v>
      </c>
      <c r="H2146" s="8" t="n">
        <v>435.2</v>
      </c>
    </row>
    <row r="2148" customFormat="false" ht="12.75" hidden="false" customHeight="true" outlineLevel="0" collapsed="false">
      <c r="A2148" s="6" t="s">
        <v>2082</v>
      </c>
      <c r="B2148" s="7" t="s">
        <v>930</v>
      </c>
      <c r="C2148" s="6" t="s">
        <v>922</v>
      </c>
      <c r="D2148" s="9" t="n">
        <v>25</v>
      </c>
      <c r="E2148" s="8" t="n">
        <v>5.44</v>
      </c>
      <c r="F2148" s="8" t="n">
        <v>136</v>
      </c>
      <c r="G2148" s="8" t="n">
        <v>5.44</v>
      </c>
      <c r="H2148" s="8" t="n">
        <v>136</v>
      </c>
    </row>
    <row r="2150" customFormat="false" ht="38.25" hidden="false" customHeight="true" outlineLevel="0" collapsed="false">
      <c r="A2150" s="6" t="s">
        <v>2083</v>
      </c>
      <c r="B2150" s="7" t="s">
        <v>2084</v>
      </c>
    </row>
    <row r="2152" customFormat="false" ht="12.75" hidden="false" customHeight="true" outlineLevel="0" collapsed="false">
      <c r="A2152" s="6" t="s">
        <v>2085</v>
      </c>
      <c r="B2152" s="7" t="s">
        <v>2086</v>
      </c>
      <c r="C2152" s="6" t="s">
        <v>922</v>
      </c>
      <c r="D2152" s="9" t="n">
        <v>2</v>
      </c>
      <c r="E2152" s="8" t="n">
        <v>1897.94</v>
      </c>
      <c r="F2152" s="8" t="n">
        <v>3795.88</v>
      </c>
      <c r="G2152" s="8" t="n">
        <v>1897.94</v>
      </c>
      <c r="H2152" s="8" t="n">
        <v>3795.88</v>
      </c>
      <c r="I2152" s="14" t="s">
        <v>192</v>
      </c>
      <c r="J2152" s="15" t="s">
        <v>31</v>
      </c>
      <c r="K2152" s="14" t="s">
        <v>2087</v>
      </c>
    </row>
    <row r="2154" customFormat="false" ht="25.5" hidden="false" customHeight="true" outlineLevel="0" collapsed="false">
      <c r="A2154" s="6" t="s">
        <v>2088</v>
      </c>
      <c r="B2154" s="7" t="s">
        <v>2089</v>
      </c>
      <c r="F2154" s="8" t="n">
        <v>28201.65</v>
      </c>
      <c r="H2154" s="8" t="n">
        <v>28201.65</v>
      </c>
      <c r="I2154" s="14" t="s">
        <v>192</v>
      </c>
      <c r="J2154" s="15" t="s">
        <v>31</v>
      </c>
      <c r="K2154" s="14" t="s">
        <v>2090</v>
      </c>
    </row>
    <row r="2156" customFormat="false" ht="51" hidden="false" customHeight="true" outlineLevel="0" collapsed="false">
      <c r="A2156" s="6" t="s">
        <v>2091</v>
      </c>
      <c r="B2156" s="7" t="s">
        <v>2092</v>
      </c>
    </row>
    <row r="2158" customFormat="false" ht="12.75" hidden="false" customHeight="true" outlineLevel="0" collapsed="false">
      <c r="A2158" s="6" t="s">
        <v>2093</v>
      </c>
      <c r="B2158" s="7" t="s">
        <v>2094</v>
      </c>
      <c r="C2158" s="6" t="s">
        <v>16</v>
      </c>
      <c r="D2158" s="9" t="n">
        <v>1</v>
      </c>
      <c r="E2158" s="8" t="n">
        <v>8989.77</v>
      </c>
      <c r="F2158" s="8" t="n">
        <v>8989.77</v>
      </c>
      <c r="G2158" s="8" t="n">
        <v>8989.77</v>
      </c>
      <c r="H2158" s="8" t="n">
        <v>8989.77</v>
      </c>
    </row>
    <row r="2160" customFormat="false" ht="12.75" hidden="false" customHeight="true" outlineLevel="0" collapsed="false">
      <c r="A2160" s="6" t="s">
        <v>2095</v>
      </c>
      <c r="B2160" s="7" t="s">
        <v>2096</v>
      </c>
      <c r="C2160" s="6" t="s">
        <v>16</v>
      </c>
      <c r="D2160" s="9" t="n">
        <v>1</v>
      </c>
      <c r="E2160" s="8" t="n">
        <v>2000</v>
      </c>
      <c r="F2160" s="8" t="n">
        <v>2000</v>
      </c>
      <c r="G2160" s="8" t="n">
        <v>2000</v>
      </c>
      <c r="H2160" s="8" t="n">
        <v>2000</v>
      </c>
    </row>
    <row r="2162" customFormat="false" ht="76.5" hidden="false" customHeight="true" outlineLevel="0" collapsed="false">
      <c r="A2162" s="6" t="s">
        <v>2097</v>
      </c>
      <c r="B2162" s="7" t="s">
        <v>2098</v>
      </c>
    </row>
    <row r="2165" customFormat="false" ht="12.75" hidden="false" customHeight="true" outlineLevel="0" collapsed="false">
      <c r="A2165" s="6" t="s">
        <v>2099</v>
      </c>
      <c r="B2165" s="7" t="s">
        <v>2100</v>
      </c>
      <c r="C2165" s="6" t="s">
        <v>16</v>
      </c>
      <c r="D2165" s="9" t="n">
        <v>135</v>
      </c>
      <c r="E2165" s="8" t="n">
        <v>3.65</v>
      </c>
      <c r="F2165" s="8" t="n">
        <v>492.75</v>
      </c>
      <c r="G2165" s="8" t="n">
        <v>3.65</v>
      </c>
      <c r="H2165" s="8" t="n">
        <v>492.75</v>
      </c>
      <c r="I2165" s="10" t="s">
        <v>192</v>
      </c>
      <c r="J2165" s="11" t="s">
        <v>18</v>
      </c>
      <c r="K2165" s="10" t="s">
        <v>2101</v>
      </c>
    </row>
    <row r="2167" customFormat="false" ht="12.75" hidden="false" customHeight="true" outlineLevel="0" collapsed="false">
      <c r="A2167" s="6" t="s">
        <v>2102</v>
      </c>
      <c r="B2167" s="7" t="s">
        <v>2103</v>
      </c>
      <c r="C2167" s="6" t="s">
        <v>16</v>
      </c>
      <c r="D2167" s="9" t="n">
        <v>705</v>
      </c>
      <c r="E2167" s="8" t="n">
        <v>3.52</v>
      </c>
      <c r="F2167" s="8" t="n">
        <v>2481.6</v>
      </c>
      <c r="G2167" s="8" t="n">
        <v>3.52</v>
      </c>
      <c r="H2167" s="8" t="n">
        <v>2481.6</v>
      </c>
    </row>
    <row r="2169" customFormat="false" ht="12.75" hidden="false" customHeight="true" outlineLevel="0" collapsed="false">
      <c r="A2169" s="6" t="s">
        <v>2104</v>
      </c>
      <c r="B2169" s="7" t="s">
        <v>2105</v>
      </c>
      <c r="C2169" s="6" t="s">
        <v>16</v>
      </c>
      <c r="D2169" s="9" t="n">
        <v>134</v>
      </c>
      <c r="E2169" s="8" t="n">
        <v>4.13</v>
      </c>
      <c r="F2169" s="8" t="n">
        <v>553.42</v>
      </c>
      <c r="G2169" s="8" t="n">
        <v>4.13</v>
      </c>
      <c r="H2169" s="8" t="n">
        <v>553.42</v>
      </c>
    </row>
    <row r="2171" customFormat="false" ht="12.75" hidden="false" customHeight="true" outlineLevel="0" collapsed="false">
      <c r="A2171" s="6" t="s">
        <v>2106</v>
      </c>
      <c r="B2171" s="7" t="s">
        <v>2107</v>
      </c>
      <c r="C2171" s="6" t="s">
        <v>16</v>
      </c>
      <c r="D2171" s="9" t="n">
        <v>22</v>
      </c>
      <c r="E2171" s="8" t="n">
        <v>12.67</v>
      </c>
      <c r="F2171" s="8" t="n">
        <v>278.74</v>
      </c>
      <c r="G2171" s="8" t="n">
        <v>12.67</v>
      </c>
      <c r="H2171" s="8" t="n">
        <v>278.74</v>
      </c>
    </row>
    <row r="2173" customFormat="false" ht="12.75" hidden="false" customHeight="true" outlineLevel="0" collapsed="false">
      <c r="A2173" s="6" t="s">
        <v>2108</v>
      </c>
      <c r="B2173" s="7" t="s">
        <v>2109</v>
      </c>
      <c r="C2173" s="6" t="s">
        <v>922</v>
      </c>
      <c r="D2173" s="9" t="n">
        <v>275</v>
      </c>
      <c r="E2173" s="8" t="n">
        <v>1.86</v>
      </c>
      <c r="F2173" s="8" t="n">
        <v>511.5</v>
      </c>
      <c r="G2173" s="8" t="n">
        <v>1.86</v>
      </c>
      <c r="H2173" s="8" t="n">
        <v>511.5</v>
      </c>
    </row>
    <row r="2175" customFormat="false" ht="76.5" hidden="false" customHeight="true" outlineLevel="0" collapsed="false">
      <c r="A2175" s="6" t="s">
        <v>2110</v>
      </c>
      <c r="B2175" s="7" t="s">
        <v>2111</v>
      </c>
    </row>
    <row r="2177" customFormat="false" ht="12.75" hidden="false" customHeight="true" outlineLevel="0" collapsed="false">
      <c r="A2177" s="6" t="s">
        <v>2112</v>
      </c>
      <c r="B2177" s="7" t="s">
        <v>2113</v>
      </c>
      <c r="C2177" s="6" t="s">
        <v>16</v>
      </c>
      <c r="D2177" s="9" t="n">
        <v>1115</v>
      </c>
      <c r="E2177" s="8" t="n">
        <v>2.26</v>
      </c>
      <c r="F2177" s="8" t="n">
        <v>2519.9</v>
      </c>
      <c r="G2177" s="8" t="n">
        <v>2.26</v>
      </c>
      <c r="H2177" s="8" t="n">
        <v>2519.9</v>
      </c>
    </row>
    <row r="2179" customFormat="false" ht="12.75" hidden="false" customHeight="true" outlineLevel="0" collapsed="false">
      <c r="A2179" s="6" t="s">
        <v>2114</v>
      </c>
      <c r="B2179" s="7" t="s">
        <v>2115</v>
      </c>
      <c r="C2179" s="6" t="s">
        <v>16</v>
      </c>
      <c r="D2179" s="9" t="n">
        <v>134</v>
      </c>
      <c r="E2179" s="8" t="n">
        <v>2.44</v>
      </c>
      <c r="F2179" s="8" t="n">
        <v>326.96</v>
      </c>
      <c r="G2179" s="8" t="n">
        <v>2.44</v>
      </c>
      <c r="H2179" s="8" t="n">
        <v>326.96</v>
      </c>
    </row>
    <row r="2181" customFormat="false" ht="12.75" hidden="false" customHeight="true" outlineLevel="0" collapsed="false">
      <c r="A2181" s="6" t="s">
        <v>2116</v>
      </c>
      <c r="B2181" s="7" t="s">
        <v>2117</v>
      </c>
      <c r="C2181" s="6" t="s">
        <v>16</v>
      </c>
      <c r="D2181" s="9" t="n">
        <v>22</v>
      </c>
      <c r="E2181" s="8" t="n">
        <v>2.65</v>
      </c>
      <c r="F2181" s="8" t="n">
        <v>58.3</v>
      </c>
      <c r="G2181" s="8" t="n">
        <v>2.65</v>
      </c>
      <c r="H2181" s="8" t="n">
        <v>58.3</v>
      </c>
    </row>
    <row r="2183" customFormat="false" ht="89.25" hidden="false" customHeight="true" outlineLevel="0" collapsed="false">
      <c r="A2183" s="6" t="s">
        <v>2118</v>
      </c>
      <c r="B2183" s="7" t="s">
        <v>2119</v>
      </c>
    </row>
    <row r="2185" customFormat="false" ht="25.5" hidden="false" customHeight="true" outlineLevel="0" collapsed="false">
      <c r="A2185" s="6" t="s">
        <v>2120</v>
      </c>
      <c r="B2185" s="7" t="s">
        <v>2121</v>
      </c>
      <c r="C2185" s="6" t="s">
        <v>922</v>
      </c>
      <c r="D2185" s="9" t="n">
        <v>20</v>
      </c>
      <c r="E2185" s="8" t="n">
        <v>2.52</v>
      </c>
      <c r="F2185" s="8" t="n">
        <v>50.4</v>
      </c>
      <c r="G2185" s="8" t="n">
        <v>2.52</v>
      </c>
      <c r="H2185" s="8" t="n">
        <v>50.4</v>
      </c>
    </row>
    <row r="2187" customFormat="false" ht="12.75" hidden="false" customHeight="true" outlineLevel="0" collapsed="false">
      <c r="A2187" s="6" t="s">
        <v>2122</v>
      </c>
      <c r="B2187" s="7" t="s">
        <v>2123</v>
      </c>
      <c r="C2187" s="6" t="s">
        <v>922</v>
      </c>
      <c r="D2187" s="9" t="n">
        <v>121</v>
      </c>
      <c r="E2187" s="8" t="n">
        <v>4.53</v>
      </c>
      <c r="F2187" s="8" t="n">
        <v>548.13</v>
      </c>
      <c r="G2187" s="8" t="n">
        <v>4.53</v>
      </c>
      <c r="H2187" s="8" t="n">
        <v>548.13</v>
      </c>
    </row>
    <row r="2189" customFormat="false" ht="25.5" hidden="false" customHeight="true" outlineLevel="0" collapsed="false">
      <c r="A2189" s="6" t="s">
        <v>2124</v>
      </c>
      <c r="B2189" s="7" t="s">
        <v>2125</v>
      </c>
      <c r="C2189" s="6" t="s">
        <v>922</v>
      </c>
      <c r="D2189" s="9" t="n">
        <v>20</v>
      </c>
      <c r="E2189" s="8" t="n">
        <v>7.23</v>
      </c>
      <c r="F2189" s="8" t="n">
        <v>144.6</v>
      </c>
      <c r="G2189" s="8" t="n">
        <v>7.23</v>
      </c>
      <c r="H2189" s="8" t="n">
        <v>144.6</v>
      </c>
    </row>
    <row r="2191" customFormat="false" ht="51" hidden="false" customHeight="true" outlineLevel="0" collapsed="false">
      <c r="A2191" s="6" t="s">
        <v>2126</v>
      </c>
      <c r="B2191" s="7" t="s">
        <v>2127</v>
      </c>
      <c r="C2191" s="6" t="s">
        <v>922</v>
      </c>
      <c r="D2191" s="9" t="n">
        <v>146</v>
      </c>
      <c r="E2191" s="8" t="n">
        <v>4.58</v>
      </c>
      <c r="F2191" s="8" t="n">
        <v>668.68</v>
      </c>
      <c r="G2191" s="8" t="n">
        <v>4.58</v>
      </c>
      <c r="H2191" s="8" t="n">
        <v>668.68</v>
      </c>
    </row>
    <row r="2193" customFormat="false" ht="51" hidden="false" customHeight="true" outlineLevel="0" collapsed="false">
      <c r="A2193" s="6" t="s">
        <v>2128</v>
      </c>
      <c r="B2193" s="7" t="s">
        <v>2129</v>
      </c>
      <c r="C2193" s="6" t="s">
        <v>922</v>
      </c>
      <c r="D2193" s="9" t="n">
        <v>470</v>
      </c>
      <c r="E2193" s="8" t="n">
        <v>5.84</v>
      </c>
      <c r="F2193" s="8" t="n">
        <v>2744.8</v>
      </c>
      <c r="G2193" s="8" t="n">
        <v>5.84</v>
      </c>
      <c r="H2193" s="8" t="n">
        <v>2744.8</v>
      </c>
    </row>
    <row r="2195" customFormat="false" ht="76.5" hidden="false" customHeight="true" outlineLevel="0" collapsed="false">
      <c r="A2195" s="6" t="s">
        <v>2130</v>
      </c>
      <c r="B2195" s="7" t="s">
        <v>2131</v>
      </c>
      <c r="C2195" s="6" t="s">
        <v>922</v>
      </c>
      <c r="D2195" s="9" t="n">
        <v>780</v>
      </c>
      <c r="E2195" s="8" t="n">
        <v>2.26</v>
      </c>
      <c r="F2195" s="8" t="n">
        <v>1762.8</v>
      </c>
      <c r="G2195" s="8" t="n">
        <v>2.26</v>
      </c>
      <c r="H2195" s="8" t="n">
        <v>1762.8</v>
      </c>
    </row>
    <row r="2197" customFormat="false" ht="38.25" hidden="false" customHeight="true" outlineLevel="0" collapsed="false">
      <c r="A2197" s="6" t="s">
        <v>2132</v>
      </c>
      <c r="B2197" s="7" t="s">
        <v>2133</v>
      </c>
      <c r="C2197" s="6" t="s">
        <v>16</v>
      </c>
      <c r="D2197" s="9" t="n">
        <v>1</v>
      </c>
      <c r="E2197" s="8" t="n">
        <v>16.39</v>
      </c>
      <c r="F2197" s="8" t="n">
        <v>16.39</v>
      </c>
      <c r="G2197" s="8" t="n">
        <v>16.39</v>
      </c>
      <c r="H2197" s="8" t="n">
        <v>16.39</v>
      </c>
      <c r="I2197" s="10" t="s">
        <v>192</v>
      </c>
      <c r="J2197" s="11" t="s">
        <v>18</v>
      </c>
      <c r="K2197" s="10" t="s">
        <v>2134</v>
      </c>
    </row>
    <row r="2199" customFormat="false" ht="38.25" hidden="false" customHeight="true" outlineLevel="0" collapsed="false">
      <c r="A2199" s="6" t="s">
        <v>2135</v>
      </c>
      <c r="B2199" s="7" t="s">
        <v>2136</v>
      </c>
      <c r="C2199" s="6" t="s">
        <v>16</v>
      </c>
      <c r="D2199" s="9" t="n">
        <v>1</v>
      </c>
      <c r="E2199" s="8" t="n">
        <v>111.48</v>
      </c>
      <c r="F2199" s="8" t="n">
        <v>111.48</v>
      </c>
      <c r="G2199" s="8" t="n">
        <v>111.48</v>
      </c>
      <c r="H2199" s="8" t="n">
        <v>111.48</v>
      </c>
    </row>
    <row r="2201" customFormat="false" ht="25.5" hidden="false" customHeight="true" outlineLevel="0" collapsed="false">
      <c r="A2201" s="6" t="s">
        <v>2137</v>
      </c>
      <c r="B2201" s="7" t="s">
        <v>2138</v>
      </c>
      <c r="C2201" s="6" t="s">
        <v>16</v>
      </c>
      <c r="D2201" s="9" t="n">
        <v>1</v>
      </c>
      <c r="E2201" s="8" t="n">
        <v>1313.81</v>
      </c>
      <c r="F2201" s="8" t="n">
        <v>1313.81</v>
      </c>
      <c r="G2201" s="8" t="n">
        <v>1313.81</v>
      </c>
      <c r="H2201" s="8" t="n">
        <v>1313.81</v>
      </c>
      <c r="I2201" s="14" t="s">
        <v>4</v>
      </c>
      <c r="J2201" s="15" t="s">
        <v>31</v>
      </c>
      <c r="K2201" s="14" t="s">
        <v>2139</v>
      </c>
    </row>
    <row r="2203" customFormat="false" ht="25.5" hidden="false" customHeight="true" outlineLevel="0" collapsed="false">
      <c r="A2203" s="6" t="s">
        <v>2140</v>
      </c>
      <c r="B2203" s="7" t="s">
        <v>2141</v>
      </c>
      <c r="C2203" s="6" t="s">
        <v>16</v>
      </c>
      <c r="D2203" s="9" t="n">
        <v>1</v>
      </c>
      <c r="E2203" s="8" t="n">
        <v>1313.81</v>
      </c>
      <c r="F2203" s="8" t="n">
        <v>1313.81</v>
      </c>
      <c r="G2203" s="8" t="n">
        <v>1313.81</v>
      </c>
      <c r="H2203" s="8" t="n">
        <v>1313.81</v>
      </c>
    </row>
    <row r="2205" customFormat="false" ht="25.5" hidden="false" customHeight="true" outlineLevel="0" collapsed="false">
      <c r="A2205" s="6" t="s">
        <v>2142</v>
      </c>
      <c r="B2205" s="7" t="s">
        <v>2143</v>
      </c>
      <c r="C2205" s="6" t="s">
        <v>16</v>
      </c>
      <c r="D2205" s="9" t="n">
        <v>1</v>
      </c>
      <c r="E2205" s="8" t="n">
        <v>1313.81</v>
      </c>
      <c r="F2205" s="8" t="n">
        <v>1313.81</v>
      </c>
      <c r="G2205" s="8" t="n">
        <v>1313.81</v>
      </c>
      <c r="H2205" s="8" t="n">
        <v>1313.81</v>
      </c>
    </row>
    <row r="2207" customFormat="false" ht="12.75" hidden="false" customHeight="true" outlineLevel="0" collapsed="false">
      <c r="A2207" s="6" t="s">
        <v>2144</v>
      </c>
      <c r="B2207" s="7" t="s">
        <v>2145</v>
      </c>
      <c r="F2207" s="8" t="n">
        <v>31350</v>
      </c>
      <c r="H2207" s="8" t="n">
        <v>31350</v>
      </c>
    </row>
    <row r="2209" customFormat="false" ht="102" hidden="false" customHeight="true" outlineLevel="0" collapsed="false">
      <c r="A2209" s="6" t="s">
        <v>2146</v>
      </c>
      <c r="B2209" s="7" t="s">
        <v>2147</v>
      </c>
      <c r="C2209" s="6" t="s">
        <v>16</v>
      </c>
      <c r="D2209" s="9" t="n">
        <v>1</v>
      </c>
      <c r="E2209" s="8" t="n">
        <v>29950</v>
      </c>
      <c r="F2209" s="8" t="n">
        <v>29950</v>
      </c>
      <c r="G2209" s="8" t="n">
        <v>29950</v>
      </c>
      <c r="H2209" s="8" t="n">
        <v>29950</v>
      </c>
      <c r="I2209" s="14" t="s">
        <v>91</v>
      </c>
      <c r="J2209" s="15" t="s">
        <v>31</v>
      </c>
      <c r="K2209" s="14" t="s">
        <v>2148</v>
      </c>
    </row>
    <row r="2211" customFormat="false" ht="12.75" hidden="false" customHeight="true" outlineLevel="0" collapsed="false">
      <c r="A2211" s="6" t="s">
        <v>2149</v>
      </c>
      <c r="B2211" s="7" t="s">
        <v>1825</v>
      </c>
    </row>
    <row r="2213" customFormat="false" ht="12.75" hidden="false" customHeight="true" outlineLevel="0" collapsed="false">
      <c r="A2213" s="6" t="s">
        <v>2150</v>
      </c>
      <c r="B2213" s="7" t="s">
        <v>1631</v>
      </c>
      <c r="C2213" s="6" t="s">
        <v>16</v>
      </c>
      <c r="D2213" s="9" t="n">
        <v>1</v>
      </c>
      <c r="E2213" s="8" t="n">
        <v>500</v>
      </c>
      <c r="F2213" s="8" t="n">
        <v>500</v>
      </c>
      <c r="G2213" s="8" t="n">
        <v>500</v>
      </c>
      <c r="H2213" s="8" t="n">
        <v>500</v>
      </c>
    </row>
    <row r="2215" customFormat="false" ht="12.75" hidden="false" customHeight="true" outlineLevel="0" collapsed="false">
      <c r="A2215" s="6" t="s">
        <v>2151</v>
      </c>
      <c r="B2215" s="7" t="s">
        <v>1634</v>
      </c>
      <c r="C2215" s="6" t="s">
        <v>16</v>
      </c>
      <c r="D2215" s="9" t="n">
        <v>1</v>
      </c>
      <c r="E2215" s="8" t="n">
        <v>500</v>
      </c>
      <c r="F2215" s="8" t="n">
        <v>500</v>
      </c>
      <c r="G2215" s="8" t="n">
        <v>500</v>
      </c>
      <c r="H2215" s="8" t="n">
        <v>500</v>
      </c>
    </row>
    <row r="2217" customFormat="false" ht="25.5" hidden="false" customHeight="true" outlineLevel="0" collapsed="false">
      <c r="A2217" s="6" t="s">
        <v>2152</v>
      </c>
      <c r="B2217" s="7" t="s">
        <v>1636</v>
      </c>
    </row>
    <row r="2219" customFormat="false" ht="25.5" hidden="false" customHeight="true" outlineLevel="0" collapsed="false">
      <c r="A2219" s="6" t="s">
        <v>2153</v>
      </c>
      <c r="B2219" s="7" t="s">
        <v>1638</v>
      </c>
      <c r="C2219" s="6" t="s">
        <v>16</v>
      </c>
      <c r="D2219" s="9" t="n">
        <v>1</v>
      </c>
      <c r="E2219" s="8" t="n">
        <v>200</v>
      </c>
      <c r="F2219" s="8" t="n">
        <v>200</v>
      </c>
      <c r="G2219" s="8" t="n">
        <v>200</v>
      </c>
      <c r="H2219" s="8" t="n">
        <v>200</v>
      </c>
    </row>
    <row r="2221" customFormat="false" ht="25.5" hidden="false" customHeight="true" outlineLevel="0" collapsed="false">
      <c r="A2221" s="6" t="s">
        <v>2154</v>
      </c>
      <c r="B2221" s="7" t="s">
        <v>1641</v>
      </c>
      <c r="C2221" s="6" t="s">
        <v>16</v>
      </c>
      <c r="D2221" s="9" t="n">
        <v>1</v>
      </c>
      <c r="E2221" s="8" t="n">
        <v>200</v>
      </c>
      <c r="F2221" s="8" t="n">
        <v>200</v>
      </c>
      <c r="G2221" s="8" t="n">
        <v>200</v>
      </c>
      <c r="H2221" s="8" t="n">
        <v>200</v>
      </c>
    </row>
    <row r="2223" customFormat="false" ht="12.75" hidden="false" customHeight="true" outlineLevel="0" collapsed="false">
      <c r="A2223" s="6" t="s">
        <v>2155</v>
      </c>
      <c r="B2223" s="7" t="s">
        <v>2156</v>
      </c>
      <c r="F2223" s="8" t="n">
        <v>65465</v>
      </c>
      <c r="H2223" s="8" t="n">
        <v>65465</v>
      </c>
      <c r="I2223" s="12" t="s">
        <v>91</v>
      </c>
      <c r="J2223" s="13" t="s">
        <v>23</v>
      </c>
      <c r="K2223" s="12" t="s">
        <v>2157</v>
      </c>
    </row>
    <row r="2225" customFormat="false" ht="12.75" hidden="false" customHeight="true" outlineLevel="0" collapsed="false">
      <c r="A2225" s="6" t="s">
        <v>2158</v>
      </c>
      <c r="B2225" s="7" t="s">
        <v>13</v>
      </c>
      <c r="F2225" s="8" t="n">
        <v>14102</v>
      </c>
      <c r="H2225" s="8" t="n">
        <v>14102</v>
      </c>
    </row>
    <row r="2227" customFormat="false" ht="204" hidden="false" customHeight="true" outlineLevel="0" collapsed="false">
      <c r="A2227" s="6" t="s">
        <v>2159</v>
      </c>
      <c r="B2227" s="7" t="s">
        <v>2160</v>
      </c>
      <c r="C2227" s="6" t="s">
        <v>61</v>
      </c>
      <c r="D2227" s="9" t="n">
        <v>450</v>
      </c>
      <c r="E2227" s="8" t="n">
        <v>15</v>
      </c>
      <c r="F2227" s="8" t="n">
        <v>6750</v>
      </c>
      <c r="G2227" s="8" t="n">
        <v>15</v>
      </c>
      <c r="H2227" s="8" t="n">
        <v>6750</v>
      </c>
    </row>
    <row r="2229" customFormat="false" ht="89.25" hidden="false" customHeight="true" outlineLevel="0" collapsed="false">
      <c r="A2229" s="6" t="s">
        <v>2161</v>
      </c>
      <c r="B2229" s="7" t="s">
        <v>2162</v>
      </c>
      <c r="C2229" s="6" t="s">
        <v>16</v>
      </c>
      <c r="D2229" s="9" t="n">
        <v>20</v>
      </c>
      <c r="E2229" s="8" t="n">
        <v>175</v>
      </c>
      <c r="F2229" s="8" t="n">
        <v>3500</v>
      </c>
      <c r="G2229" s="8" t="n">
        <v>175</v>
      </c>
      <c r="H2229" s="8" t="n">
        <v>3500</v>
      </c>
    </row>
    <row r="2232" customFormat="false" ht="127.5" hidden="false" customHeight="true" outlineLevel="0" collapsed="false">
      <c r="A2232" s="6" t="s">
        <v>2163</v>
      </c>
      <c r="B2232" s="7" t="s">
        <v>2164</v>
      </c>
      <c r="C2232" s="6" t="s">
        <v>16</v>
      </c>
      <c r="D2232" s="9" t="n">
        <v>2</v>
      </c>
      <c r="E2232" s="8" t="n">
        <v>150</v>
      </c>
      <c r="F2232" s="8" t="n">
        <v>300</v>
      </c>
      <c r="G2232" s="8" t="n">
        <v>150</v>
      </c>
      <c r="H2232" s="8" t="n">
        <v>300</v>
      </c>
    </row>
    <row r="2234" customFormat="false" ht="178.5" hidden="false" customHeight="true" outlineLevel="0" collapsed="false">
      <c r="A2234" s="6" t="s">
        <v>2165</v>
      </c>
      <c r="B2234" s="7" t="s">
        <v>2166</v>
      </c>
      <c r="C2234" s="6" t="s">
        <v>86</v>
      </c>
      <c r="D2234" s="9" t="n">
        <v>3552</v>
      </c>
      <c r="E2234" s="8" t="n">
        <v>1</v>
      </c>
      <c r="F2234" s="8" t="n">
        <v>3552</v>
      </c>
      <c r="G2234" s="8" t="n">
        <v>1</v>
      </c>
      <c r="H2234" s="8" t="n">
        <v>3552</v>
      </c>
    </row>
    <row r="2236" customFormat="false" ht="25.5" hidden="false" customHeight="true" outlineLevel="0" collapsed="false">
      <c r="A2236" s="6" t="s">
        <v>2167</v>
      </c>
      <c r="B2236" s="7" t="s">
        <v>2168</v>
      </c>
      <c r="F2236" s="8" t="n">
        <v>16544</v>
      </c>
      <c r="H2236" s="8" t="n">
        <v>16544</v>
      </c>
    </row>
    <row r="2238" customFormat="false" ht="127.5" hidden="false" customHeight="true" outlineLevel="0" collapsed="false">
      <c r="A2238" s="6" t="s">
        <v>2169</v>
      </c>
      <c r="B2238" s="7" t="s">
        <v>2170</v>
      </c>
      <c r="C2238" s="6" t="s">
        <v>44</v>
      </c>
      <c r="D2238" s="9" t="n">
        <v>888</v>
      </c>
      <c r="E2238" s="8" t="n">
        <v>16</v>
      </c>
      <c r="F2238" s="8" t="n">
        <v>14208</v>
      </c>
      <c r="G2238" s="8" t="n">
        <v>16</v>
      </c>
      <c r="H2238" s="8" t="n">
        <v>14208</v>
      </c>
    </row>
    <row r="2240" customFormat="false" ht="89.25" hidden="false" customHeight="true" outlineLevel="0" collapsed="false">
      <c r="A2240" s="6" t="s">
        <v>2171</v>
      </c>
      <c r="B2240" s="7" t="s">
        <v>2172</v>
      </c>
      <c r="C2240" s="6" t="s">
        <v>44</v>
      </c>
      <c r="D2240" s="9" t="n">
        <v>146</v>
      </c>
      <c r="E2240" s="8" t="n">
        <v>16</v>
      </c>
      <c r="F2240" s="8" t="n">
        <v>2336</v>
      </c>
      <c r="G2240" s="8" t="n">
        <v>16</v>
      </c>
      <c r="H2240" s="8" t="n">
        <v>2336</v>
      </c>
      <c r="I2240" s="14" t="s">
        <v>62</v>
      </c>
      <c r="J2240" s="15" t="s">
        <v>31</v>
      </c>
      <c r="K2240" s="14" t="s">
        <v>2173</v>
      </c>
    </row>
    <row r="2242" customFormat="false" ht="12.75" hidden="false" customHeight="true" outlineLevel="0" collapsed="false">
      <c r="A2242" s="6" t="s">
        <v>2174</v>
      </c>
      <c r="B2242" s="7" t="s">
        <v>2175</v>
      </c>
      <c r="F2242" s="8" t="n">
        <v>9920</v>
      </c>
      <c r="H2242" s="8" t="n">
        <v>9920</v>
      </c>
    </row>
    <row r="2244" customFormat="false" ht="293.25" hidden="false" customHeight="true" outlineLevel="0" collapsed="false">
      <c r="A2244" s="6" t="s">
        <v>2176</v>
      </c>
      <c r="B2244" s="7" t="s">
        <v>2177</v>
      </c>
      <c r="C2244" s="6" t="s">
        <v>16</v>
      </c>
      <c r="D2244" s="9" t="n">
        <v>15</v>
      </c>
      <c r="E2244" s="8" t="n">
        <v>120</v>
      </c>
      <c r="F2244" s="8" t="n">
        <v>1800</v>
      </c>
      <c r="G2244" s="8" t="n">
        <v>120</v>
      </c>
      <c r="H2244" s="8" t="n">
        <v>1800</v>
      </c>
      <c r="I2244" s="14" t="s">
        <v>22</v>
      </c>
      <c r="J2244" s="15" t="s">
        <v>31</v>
      </c>
      <c r="K2244" s="14" t="s">
        <v>2178</v>
      </c>
    </row>
    <row r="2246" customFormat="false" ht="306" hidden="false" customHeight="true" outlineLevel="0" collapsed="false">
      <c r="A2246" s="6" t="s">
        <v>2179</v>
      </c>
      <c r="B2246" s="7" t="s">
        <v>2180</v>
      </c>
      <c r="C2246" s="6" t="s">
        <v>16</v>
      </c>
      <c r="D2246" s="9" t="n">
        <v>15</v>
      </c>
      <c r="E2246" s="8" t="n">
        <v>120</v>
      </c>
      <c r="F2246" s="8" t="n">
        <v>1800</v>
      </c>
      <c r="G2246" s="8" t="n">
        <v>120</v>
      </c>
      <c r="H2246" s="8" t="n">
        <v>1800</v>
      </c>
    </row>
    <row r="2249" customFormat="false" ht="306" hidden="false" customHeight="true" outlineLevel="0" collapsed="false">
      <c r="A2249" s="6" t="s">
        <v>2181</v>
      </c>
      <c r="B2249" s="7" t="s">
        <v>2182</v>
      </c>
      <c r="C2249" s="6" t="s">
        <v>16</v>
      </c>
      <c r="D2249" s="9" t="n">
        <v>1</v>
      </c>
      <c r="E2249" s="8" t="n">
        <v>150</v>
      </c>
      <c r="F2249" s="8" t="n">
        <v>150</v>
      </c>
      <c r="G2249" s="8" t="n">
        <v>150</v>
      </c>
      <c r="H2249" s="8" t="n">
        <v>150</v>
      </c>
    </row>
    <row r="2251" customFormat="false" ht="280.5" hidden="false" customHeight="true" outlineLevel="0" collapsed="false">
      <c r="A2251" s="6" t="s">
        <v>2183</v>
      </c>
      <c r="B2251" s="7" t="s">
        <v>2184</v>
      </c>
      <c r="C2251" s="6" t="s">
        <v>16</v>
      </c>
      <c r="D2251" s="9" t="n">
        <v>10</v>
      </c>
      <c r="E2251" s="8" t="n">
        <v>150</v>
      </c>
      <c r="F2251" s="8" t="n">
        <v>1500</v>
      </c>
      <c r="G2251" s="8" t="n">
        <v>150</v>
      </c>
      <c r="H2251" s="8" t="n">
        <v>1500</v>
      </c>
    </row>
    <row r="2253" customFormat="false" ht="306" hidden="false" customHeight="true" outlineLevel="0" collapsed="false">
      <c r="A2253" s="6" t="s">
        <v>2185</v>
      </c>
      <c r="B2253" s="7" t="s">
        <v>2186</v>
      </c>
      <c r="C2253" s="6" t="s">
        <v>16</v>
      </c>
      <c r="D2253" s="9" t="n">
        <v>5</v>
      </c>
      <c r="E2253" s="8" t="n">
        <v>120</v>
      </c>
      <c r="F2253" s="8" t="n">
        <v>600</v>
      </c>
      <c r="G2253" s="8" t="n">
        <v>120</v>
      </c>
      <c r="H2253" s="8" t="n">
        <v>600</v>
      </c>
    </row>
    <row r="2255" customFormat="false" ht="280.5" hidden="false" customHeight="true" outlineLevel="0" collapsed="false">
      <c r="A2255" s="6" t="s">
        <v>2187</v>
      </c>
      <c r="B2255" s="7" t="s">
        <v>2188</v>
      </c>
      <c r="C2255" s="6" t="s">
        <v>16</v>
      </c>
      <c r="D2255" s="9" t="n">
        <v>13</v>
      </c>
      <c r="E2255" s="8" t="n">
        <v>130</v>
      </c>
      <c r="F2255" s="8" t="n">
        <v>1690</v>
      </c>
      <c r="G2255" s="8" t="n">
        <v>130</v>
      </c>
      <c r="H2255" s="8" t="n">
        <v>1690</v>
      </c>
    </row>
    <row r="2258" customFormat="false" ht="306" hidden="false" customHeight="true" outlineLevel="0" collapsed="false">
      <c r="A2258" s="6" t="s">
        <v>2189</v>
      </c>
      <c r="B2258" s="7" t="s">
        <v>2190</v>
      </c>
      <c r="C2258" s="6" t="s">
        <v>16</v>
      </c>
      <c r="D2258" s="9" t="n">
        <v>7</v>
      </c>
      <c r="E2258" s="8" t="n">
        <v>120</v>
      </c>
      <c r="F2258" s="8" t="n">
        <v>840</v>
      </c>
      <c r="G2258" s="8" t="n">
        <v>120</v>
      </c>
      <c r="H2258" s="8" t="n">
        <v>840</v>
      </c>
    </row>
    <row r="2260" customFormat="false" ht="280.5" hidden="false" customHeight="true" outlineLevel="0" collapsed="false">
      <c r="A2260" s="6" t="s">
        <v>2191</v>
      </c>
      <c r="B2260" s="7" t="s">
        <v>2192</v>
      </c>
      <c r="C2260" s="6" t="s">
        <v>16</v>
      </c>
      <c r="D2260" s="9" t="n">
        <v>14</v>
      </c>
      <c r="E2260" s="8" t="n">
        <v>110</v>
      </c>
      <c r="F2260" s="8" t="n">
        <v>1540</v>
      </c>
      <c r="G2260" s="8" t="n">
        <v>110</v>
      </c>
      <c r="H2260" s="8" t="n">
        <v>1540</v>
      </c>
    </row>
    <row r="2262" customFormat="false" ht="12.75" hidden="false" customHeight="true" outlineLevel="0" collapsed="false">
      <c r="A2262" s="6" t="s">
        <v>2193</v>
      </c>
      <c r="B2262" s="7" t="s">
        <v>2194</v>
      </c>
      <c r="F2262" s="8" t="n">
        <v>8915</v>
      </c>
      <c r="H2262" s="8" t="n">
        <v>8915</v>
      </c>
    </row>
    <row r="2264" customFormat="false" ht="140.25" hidden="false" customHeight="true" outlineLevel="0" collapsed="false">
      <c r="A2264" s="6" t="s">
        <v>2195</v>
      </c>
      <c r="B2264" s="7" t="s">
        <v>2196</v>
      </c>
      <c r="C2264" s="6" t="s">
        <v>16</v>
      </c>
      <c r="D2264" s="9" t="n">
        <v>35</v>
      </c>
      <c r="E2264" s="8" t="n">
        <v>10</v>
      </c>
      <c r="F2264" s="8" t="n">
        <v>350</v>
      </c>
      <c r="G2264" s="8" t="n">
        <v>10</v>
      </c>
      <c r="H2264" s="8" t="n">
        <v>350</v>
      </c>
    </row>
    <row r="2266" customFormat="false" ht="140.25" hidden="false" customHeight="true" outlineLevel="0" collapsed="false">
      <c r="A2266" s="6" t="s">
        <v>2197</v>
      </c>
      <c r="B2266" s="7" t="s">
        <v>2198</v>
      </c>
      <c r="C2266" s="6" t="s">
        <v>16</v>
      </c>
      <c r="D2266" s="9" t="n">
        <v>24</v>
      </c>
      <c r="E2266" s="8" t="n">
        <v>7.5</v>
      </c>
      <c r="F2266" s="8" t="n">
        <v>180</v>
      </c>
      <c r="G2266" s="8" t="n">
        <v>7.5</v>
      </c>
      <c r="H2266" s="8" t="n">
        <v>180</v>
      </c>
    </row>
    <row r="2268" customFormat="false" ht="153" hidden="false" customHeight="true" outlineLevel="0" collapsed="false">
      <c r="A2268" s="6" t="s">
        <v>2199</v>
      </c>
      <c r="B2268" s="7" t="s">
        <v>2200</v>
      </c>
      <c r="C2268" s="6" t="s">
        <v>16</v>
      </c>
      <c r="D2268" s="9" t="n">
        <v>20</v>
      </c>
      <c r="E2268" s="8" t="n">
        <v>5</v>
      </c>
      <c r="F2268" s="8" t="n">
        <v>100</v>
      </c>
      <c r="G2268" s="8" t="n">
        <v>5</v>
      </c>
      <c r="H2268" s="8" t="n">
        <v>100</v>
      </c>
    </row>
    <row r="2270" customFormat="false" ht="153" hidden="false" customHeight="true" outlineLevel="0" collapsed="false">
      <c r="A2270" s="6" t="s">
        <v>2201</v>
      </c>
      <c r="B2270" s="7" t="s">
        <v>2202</v>
      </c>
      <c r="C2270" s="6" t="s">
        <v>16</v>
      </c>
      <c r="D2270" s="9" t="n">
        <v>345</v>
      </c>
      <c r="E2270" s="8" t="n">
        <v>2.5</v>
      </c>
      <c r="F2270" s="8" t="n">
        <v>862.5</v>
      </c>
      <c r="G2270" s="8" t="n">
        <v>2.5</v>
      </c>
      <c r="H2270" s="8" t="n">
        <v>862.5</v>
      </c>
    </row>
    <row r="2273" customFormat="false" ht="153" hidden="false" customHeight="true" outlineLevel="0" collapsed="false">
      <c r="A2273" s="6" t="s">
        <v>2203</v>
      </c>
      <c r="B2273" s="7" t="s">
        <v>2204</v>
      </c>
      <c r="C2273" s="6" t="s">
        <v>16</v>
      </c>
      <c r="D2273" s="9" t="n">
        <v>84</v>
      </c>
      <c r="E2273" s="8" t="n">
        <v>3.5</v>
      </c>
      <c r="F2273" s="8" t="n">
        <v>294</v>
      </c>
      <c r="G2273" s="8" t="n">
        <v>3.5</v>
      </c>
      <c r="H2273" s="8" t="n">
        <v>294</v>
      </c>
    </row>
    <row r="2275" customFormat="false" ht="153" hidden="false" customHeight="true" outlineLevel="0" collapsed="false">
      <c r="A2275" s="6" t="s">
        <v>2205</v>
      </c>
      <c r="B2275" s="7" t="s">
        <v>2206</v>
      </c>
      <c r="C2275" s="6" t="s">
        <v>16</v>
      </c>
      <c r="D2275" s="9" t="n">
        <v>222</v>
      </c>
      <c r="E2275" s="8" t="n">
        <v>3.5</v>
      </c>
      <c r="F2275" s="8" t="n">
        <v>777</v>
      </c>
      <c r="G2275" s="8" t="n">
        <v>3.5</v>
      </c>
      <c r="H2275" s="8" t="n">
        <v>777</v>
      </c>
    </row>
    <row r="2277" customFormat="false" ht="153" hidden="false" customHeight="true" outlineLevel="0" collapsed="false">
      <c r="A2277" s="6" t="s">
        <v>2207</v>
      </c>
      <c r="B2277" s="7" t="s">
        <v>2208</v>
      </c>
      <c r="C2277" s="6" t="s">
        <v>16</v>
      </c>
      <c r="D2277" s="9" t="n">
        <v>225</v>
      </c>
      <c r="E2277" s="8" t="n">
        <v>3.5</v>
      </c>
      <c r="F2277" s="8" t="n">
        <v>787.5</v>
      </c>
      <c r="G2277" s="8" t="n">
        <v>3.5</v>
      </c>
      <c r="H2277" s="8" t="n">
        <v>787.5</v>
      </c>
    </row>
    <row r="2279" customFormat="false" ht="153" hidden="false" customHeight="true" outlineLevel="0" collapsed="false">
      <c r="A2279" s="6" t="s">
        <v>2209</v>
      </c>
      <c r="B2279" s="7" t="s">
        <v>2210</v>
      </c>
      <c r="C2279" s="6" t="s">
        <v>16</v>
      </c>
      <c r="D2279" s="9" t="n">
        <v>112</v>
      </c>
      <c r="E2279" s="8" t="n">
        <v>3.5</v>
      </c>
      <c r="F2279" s="8" t="n">
        <v>392</v>
      </c>
      <c r="G2279" s="8" t="n">
        <v>3.5</v>
      </c>
      <c r="H2279" s="8" t="n">
        <v>392</v>
      </c>
    </row>
    <row r="2281" customFormat="false" ht="165.75" hidden="false" customHeight="true" outlineLevel="0" collapsed="false">
      <c r="A2281" s="6" t="s">
        <v>2211</v>
      </c>
      <c r="B2281" s="7" t="s">
        <v>2212</v>
      </c>
      <c r="C2281" s="6" t="s">
        <v>16</v>
      </c>
      <c r="D2281" s="9" t="n">
        <v>718</v>
      </c>
      <c r="E2281" s="8" t="n">
        <v>5.5</v>
      </c>
      <c r="F2281" s="8" t="n">
        <v>3949</v>
      </c>
      <c r="G2281" s="8" t="n">
        <v>5.5</v>
      </c>
      <c r="H2281" s="8" t="n">
        <v>3949</v>
      </c>
    </row>
    <row r="2283" customFormat="false" ht="153" hidden="false" customHeight="true" outlineLevel="0" collapsed="false">
      <c r="A2283" s="6" t="s">
        <v>2213</v>
      </c>
      <c r="B2283" s="7" t="s">
        <v>2214</v>
      </c>
      <c r="C2283" s="6" t="s">
        <v>16</v>
      </c>
      <c r="D2283" s="9" t="n">
        <v>141</v>
      </c>
      <c r="E2283" s="8" t="n">
        <v>3</v>
      </c>
      <c r="F2283" s="8" t="n">
        <v>423</v>
      </c>
      <c r="G2283" s="8" t="n">
        <v>3</v>
      </c>
      <c r="H2283" s="8" t="n">
        <v>423</v>
      </c>
    </row>
    <row r="2285" customFormat="false" ht="153" hidden="false" customHeight="true" outlineLevel="0" collapsed="false">
      <c r="A2285" s="6" t="s">
        <v>2215</v>
      </c>
      <c r="B2285" s="7" t="s">
        <v>2216</v>
      </c>
      <c r="C2285" s="6" t="s">
        <v>16</v>
      </c>
      <c r="D2285" s="9" t="n">
        <v>158</v>
      </c>
      <c r="E2285" s="8" t="n">
        <v>3</v>
      </c>
      <c r="F2285" s="8" t="n">
        <v>474</v>
      </c>
      <c r="G2285" s="8" t="n">
        <v>3</v>
      </c>
      <c r="H2285" s="8" t="n">
        <v>474</v>
      </c>
    </row>
    <row r="2287" customFormat="false" ht="140.25" hidden="false" customHeight="true" outlineLevel="0" collapsed="false">
      <c r="A2287" s="6" t="s">
        <v>2217</v>
      </c>
      <c r="B2287" s="7" t="s">
        <v>2218</v>
      </c>
      <c r="C2287" s="6" t="s">
        <v>16</v>
      </c>
      <c r="D2287" s="9" t="n">
        <v>31</v>
      </c>
      <c r="E2287" s="8" t="n">
        <v>6</v>
      </c>
      <c r="F2287" s="8" t="n">
        <v>186</v>
      </c>
      <c r="G2287" s="8" t="n">
        <v>6</v>
      </c>
      <c r="H2287" s="8" t="n">
        <v>186</v>
      </c>
    </row>
    <row r="2290" customFormat="false" ht="153" hidden="false" customHeight="true" outlineLevel="0" collapsed="false">
      <c r="A2290" s="6" t="s">
        <v>2219</v>
      </c>
      <c r="B2290" s="7" t="s">
        <v>2220</v>
      </c>
      <c r="C2290" s="6" t="s">
        <v>16</v>
      </c>
      <c r="D2290" s="9" t="n">
        <v>8</v>
      </c>
      <c r="E2290" s="8" t="n">
        <v>7</v>
      </c>
      <c r="F2290" s="8" t="n">
        <v>56</v>
      </c>
      <c r="G2290" s="8" t="n">
        <v>7</v>
      </c>
      <c r="H2290" s="8" t="n">
        <v>56</v>
      </c>
    </row>
    <row r="2292" customFormat="false" ht="153" hidden="false" customHeight="true" outlineLevel="0" collapsed="false">
      <c r="A2292" s="6" t="s">
        <v>2221</v>
      </c>
      <c r="B2292" s="7" t="s">
        <v>2222</v>
      </c>
      <c r="C2292" s="6" t="s">
        <v>16</v>
      </c>
      <c r="D2292" s="9" t="n">
        <v>14</v>
      </c>
      <c r="E2292" s="8" t="n">
        <v>6</v>
      </c>
      <c r="F2292" s="8" t="n">
        <v>84</v>
      </c>
      <c r="G2292" s="8" t="n">
        <v>6</v>
      </c>
      <c r="H2292" s="8" t="n">
        <v>84</v>
      </c>
    </row>
    <row r="2294" customFormat="false" ht="12.75" hidden="false" customHeight="true" outlineLevel="0" collapsed="false">
      <c r="A2294" s="6" t="s">
        <v>2223</v>
      </c>
      <c r="B2294" s="7" t="s">
        <v>2224</v>
      </c>
      <c r="F2294" s="8" t="n">
        <v>7975</v>
      </c>
      <c r="H2294" s="8" t="n">
        <v>7975</v>
      </c>
    </row>
    <row r="2296" customFormat="false" ht="153" hidden="false" customHeight="true" outlineLevel="0" collapsed="false">
      <c r="A2296" s="6" t="s">
        <v>2225</v>
      </c>
      <c r="B2296" s="7" t="s">
        <v>2226</v>
      </c>
      <c r="C2296" s="6" t="s">
        <v>86</v>
      </c>
      <c r="D2296" s="9" t="n">
        <v>622</v>
      </c>
      <c r="E2296" s="8" t="n">
        <v>2.5</v>
      </c>
      <c r="F2296" s="8" t="n">
        <v>1555</v>
      </c>
      <c r="G2296" s="8" t="n">
        <v>2.5</v>
      </c>
      <c r="H2296" s="8" t="n">
        <v>1555</v>
      </c>
    </row>
    <row r="2298" customFormat="false" ht="127.5" hidden="false" customHeight="true" outlineLevel="0" collapsed="false">
      <c r="A2298" s="6" t="s">
        <v>2227</v>
      </c>
      <c r="B2298" s="7" t="s">
        <v>2228</v>
      </c>
      <c r="C2298" s="6" t="s">
        <v>86</v>
      </c>
      <c r="D2298" s="9" t="n">
        <v>2568</v>
      </c>
      <c r="E2298" s="8" t="n">
        <v>2.5</v>
      </c>
      <c r="F2298" s="8" t="n">
        <v>6420</v>
      </c>
      <c r="G2298" s="8" t="n">
        <v>2.5</v>
      </c>
      <c r="H2298" s="8" t="n">
        <v>6420</v>
      </c>
    </row>
    <row r="2300" customFormat="false" ht="12.75" hidden="false" customHeight="true" outlineLevel="0" collapsed="false">
      <c r="A2300" s="6" t="s">
        <v>2229</v>
      </c>
      <c r="B2300" s="7" t="s">
        <v>225</v>
      </c>
      <c r="F2300" s="8" t="n">
        <v>8009</v>
      </c>
      <c r="H2300" s="8" t="n">
        <v>8009</v>
      </c>
    </row>
    <row r="2302" customFormat="false" ht="229.5" hidden="false" customHeight="true" outlineLevel="0" collapsed="false">
      <c r="A2302" s="6" t="s">
        <v>2230</v>
      </c>
      <c r="B2302" s="7" t="s">
        <v>2231</v>
      </c>
      <c r="C2302" s="6" t="s">
        <v>16</v>
      </c>
      <c r="D2302" s="9" t="n">
        <v>158</v>
      </c>
      <c r="E2302" s="8" t="n">
        <v>12.5</v>
      </c>
      <c r="F2302" s="8" t="n">
        <v>1975</v>
      </c>
      <c r="G2302" s="8" t="n">
        <v>12.5</v>
      </c>
      <c r="H2302" s="8" t="n">
        <v>1975</v>
      </c>
    </row>
    <row r="2304" customFormat="false" ht="102" hidden="false" customHeight="true" outlineLevel="0" collapsed="false">
      <c r="A2304" s="6" t="s">
        <v>2232</v>
      </c>
      <c r="B2304" s="7" t="s">
        <v>2233</v>
      </c>
      <c r="C2304" s="6" t="s">
        <v>44</v>
      </c>
      <c r="D2304" s="9" t="n">
        <v>37</v>
      </c>
      <c r="E2304" s="8" t="n">
        <v>80</v>
      </c>
      <c r="F2304" s="8" t="n">
        <v>2960</v>
      </c>
      <c r="G2304" s="8" t="n">
        <v>80</v>
      </c>
      <c r="H2304" s="8" t="n">
        <v>2960</v>
      </c>
    </row>
    <row r="2306" customFormat="false" ht="140.25" hidden="false" customHeight="true" outlineLevel="0" collapsed="false">
      <c r="A2306" s="6" t="s">
        <v>2234</v>
      </c>
      <c r="B2306" s="7" t="s">
        <v>2235</v>
      </c>
      <c r="C2306" s="6" t="s">
        <v>16</v>
      </c>
      <c r="D2306" s="9" t="n">
        <v>65</v>
      </c>
      <c r="E2306" s="8" t="n">
        <v>2</v>
      </c>
      <c r="F2306" s="8" t="n">
        <v>130</v>
      </c>
      <c r="G2306" s="8" t="n">
        <v>2</v>
      </c>
      <c r="H2306" s="8" t="n">
        <v>130</v>
      </c>
    </row>
    <row r="2308" customFormat="false" ht="127.5" hidden="false" customHeight="true" outlineLevel="0" collapsed="false">
      <c r="A2308" s="6" t="s">
        <v>2236</v>
      </c>
      <c r="B2308" s="7" t="s">
        <v>2237</v>
      </c>
      <c r="C2308" s="6" t="s">
        <v>86</v>
      </c>
      <c r="D2308" s="9" t="n">
        <v>368</v>
      </c>
      <c r="E2308" s="8" t="n">
        <v>8</v>
      </c>
      <c r="F2308" s="8" t="n">
        <v>2944</v>
      </c>
      <c r="G2308" s="8" t="n">
        <v>8</v>
      </c>
      <c r="H2308" s="8" t="n">
        <v>2944</v>
      </c>
    </row>
    <row r="2311" customFormat="false" ht="12.75" hidden="false" customHeight="true" outlineLevel="0" collapsed="false">
      <c r="A2311" s="6" t="s">
        <v>2238</v>
      </c>
      <c r="B2311" s="7" t="s">
        <v>2239</v>
      </c>
      <c r="F2311" s="8" t="n">
        <v>35665.7</v>
      </c>
      <c r="H2311" s="8" t="n">
        <v>35665.7</v>
      </c>
    </row>
    <row r="2313" customFormat="false" ht="12.75" hidden="false" customHeight="true" outlineLevel="0" collapsed="false">
      <c r="A2313" s="6" t="s">
        <v>2240</v>
      </c>
      <c r="B2313" s="7" t="s">
        <v>2241</v>
      </c>
      <c r="F2313" s="8" t="n">
        <v>14281.12</v>
      </c>
      <c r="H2313" s="8" t="n">
        <v>14281.12</v>
      </c>
    </row>
    <row r="2315" customFormat="false" ht="38.25" hidden="false" customHeight="true" outlineLevel="0" collapsed="false">
      <c r="A2315" s="6" t="s">
        <v>2242</v>
      </c>
      <c r="B2315" s="7" t="s">
        <v>2243</v>
      </c>
      <c r="C2315" s="6" t="s">
        <v>16</v>
      </c>
      <c r="D2315" s="9" t="n">
        <v>1</v>
      </c>
      <c r="E2315" s="8" t="n">
        <v>4658.07</v>
      </c>
      <c r="F2315" s="8" t="n">
        <v>4658.07</v>
      </c>
      <c r="G2315" s="8" t="n">
        <v>4658.07</v>
      </c>
      <c r="H2315" s="8" t="n">
        <v>4658.07</v>
      </c>
    </row>
    <row r="2317" customFormat="false" ht="38.25" hidden="false" customHeight="true" outlineLevel="0" collapsed="false">
      <c r="A2317" s="6" t="s">
        <v>2244</v>
      </c>
      <c r="B2317" s="7" t="s">
        <v>2245</v>
      </c>
      <c r="C2317" s="6" t="s">
        <v>16</v>
      </c>
      <c r="D2317" s="9" t="n">
        <v>1</v>
      </c>
      <c r="E2317" s="8" t="n">
        <v>1648.24</v>
      </c>
      <c r="F2317" s="8" t="n">
        <v>1648.24</v>
      </c>
      <c r="G2317" s="8" t="n">
        <v>1648.24</v>
      </c>
      <c r="H2317" s="8" t="n">
        <v>1648.24</v>
      </c>
    </row>
    <row r="2319" customFormat="false" ht="38.25" hidden="false" customHeight="true" outlineLevel="0" collapsed="false">
      <c r="A2319" s="6" t="s">
        <v>2246</v>
      </c>
      <c r="B2319" s="7" t="s">
        <v>2247</v>
      </c>
      <c r="C2319" s="6" t="s">
        <v>16</v>
      </c>
      <c r="D2319" s="9" t="n">
        <v>1</v>
      </c>
      <c r="E2319" s="8" t="n">
        <v>576.75</v>
      </c>
      <c r="F2319" s="8" t="n">
        <v>576.75</v>
      </c>
      <c r="G2319" s="8" t="n">
        <v>576.75</v>
      </c>
      <c r="H2319" s="8" t="n">
        <v>576.75</v>
      </c>
    </row>
    <row r="2321" customFormat="false" ht="12.75" hidden="false" customHeight="true" outlineLevel="0" collapsed="false">
      <c r="A2321" s="6" t="s">
        <v>2248</v>
      </c>
      <c r="B2321" s="7" t="s">
        <v>2249</v>
      </c>
      <c r="C2321" s="6" t="s">
        <v>16</v>
      </c>
      <c r="D2321" s="9" t="n">
        <v>1</v>
      </c>
      <c r="E2321" s="8" t="n">
        <v>1990.63</v>
      </c>
      <c r="F2321" s="8" t="n">
        <v>1990.63</v>
      </c>
      <c r="G2321" s="8" t="n">
        <v>1990.63</v>
      </c>
      <c r="H2321" s="8" t="n">
        <v>1990.63</v>
      </c>
    </row>
    <row r="2323" customFormat="false" ht="12.75" hidden="false" customHeight="true" outlineLevel="0" collapsed="false">
      <c r="A2323" s="6" t="s">
        <v>2250</v>
      </c>
      <c r="B2323" s="7" t="s">
        <v>2251</v>
      </c>
      <c r="C2323" s="6" t="s">
        <v>16</v>
      </c>
      <c r="D2323" s="9" t="n">
        <v>1</v>
      </c>
      <c r="E2323" s="8" t="n">
        <v>2667.44</v>
      </c>
      <c r="F2323" s="8" t="n">
        <v>2667.44</v>
      </c>
      <c r="G2323" s="8" t="n">
        <v>2667.44</v>
      </c>
      <c r="H2323" s="8" t="n">
        <v>2667.44</v>
      </c>
    </row>
    <row r="2325" customFormat="false" ht="25.5" hidden="false" customHeight="true" outlineLevel="0" collapsed="false">
      <c r="A2325" s="6" t="s">
        <v>2252</v>
      </c>
      <c r="B2325" s="7" t="s">
        <v>2253</v>
      </c>
      <c r="C2325" s="6" t="s">
        <v>16</v>
      </c>
      <c r="D2325" s="9" t="n">
        <v>1</v>
      </c>
      <c r="E2325" s="8" t="n">
        <v>39.81</v>
      </c>
      <c r="F2325" s="8" t="n">
        <v>39.81</v>
      </c>
      <c r="G2325" s="8" t="n">
        <v>39.81</v>
      </c>
      <c r="H2325" s="8" t="n">
        <v>39.81</v>
      </c>
    </row>
    <row r="2327" customFormat="false" ht="25.5" hidden="false" customHeight="true" outlineLevel="0" collapsed="false">
      <c r="A2327" s="6" t="s">
        <v>2254</v>
      </c>
      <c r="B2327" s="7" t="s">
        <v>2255</v>
      </c>
      <c r="C2327" s="6" t="s">
        <v>16</v>
      </c>
      <c r="D2327" s="9" t="n">
        <v>9</v>
      </c>
      <c r="E2327" s="8" t="n">
        <v>132.38</v>
      </c>
      <c r="F2327" s="8" t="n">
        <v>1191.42</v>
      </c>
      <c r="G2327" s="8" t="n">
        <v>132.38</v>
      </c>
      <c r="H2327" s="8" t="n">
        <v>1191.42</v>
      </c>
    </row>
    <row r="2329" customFormat="false" ht="25.5" hidden="false" customHeight="true" outlineLevel="0" collapsed="false">
      <c r="A2329" s="6" t="s">
        <v>2256</v>
      </c>
      <c r="B2329" s="7" t="s">
        <v>2257</v>
      </c>
      <c r="C2329" s="6" t="s">
        <v>16</v>
      </c>
      <c r="D2329" s="9" t="n">
        <v>6</v>
      </c>
      <c r="E2329" s="8" t="n">
        <v>72.53</v>
      </c>
      <c r="F2329" s="8" t="n">
        <v>435.18</v>
      </c>
      <c r="G2329" s="8" t="n">
        <v>72.53</v>
      </c>
      <c r="H2329" s="8" t="n">
        <v>435.18</v>
      </c>
    </row>
    <row r="2331" customFormat="false" ht="25.5" hidden="false" customHeight="true" outlineLevel="0" collapsed="false">
      <c r="A2331" s="6" t="s">
        <v>2258</v>
      </c>
      <c r="B2331" s="7" t="s">
        <v>2259</v>
      </c>
      <c r="C2331" s="6" t="s">
        <v>16</v>
      </c>
      <c r="D2331" s="9" t="n">
        <v>28</v>
      </c>
      <c r="E2331" s="8" t="n">
        <v>32.38</v>
      </c>
      <c r="F2331" s="8" t="n">
        <v>906.64</v>
      </c>
      <c r="G2331" s="8" t="n">
        <v>32.38</v>
      </c>
      <c r="H2331" s="8" t="n">
        <v>906.64</v>
      </c>
    </row>
    <row r="2333" customFormat="false" ht="25.5" hidden="false" customHeight="true" outlineLevel="0" collapsed="false">
      <c r="A2333" s="6" t="s">
        <v>2260</v>
      </c>
      <c r="B2333" s="7" t="s">
        <v>2261</v>
      </c>
      <c r="C2333" s="6" t="s">
        <v>16</v>
      </c>
      <c r="D2333" s="9" t="n">
        <v>2</v>
      </c>
      <c r="E2333" s="8" t="n">
        <v>83.47</v>
      </c>
      <c r="F2333" s="8" t="n">
        <v>166.94</v>
      </c>
      <c r="G2333" s="8" t="n">
        <v>83.47</v>
      </c>
      <c r="H2333" s="8" t="n">
        <v>166.94</v>
      </c>
    </row>
    <row r="2335" customFormat="false" ht="12.75" hidden="false" customHeight="true" outlineLevel="0" collapsed="false">
      <c r="A2335" s="6" t="s">
        <v>2262</v>
      </c>
      <c r="B2335" s="7" t="s">
        <v>2263</v>
      </c>
      <c r="F2335" s="8" t="n">
        <v>5417.06</v>
      </c>
      <c r="H2335" s="8" t="n">
        <v>5417.06</v>
      </c>
    </row>
    <row r="2337" customFormat="false" ht="25.5" hidden="false" customHeight="true" outlineLevel="0" collapsed="false">
      <c r="A2337" s="6" t="s">
        <v>2264</v>
      </c>
      <c r="B2337" s="7" t="s">
        <v>2265</v>
      </c>
      <c r="C2337" s="6" t="s">
        <v>16</v>
      </c>
      <c r="D2337" s="9" t="n">
        <v>1</v>
      </c>
      <c r="E2337" s="8" t="n">
        <v>1306.65</v>
      </c>
      <c r="F2337" s="8" t="n">
        <v>1306.65</v>
      </c>
      <c r="G2337" s="8" t="n">
        <v>1306.65</v>
      </c>
      <c r="H2337" s="8" t="n">
        <v>1306.65</v>
      </c>
    </row>
    <row r="2339" customFormat="false" ht="51" hidden="false" customHeight="true" outlineLevel="0" collapsed="false">
      <c r="A2339" s="6" t="s">
        <v>2266</v>
      </c>
      <c r="B2339" s="7" t="s">
        <v>2267</v>
      </c>
      <c r="C2339" s="6" t="s">
        <v>16</v>
      </c>
      <c r="D2339" s="9" t="n">
        <v>1</v>
      </c>
      <c r="E2339" s="8" t="n">
        <v>1606.2</v>
      </c>
      <c r="F2339" s="8" t="n">
        <v>1606.2</v>
      </c>
      <c r="G2339" s="8" t="n">
        <v>1606.2</v>
      </c>
      <c r="H2339" s="8" t="n">
        <v>1606.2</v>
      </c>
    </row>
    <row r="2341" customFormat="false" ht="51" hidden="false" customHeight="true" outlineLevel="0" collapsed="false">
      <c r="A2341" s="6" t="s">
        <v>2268</v>
      </c>
      <c r="B2341" s="7" t="s">
        <v>2269</v>
      </c>
      <c r="C2341" s="6" t="s">
        <v>16</v>
      </c>
      <c r="D2341" s="9" t="n">
        <v>1</v>
      </c>
      <c r="E2341" s="8" t="n">
        <v>2504.21</v>
      </c>
      <c r="F2341" s="8" t="n">
        <v>2504.21</v>
      </c>
      <c r="G2341" s="8" t="n">
        <v>2504.21</v>
      </c>
      <c r="H2341" s="8" t="n">
        <v>2504.21</v>
      </c>
    </row>
    <row r="2343" customFormat="false" ht="12.75" hidden="false" customHeight="true" outlineLevel="0" collapsed="false">
      <c r="A2343" s="6" t="s">
        <v>2270</v>
      </c>
      <c r="B2343" s="7" t="s">
        <v>2271</v>
      </c>
      <c r="F2343" s="8" t="n">
        <v>241.56</v>
      </c>
      <c r="H2343" s="8" t="n">
        <v>241.56</v>
      </c>
      <c r="I2343" s="14" t="s">
        <v>91</v>
      </c>
      <c r="J2343" s="15" t="s">
        <v>31</v>
      </c>
      <c r="K2343" s="14" t="s">
        <v>2272</v>
      </c>
    </row>
    <row r="2345" customFormat="false" ht="63.75" hidden="false" customHeight="true" outlineLevel="0" collapsed="false">
      <c r="A2345" s="6" t="s">
        <v>2273</v>
      </c>
      <c r="B2345" s="7" t="s">
        <v>2274</v>
      </c>
      <c r="C2345" s="6" t="s">
        <v>16</v>
      </c>
      <c r="D2345" s="9" t="n">
        <v>3</v>
      </c>
      <c r="E2345" s="8" t="n">
        <v>49.31</v>
      </c>
      <c r="F2345" s="8" t="n">
        <v>147.93</v>
      </c>
      <c r="G2345" s="8" t="n">
        <v>49.31</v>
      </c>
      <c r="H2345" s="8" t="n">
        <v>147.93</v>
      </c>
    </row>
    <row r="2347" customFormat="false" ht="25.5" hidden="false" customHeight="true" outlineLevel="0" collapsed="false">
      <c r="A2347" s="6" t="s">
        <v>2275</v>
      </c>
      <c r="B2347" s="7" t="s">
        <v>2276</v>
      </c>
      <c r="C2347" s="6" t="s">
        <v>16</v>
      </c>
      <c r="D2347" s="9" t="n">
        <v>3</v>
      </c>
      <c r="E2347" s="8" t="n">
        <v>31.21</v>
      </c>
      <c r="F2347" s="8" t="n">
        <v>93.63</v>
      </c>
      <c r="G2347" s="8" t="n">
        <v>31.21</v>
      </c>
      <c r="H2347" s="8" t="n">
        <v>93.63</v>
      </c>
    </row>
    <row r="2349" customFormat="false" ht="12.75" hidden="false" customHeight="true" outlineLevel="0" collapsed="false">
      <c r="A2349" s="6" t="s">
        <v>2277</v>
      </c>
      <c r="B2349" s="7" t="s">
        <v>2278</v>
      </c>
      <c r="F2349" s="8" t="n">
        <v>15725.96</v>
      </c>
      <c r="H2349" s="8" t="n">
        <v>15725.96</v>
      </c>
    </row>
    <row r="2351" customFormat="false" ht="12.75" hidden="false" customHeight="true" outlineLevel="0" collapsed="false">
      <c r="A2351" s="6" t="s">
        <v>2279</v>
      </c>
      <c r="B2351" s="7" t="s">
        <v>2280</v>
      </c>
      <c r="C2351" s="6" t="s">
        <v>922</v>
      </c>
      <c r="D2351" s="9" t="n">
        <v>155</v>
      </c>
      <c r="E2351" s="8" t="n">
        <v>2.32</v>
      </c>
      <c r="F2351" s="8" t="n">
        <v>359.6</v>
      </c>
      <c r="G2351" s="8" t="n">
        <v>2.32</v>
      </c>
      <c r="H2351" s="8" t="n">
        <v>359.6</v>
      </c>
    </row>
    <row r="2353" customFormat="false" ht="12.75" hidden="false" customHeight="true" outlineLevel="0" collapsed="false">
      <c r="A2353" s="6" t="s">
        <v>2281</v>
      </c>
      <c r="B2353" s="7" t="s">
        <v>2109</v>
      </c>
      <c r="C2353" s="6" t="s">
        <v>922</v>
      </c>
      <c r="D2353" s="9" t="n">
        <v>926</v>
      </c>
      <c r="E2353" s="8" t="n">
        <v>1.86</v>
      </c>
      <c r="F2353" s="8" t="n">
        <v>1722.36</v>
      </c>
      <c r="G2353" s="8" t="n">
        <v>1.86</v>
      </c>
      <c r="H2353" s="8" t="n">
        <v>1722.36</v>
      </c>
    </row>
    <row r="2355" customFormat="false" ht="12.75" hidden="false" customHeight="true" outlineLevel="0" collapsed="false">
      <c r="A2355" s="6" t="s">
        <v>2282</v>
      </c>
      <c r="B2355" s="7" t="s">
        <v>2283</v>
      </c>
      <c r="C2355" s="6" t="s">
        <v>922</v>
      </c>
      <c r="D2355" s="9" t="n">
        <v>170</v>
      </c>
      <c r="E2355" s="8" t="n">
        <v>2.12</v>
      </c>
      <c r="F2355" s="8" t="n">
        <v>360.4</v>
      </c>
      <c r="G2355" s="8" t="n">
        <v>2.12</v>
      </c>
      <c r="H2355" s="8" t="n">
        <v>360.4</v>
      </c>
    </row>
    <row r="2357" customFormat="false" ht="12.75" hidden="false" customHeight="true" outlineLevel="0" collapsed="false">
      <c r="A2357" s="6" t="s">
        <v>2284</v>
      </c>
      <c r="B2357" s="7" t="s">
        <v>2285</v>
      </c>
      <c r="C2357" s="6" t="s">
        <v>922</v>
      </c>
      <c r="D2357" s="9" t="n">
        <v>110</v>
      </c>
      <c r="E2357" s="8" t="n">
        <v>120.76</v>
      </c>
      <c r="F2357" s="8" t="n">
        <v>13283.6</v>
      </c>
      <c r="G2357" s="8" t="n">
        <v>120.76</v>
      </c>
      <c r="H2357" s="8" t="n">
        <v>13283.6</v>
      </c>
      <c r="I2357" s="16" t="s">
        <v>192</v>
      </c>
      <c r="J2357" s="17" t="s">
        <v>66</v>
      </c>
      <c r="K2357" s="16" t="s">
        <v>2286</v>
      </c>
    </row>
    <row r="2359" customFormat="false" ht="344.25" hidden="false" customHeight="true" outlineLevel="0" collapsed="false">
      <c r="A2359" s="6" t="s">
        <v>2287</v>
      </c>
      <c r="B2359" s="7" t="s">
        <v>2288</v>
      </c>
    </row>
  </sheetData>
  <autoFilter ref="A3:K2359"/>
  <mergeCells count="4">
    <mergeCell ref="A1:H1"/>
    <mergeCell ref="A2:D2"/>
    <mergeCell ref="E2:F2"/>
    <mergeCell ref="G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 width="7"/>
    <col collapsed="false" customWidth="true" hidden="false" outlineLevel="0" max="2" min="2" style="2" width="48"/>
    <col collapsed="false" customWidth="true" hidden="false" outlineLevel="0" max="5" min="3" style="2" width="16"/>
    <col collapsed="false" customWidth="true" hidden="false" outlineLevel="0" max="6" min="6" style="2" width="11"/>
  </cols>
  <sheetData>
    <row r="1" customFormat="false" ht="17.35" hidden="false" customHeight="false" outlineLevel="0" collapsed="false">
      <c r="A1" s="19" t="s">
        <v>2289</v>
      </c>
    </row>
    <row r="2" customFormat="false" ht="15" hidden="false" customHeight="false" outlineLevel="0" collapsed="false">
      <c r="A2" s="20" t="s">
        <v>2290</v>
      </c>
    </row>
    <row r="4" customFormat="false" ht="28.35" hidden="false" customHeight="false" outlineLevel="0" collapsed="false">
      <c r="A4" s="21" t="s">
        <v>2291</v>
      </c>
      <c r="B4" s="21" t="s">
        <v>2292</v>
      </c>
      <c r="C4" s="21" t="s">
        <v>2293</v>
      </c>
      <c r="D4" s="21" t="s">
        <v>2294</v>
      </c>
      <c r="E4" s="21" t="s">
        <v>2295</v>
      </c>
      <c r="F4" s="21" t="s">
        <v>2296</v>
      </c>
    </row>
    <row r="5" customFormat="false" ht="15" hidden="false" customHeight="false" outlineLevel="0" collapsed="false">
      <c r="A5" s="2" t="s">
        <v>12</v>
      </c>
      <c r="B5" s="2" t="s">
        <v>13</v>
      </c>
      <c r="C5" s="22" t="n">
        <v>312435</v>
      </c>
      <c r="D5" s="22" t="n">
        <v>312435</v>
      </c>
      <c r="E5" s="22" t="n">
        <f aca="false">D5-C5</f>
        <v>0</v>
      </c>
      <c r="F5" s="23" t="n">
        <f aca="false">C5/$C$19</f>
        <v>0.0694355227471782</v>
      </c>
    </row>
    <row r="6" customFormat="false" ht="15" hidden="false" customHeight="false" outlineLevel="0" collapsed="false">
      <c r="A6" s="2" t="s">
        <v>38</v>
      </c>
      <c r="B6" s="2" t="s">
        <v>39</v>
      </c>
      <c r="C6" s="22" t="n">
        <v>1651924.53</v>
      </c>
      <c r="D6" s="22" t="n">
        <v>1651922.68</v>
      </c>
      <c r="E6" s="22" t="n">
        <f aca="false">D6-C6</f>
        <v>-1.85000000009313</v>
      </c>
      <c r="F6" s="23" t="n">
        <f aca="false">C6/$C$19</f>
        <v>0.367123540190557</v>
      </c>
    </row>
    <row r="7" customFormat="false" ht="15" hidden="false" customHeight="false" outlineLevel="0" collapsed="false">
      <c r="A7" s="2" t="s">
        <v>249</v>
      </c>
      <c r="B7" s="2" t="s">
        <v>250</v>
      </c>
      <c r="C7" s="22" t="n">
        <v>1586732.18</v>
      </c>
      <c r="D7" s="22" t="n">
        <v>1586722.05</v>
      </c>
      <c r="E7" s="22" t="n">
        <f aca="false">D7-C7</f>
        <v>-10.1299999998882</v>
      </c>
      <c r="F7" s="23" t="n">
        <f aca="false">C7/$C$19</f>
        <v>0.3526351989312</v>
      </c>
    </row>
    <row r="8" customFormat="false" ht="15" hidden="false" customHeight="false" outlineLevel="0" collapsed="false">
      <c r="A8" s="2" t="s">
        <v>905</v>
      </c>
      <c r="B8" s="2" t="s">
        <v>906</v>
      </c>
      <c r="C8" s="22" t="n">
        <v>78339.7</v>
      </c>
      <c r="D8" s="22" t="n">
        <v>78339.7</v>
      </c>
      <c r="E8" s="22" t="n">
        <f aca="false">D8-C8</f>
        <v>0</v>
      </c>
      <c r="F8" s="23" t="n">
        <f aca="false">C8/$C$19</f>
        <v>0.017410206991397</v>
      </c>
    </row>
    <row r="9" customFormat="false" ht="15" hidden="false" customHeight="false" outlineLevel="0" collapsed="false">
      <c r="A9" s="2" t="s">
        <v>1066</v>
      </c>
      <c r="B9" s="2" t="s">
        <v>1067</v>
      </c>
      <c r="C9" s="22" t="n">
        <v>40966.31</v>
      </c>
      <c r="D9" s="22" t="n">
        <v>40966.25</v>
      </c>
      <c r="E9" s="22" t="n">
        <f aca="false">D9-C9</f>
        <v>-0.0599999999976717</v>
      </c>
      <c r="F9" s="23" t="n">
        <f aca="false">C9/$C$19</f>
        <v>0.00910434858409894</v>
      </c>
    </row>
    <row r="10" customFormat="false" ht="15" hidden="false" customHeight="false" outlineLevel="0" collapsed="false">
      <c r="A10" s="2" t="s">
        <v>1163</v>
      </c>
      <c r="B10" s="2" t="s">
        <v>1164</v>
      </c>
      <c r="C10" s="22" t="n">
        <v>128757.01</v>
      </c>
      <c r="D10" s="22" t="n">
        <v>128756.93</v>
      </c>
      <c r="E10" s="22" t="n">
        <f aca="false">D10-C10</f>
        <v>-0.0800000000017462</v>
      </c>
      <c r="F10" s="23" t="n">
        <f aca="false">C10/$C$19</f>
        <v>0.0286149448580141</v>
      </c>
    </row>
    <row r="11" customFormat="false" ht="15" hidden="false" customHeight="false" outlineLevel="0" collapsed="false">
      <c r="A11" s="2" t="s">
        <v>1296</v>
      </c>
      <c r="B11" s="2" t="s">
        <v>1297</v>
      </c>
      <c r="C11" s="22" t="n">
        <v>265980.37</v>
      </c>
      <c r="D11" s="22" t="n">
        <v>265980.37</v>
      </c>
      <c r="E11" s="22" t="n">
        <f aca="false">D11-C11</f>
        <v>0</v>
      </c>
      <c r="F11" s="23" t="n">
        <f aca="false">C11/$C$19</f>
        <v>0.0591114504823015</v>
      </c>
    </row>
    <row r="12" customFormat="false" ht="15" hidden="false" customHeight="false" outlineLevel="0" collapsed="false">
      <c r="A12" s="2" t="s">
        <v>1642</v>
      </c>
      <c r="B12" s="2" t="s">
        <v>1643</v>
      </c>
      <c r="C12" s="22" t="n">
        <v>9863.68</v>
      </c>
      <c r="D12" s="22" t="n">
        <v>9863.68</v>
      </c>
      <c r="E12" s="22" t="n">
        <f aca="false">D12-C12</f>
        <v>0</v>
      </c>
      <c r="F12" s="23" t="n">
        <f aca="false">C12/$C$19</f>
        <v>0.00219210324390957</v>
      </c>
    </row>
    <row r="13" customFormat="false" ht="15" hidden="false" customHeight="false" outlineLevel="0" collapsed="false">
      <c r="A13" s="2" t="s">
        <v>1701</v>
      </c>
      <c r="B13" s="2" t="s">
        <v>1702</v>
      </c>
      <c r="C13" s="22" t="n">
        <v>2885.06</v>
      </c>
      <c r="D13" s="22" t="n">
        <v>2885.06</v>
      </c>
      <c r="E13" s="22" t="n">
        <f aca="false">D13-C13</f>
        <v>0</v>
      </c>
      <c r="F13" s="23" t="n">
        <f aca="false">C13/$C$19</f>
        <v>0.000641175442114276</v>
      </c>
    </row>
    <row r="14" customFormat="false" ht="15" hidden="false" customHeight="false" outlineLevel="0" collapsed="false">
      <c r="A14" s="2" t="s">
        <v>1748</v>
      </c>
      <c r="B14" s="2" t="s">
        <v>1749</v>
      </c>
      <c r="C14" s="22" t="n">
        <v>17332.79</v>
      </c>
      <c r="D14" s="22" t="n">
        <v>17332.79</v>
      </c>
      <c r="E14" s="22" t="n">
        <f aca="false">D14-C14</f>
        <v>0</v>
      </c>
      <c r="F14" s="23" t="n">
        <f aca="false">C14/$C$19</f>
        <v>0.00385203749361327</v>
      </c>
    </row>
    <row r="15" customFormat="false" ht="15" hidden="false" customHeight="false" outlineLevel="0" collapsed="false">
      <c r="A15" s="2" t="s">
        <v>1831</v>
      </c>
      <c r="B15" s="2" t="s">
        <v>1832</v>
      </c>
      <c r="C15" s="22" t="n">
        <v>271944.75</v>
      </c>
      <c r="D15" s="22" t="n">
        <v>271944.75</v>
      </c>
      <c r="E15" s="22" t="n">
        <f aca="false">D15-C15</f>
        <v>0</v>
      </c>
      <c r="F15" s="23" t="n">
        <f aca="false">C15/$C$19</f>
        <v>0.0604369736892495</v>
      </c>
    </row>
    <row r="16" customFormat="false" ht="15" hidden="false" customHeight="false" outlineLevel="0" collapsed="false">
      <c r="A16" s="2" t="s">
        <v>2144</v>
      </c>
      <c r="B16" s="2" t="s">
        <v>2145</v>
      </c>
      <c r="C16" s="22" t="n">
        <v>31350</v>
      </c>
      <c r="D16" s="22" t="n">
        <v>31350</v>
      </c>
      <c r="E16" s="22" t="n">
        <f aca="false">D16-C16</f>
        <v>0</v>
      </c>
      <c r="F16" s="23" t="n">
        <f aca="false">C16/$C$19</f>
        <v>0.00696722082392829</v>
      </c>
    </row>
    <row r="17" customFormat="false" ht="15" hidden="false" customHeight="false" outlineLevel="0" collapsed="false">
      <c r="A17" s="2" t="s">
        <v>2155</v>
      </c>
      <c r="B17" s="2" t="s">
        <v>2156</v>
      </c>
      <c r="C17" s="22" t="n">
        <v>65465</v>
      </c>
      <c r="D17" s="22" t="n">
        <v>65465</v>
      </c>
      <c r="E17" s="22" t="n">
        <f aca="false">D17-C17</f>
        <v>0</v>
      </c>
      <c r="F17" s="23" t="n">
        <f aca="false">C17/$C$19</f>
        <v>0.0145489349677341</v>
      </c>
    </row>
    <row r="18" customFormat="false" ht="15" hidden="false" customHeight="false" outlineLevel="0" collapsed="false">
      <c r="A18" s="2" t="s">
        <v>2238</v>
      </c>
      <c r="B18" s="2" t="s">
        <v>2239</v>
      </c>
      <c r="C18" s="22" t="n">
        <v>35665.7</v>
      </c>
      <c r="D18" s="22" t="n">
        <v>35665.7</v>
      </c>
      <c r="E18" s="22" t="n">
        <f aca="false">D18-C18</f>
        <v>0</v>
      </c>
      <c r="F18" s="23" t="n">
        <f aca="false">C18/$C$19</f>
        <v>0.00792634155470428</v>
      </c>
    </row>
    <row r="19" customFormat="false" ht="15" hidden="false" customHeight="false" outlineLevel="0" collapsed="false">
      <c r="B19" s="4" t="s">
        <v>2297</v>
      </c>
      <c r="C19" s="24" t="n">
        <f aca="false">SUM(C5:C18)</f>
        <v>4499642.08</v>
      </c>
      <c r="D19" s="24" t="n">
        <f aca="false">SUM(D5:D18)</f>
        <v>4499629.96</v>
      </c>
      <c r="E19" s="24" t="n">
        <f aca="false">SUM(E5:E18)</f>
        <v>-12.1199999999808</v>
      </c>
      <c r="F19" s="23" t="n">
        <f aca="false">SUM(F5:F18)</f>
        <v>1</v>
      </c>
    </row>
    <row r="20" customFormat="false" ht="15" hidden="false" customHeight="false" outlineLevel="0" collapsed="false">
      <c r="B20" s="2" t="s">
        <v>2298</v>
      </c>
      <c r="C20" s="25" t="n">
        <f aca="false">D19/C19</f>
        <v>0.999997306452428</v>
      </c>
    </row>
    <row r="22" customFormat="false" ht="28.35" hidden="false" customHeight="false" outlineLevel="0" collapsed="false">
      <c r="A22" s="21" t="s">
        <v>2299</v>
      </c>
      <c r="B22" s="21" t="s">
        <v>2300</v>
      </c>
    </row>
    <row r="23" customFormat="false" ht="31.5" hidden="false" customHeight="true" outlineLevel="0" collapsed="false">
      <c r="A23" s="26" t="s">
        <v>66</v>
      </c>
      <c r="B23" s="27" t="s">
        <v>2301</v>
      </c>
      <c r="C23" s="27"/>
      <c r="D23" s="27"/>
      <c r="E23" s="27"/>
      <c r="F23" s="27"/>
    </row>
    <row r="24" customFormat="false" ht="31.5" hidden="false" customHeight="true" outlineLevel="0" collapsed="false">
      <c r="A24" s="26" t="s">
        <v>66</v>
      </c>
      <c r="B24" s="27" t="s">
        <v>2302</v>
      </c>
      <c r="C24" s="27"/>
      <c r="D24" s="27"/>
      <c r="E24" s="27"/>
      <c r="F24" s="27"/>
    </row>
    <row r="25" customFormat="false" ht="31.5" hidden="false" customHeight="true" outlineLevel="0" collapsed="false">
      <c r="A25" s="26" t="s">
        <v>66</v>
      </c>
      <c r="B25" s="27" t="s">
        <v>2303</v>
      </c>
      <c r="C25" s="27"/>
      <c r="D25" s="27"/>
      <c r="E25" s="27"/>
      <c r="F25" s="27"/>
    </row>
    <row r="26" customFormat="false" ht="31.5" hidden="false" customHeight="true" outlineLevel="0" collapsed="false">
      <c r="A26" s="26" t="s">
        <v>66</v>
      </c>
      <c r="B26" s="27" t="s">
        <v>2304</v>
      </c>
      <c r="C26" s="27"/>
      <c r="D26" s="27"/>
      <c r="E26" s="27"/>
      <c r="F26" s="27"/>
    </row>
    <row r="27" customFormat="false" ht="31.5" hidden="false" customHeight="true" outlineLevel="0" collapsed="false">
      <c r="A27" s="26" t="s">
        <v>66</v>
      </c>
      <c r="B27" s="27" t="s">
        <v>2305</v>
      </c>
      <c r="C27" s="27"/>
      <c r="D27" s="27"/>
      <c r="E27" s="27"/>
      <c r="F27" s="27"/>
    </row>
    <row r="28" customFormat="false" ht="31.5" hidden="false" customHeight="true" outlineLevel="0" collapsed="false">
      <c r="A28" s="28" t="s">
        <v>23</v>
      </c>
      <c r="B28" s="27" t="s">
        <v>2306</v>
      </c>
      <c r="C28" s="27"/>
      <c r="D28" s="27"/>
      <c r="E28" s="27"/>
      <c r="F28" s="27"/>
    </row>
    <row r="29" customFormat="false" ht="31.5" hidden="false" customHeight="true" outlineLevel="0" collapsed="false">
      <c r="A29" s="28" t="s">
        <v>23</v>
      </c>
      <c r="B29" s="27" t="s">
        <v>2307</v>
      </c>
      <c r="C29" s="27"/>
      <c r="D29" s="27"/>
      <c r="E29" s="27"/>
      <c r="F29" s="27"/>
    </row>
    <row r="30" customFormat="false" ht="31.5" hidden="false" customHeight="true" outlineLevel="0" collapsed="false">
      <c r="A30" s="28" t="s">
        <v>23</v>
      </c>
      <c r="B30" s="27" t="s">
        <v>2308</v>
      </c>
      <c r="C30" s="27"/>
      <c r="D30" s="27"/>
      <c r="E30" s="27"/>
      <c r="F30" s="27"/>
    </row>
    <row r="31" customFormat="false" ht="31.5" hidden="false" customHeight="true" outlineLevel="0" collapsed="false">
      <c r="A31" s="28" t="s">
        <v>23</v>
      </c>
      <c r="B31" s="27" t="s">
        <v>2309</v>
      </c>
      <c r="C31" s="27"/>
      <c r="D31" s="27"/>
      <c r="E31" s="27"/>
      <c r="F31" s="27"/>
    </row>
    <row r="32" customFormat="false" ht="31.5" hidden="false" customHeight="true" outlineLevel="0" collapsed="false">
      <c r="A32" s="28" t="s">
        <v>23</v>
      </c>
      <c r="B32" s="27" t="s">
        <v>2310</v>
      </c>
      <c r="C32" s="27"/>
      <c r="D32" s="27"/>
      <c r="E32" s="27"/>
      <c r="F32" s="27"/>
    </row>
    <row r="33" customFormat="false" ht="31.5" hidden="false" customHeight="true" outlineLevel="0" collapsed="false">
      <c r="A33" s="29" t="s">
        <v>31</v>
      </c>
      <c r="B33" s="27" t="s">
        <v>2311</v>
      </c>
      <c r="C33" s="27"/>
      <c r="D33" s="27"/>
      <c r="E33" s="27"/>
      <c r="F33" s="27"/>
    </row>
    <row r="35" customFormat="false" ht="15" hidden="false" customHeight="false" outlineLevel="0" collapsed="false">
      <c r="A35" s="4" t="s">
        <v>2312</v>
      </c>
    </row>
    <row r="36" customFormat="false" ht="15" hidden="false" customHeight="false" outlineLevel="0" collapsed="false">
      <c r="A36" s="30" t="s">
        <v>66</v>
      </c>
      <c r="B36" s="2" t="n">
        <v>4</v>
      </c>
    </row>
    <row r="37" customFormat="false" ht="15" hidden="false" customHeight="false" outlineLevel="0" collapsed="false">
      <c r="A37" s="31" t="s">
        <v>23</v>
      </c>
      <c r="B37" s="2" t="n">
        <v>32</v>
      </c>
    </row>
    <row r="38" customFormat="false" ht="15" hidden="false" customHeight="false" outlineLevel="0" collapsed="false">
      <c r="A38" s="32" t="s">
        <v>31</v>
      </c>
      <c r="B38" s="2" t="n">
        <v>57</v>
      </c>
    </row>
    <row r="39" customFormat="false" ht="15" hidden="false" customHeight="false" outlineLevel="0" collapsed="false">
      <c r="A39" s="33" t="s">
        <v>18</v>
      </c>
      <c r="B39" s="2" t="n">
        <v>36</v>
      </c>
    </row>
  </sheetData>
  <mergeCells count="11">
    <mergeCell ref="B23:F23"/>
    <mergeCell ref="B24:F24"/>
    <mergeCell ref="B25:F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 width="92"/>
    <col collapsed="false" customWidth="true" hidden="false" outlineLevel="0" max="3" min="2" style="2" width="20"/>
  </cols>
  <sheetData>
    <row r="1" customFormat="false" ht="15" hidden="false" customHeight="false" outlineLevel="0" collapsed="false">
      <c r="A1" s="34" t="s">
        <v>2313</v>
      </c>
    </row>
    <row r="3" customFormat="false" ht="15" hidden="false" customHeight="false" outlineLevel="0" collapsed="false">
      <c r="A3" s="21" t="s">
        <v>2314</v>
      </c>
      <c r="B3" s="21" t="s">
        <v>2315</v>
      </c>
      <c r="C3" s="21" t="s">
        <v>2316</v>
      </c>
    </row>
    <row r="4" customFormat="false" ht="15" hidden="false" customHeight="false" outlineLevel="0" collapsed="false">
      <c r="A4" s="4" t="s">
        <v>2317</v>
      </c>
    </row>
    <row r="5" customFormat="false" ht="15" hidden="false" customHeight="false" outlineLevel="0" collapsed="false">
      <c r="A5" s="2" t="s">
        <v>2318</v>
      </c>
      <c r="B5" s="22" t="n">
        <v>-12953.6</v>
      </c>
      <c r="C5" s="22" t="n">
        <v>-12953.6</v>
      </c>
    </row>
    <row r="6" customFormat="false" ht="15" hidden="false" customHeight="false" outlineLevel="0" collapsed="false">
      <c r="A6" s="4" t="s">
        <v>2319</v>
      </c>
      <c r="B6" s="24" t="n">
        <f aca="false">SUM(B5:B5)</f>
        <v>-12953.6</v>
      </c>
      <c r="C6" s="24" t="n">
        <f aca="false">SUM(C5:C5)</f>
        <v>-12953.6</v>
      </c>
    </row>
    <row r="8" customFormat="false" ht="15" hidden="false" customHeight="false" outlineLevel="0" collapsed="false">
      <c r="A8" s="4" t="s">
        <v>2320</v>
      </c>
    </row>
    <row r="9" customFormat="false" ht="15" hidden="false" customHeight="false" outlineLevel="0" collapsed="false">
      <c r="A9" s="2" t="s">
        <v>2321</v>
      </c>
      <c r="B9" s="22" t="n">
        <v>-19996.33</v>
      </c>
      <c r="C9" s="22" t="n">
        <v>-19996.33</v>
      </c>
    </row>
    <row r="10" customFormat="false" ht="15" hidden="false" customHeight="false" outlineLevel="0" collapsed="false">
      <c r="A10" s="2" t="s">
        <v>2322</v>
      </c>
      <c r="B10" s="22" t="n">
        <v>-7864</v>
      </c>
      <c r="C10" s="22" t="n">
        <v>-7864</v>
      </c>
    </row>
    <row r="11" customFormat="false" ht="15" hidden="false" customHeight="false" outlineLevel="0" collapsed="false">
      <c r="A11" s="2" t="s">
        <v>2323</v>
      </c>
      <c r="B11" s="22" t="n">
        <v>-5632</v>
      </c>
      <c r="C11" s="22" t="n">
        <v>-5632</v>
      </c>
    </row>
    <row r="12" customFormat="false" ht="15" hidden="false" customHeight="false" outlineLevel="0" collapsed="false">
      <c r="A12" s="2" t="s">
        <v>2324</v>
      </c>
      <c r="B12" s="22" t="n">
        <v>-513.7</v>
      </c>
      <c r="C12" s="22" t="n">
        <v>-1632.31</v>
      </c>
    </row>
    <row r="13" customFormat="false" ht="15" hidden="false" customHeight="false" outlineLevel="0" collapsed="false">
      <c r="A13" s="2" t="s">
        <v>2325</v>
      </c>
      <c r="B13" s="22" t="n">
        <v>-910</v>
      </c>
      <c r="C13" s="22" t="n">
        <v>-910</v>
      </c>
    </row>
    <row r="14" customFormat="false" ht="15" hidden="false" customHeight="false" outlineLevel="0" collapsed="false">
      <c r="A14" s="2" t="s">
        <v>2326</v>
      </c>
      <c r="B14" s="22" t="n">
        <v>-699.05</v>
      </c>
      <c r="C14" s="22" t="n">
        <v>-699.05</v>
      </c>
    </row>
    <row r="15" customFormat="false" ht="15" hidden="false" customHeight="false" outlineLevel="0" collapsed="false">
      <c r="A15" s="2" t="s">
        <v>2327</v>
      </c>
      <c r="B15" s="22" t="n">
        <v>0</v>
      </c>
      <c r="C15" s="22" t="n">
        <v>-678</v>
      </c>
    </row>
    <row r="16" customFormat="false" ht="15" hidden="false" customHeight="false" outlineLevel="0" collapsed="false">
      <c r="A16" s="2" t="s">
        <v>2328</v>
      </c>
      <c r="B16" s="22" t="n">
        <v>-155.26</v>
      </c>
      <c r="C16" s="22" t="n">
        <v>-155.26</v>
      </c>
    </row>
    <row r="17" customFormat="false" ht="15" hidden="false" customHeight="false" outlineLevel="0" collapsed="false">
      <c r="A17" s="4" t="s">
        <v>2329</v>
      </c>
      <c r="B17" s="24" t="n">
        <f aca="false">SUM(B9:B16)</f>
        <v>-35770.34</v>
      </c>
      <c r="C17" s="24" t="n">
        <f aca="false">SUM(C9:C16)</f>
        <v>-37566.95</v>
      </c>
    </row>
    <row r="19" customFormat="false" ht="15" hidden="false" customHeight="false" outlineLevel="0" collapsed="false">
      <c r="A19" s="4" t="s">
        <v>2330</v>
      </c>
    </row>
    <row r="20" customFormat="false" ht="15" hidden="false" customHeight="false" outlineLevel="0" collapsed="false">
      <c r="A20" s="2" t="s">
        <v>2331</v>
      </c>
      <c r="B20" s="22" t="n">
        <v>8000</v>
      </c>
      <c r="C20" s="22" t="n">
        <v>23000</v>
      </c>
    </row>
    <row r="21" customFormat="false" ht="15" hidden="false" customHeight="false" outlineLevel="0" collapsed="false">
      <c r="A21" s="2" t="s">
        <v>2332</v>
      </c>
      <c r="B21" s="22" t="n">
        <v>2000</v>
      </c>
      <c r="C21" s="22" t="n">
        <v>5000</v>
      </c>
    </row>
    <row r="22" customFormat="false" ht="15" hidden="false" customHeight="false" outlineLevel="0" collapsed="false">
      <c r="A22" s="2" t="s">
        <v>2333</v>
      </c>
      <c r="B22" s="22" t="n">
        <v>2000</v>
      </c>
      <c r="C22" s="22" t="n">
        <v>4000</v>
      </c>
    </row>
    <row r="23" customFormat="false" ht="15" hidden="false" customHeight="false" outlineLevel="0" collapsed="false">
      <c r="A23" s="2" t="s">
        <v>2334</v>
      </c>
      <c r="B23" s="22" t="n">
        <v>3000</v>
      </c>
      <c r="C23" s="22" t="n">
        <v>6000</v>
      </c>
    </row>
    <row r="24" customFormat="false" ht="15" hidden="false" customHeight="false" outlineLevel="0" collapsed="false">
      <c r="A24" s="2" t="s">
        <v>2335</v>
      </c>
      <c r="B24" s="22" t="n">
        <v>6500</v>
      </c>
      <c r="C24" s="22" t="n">
        <v>16500</v>
      </c>
    </row>
    <row r="25" customFormat="false" ht="15" hidden="false" customHeight="false" outlineLevel="0" collapsed="false">
      <c r="A25" s="2" t="s">
        <v>2336</v>
      </c>
      <c r="B25" s="22" t="n">
        <v>1300</v>
      </c>
      <c r="C25" s="22" t="n">
        <v>2500</v>
      </c>
    </row>
    <row r="26" customFormat="false" ht="15" hidden="false" customHeight="false" outlineLevel="0" collapsed="false">
      <c r="A26" s="2" t="s">
        <v>2337</v>
      </c>
      <c r="B26" s="22" t="n">
        <v>8000</v>
      </c>
      <c r="C26" s="22" t="n">
        <v>14000</v>
      </c>
    </row>
    <row r="27" customFormat="false" ht="15" hidden="false" customHeight="false" outlineLevel="0" collapsed="false">
      <c r="A27" s="2" t="s">
        <v>2338</v>
      </c>
      <c r="B27" s="22" t="n">
        <v>4400</v>
      </c>
      <c r="C27" s="22" t="n">
        <v>8400</v>
      </c>
    </row>
    <row r="28" customFormat="false" ht="15" hidden="false" customHeight="false" outlineLevel="0" collapsed="false">
      <c r="A28" s="2" t="s">
        <v>2339</v>
      </c>
      <c r="B28" s="22" t="n">
        <v>4774</v>
      </c>
      <c r="C28" s="22" t="n">
        <v>9114</v>
      </c>
    </row>
    <row r="29" customFormat="false" ht="15" hidden="false" customHeight="false" outlineLevel="0" collapsed="false">
      <c r="A29" s="2" t="s">
        <v>2340</v>
      </c>
      <c r="B29" s="22" t="n">
        <v>0</v>
      </c>
      <c r="C29" s="22" t="n">
        <v>15375</v>
      </c>
    </row>
    <row r="30" customFormat="false" ht="15" hidden="false" customHeight="false" outlineLevel="0" collapsed="false">
      <c r="A30" s="2" t="s">
        <v>2341</v>
      </c>
      <c r="B30" s="22" t="n">
        <v>5430</v>
      </c>
      <c r="C30" s="22" t="n">
        <v>13032</v>
      </c>
    </row>
    <row r="31" customFormat="false" ht="15" hidden="false" customHeight="false" outlineLevel="0" collapsed="false">
      <c r="A31" s="2" t="s">
        <v>2342</v>
      </c>
      <c r="B31" s="22" t="n">
        <v>2000</v>
      </c>
      <c r="C31" s="22" t="n">
        <v>4000</v>
      </c>
    </row>
    <row r="32" customFormat="false" ht="15" hidden="false" customHeight="false" outlineLevel="0" collapsed="false">
      <c r="A32" s="2" t="s">
        <v>2343</v>
      </c>
      <c r="B32" s="22" t="n">
        <v>7776</v>
      </c>
      <c r="C32" s="22" t="n">
        <v>14953</v>
      </c>
    </row>
    <row r="33" customFormat="false" ht="15" hidden="false" customHeight="false" outlineLevel="0" collapsed="false">
      <c r="A33" s="2" t="s">
        <v>2344</v>
      </c>
      <c r="B33" s="22" t="n">
        <v>2250</v>
      </c>
      <c r="C33" s="22" t="n">
        <v>6750</v>
      </c>
    </row>
    <row r="34" customFormat="false" ht="15" hidden="false" customHeight="false" outlineLevel="0" collapsed="false">
      <c r="A34" s="2" t="s">
        <v>2345</v>
      </c>
      <c r="B34" s="22" t="n">
        <v>4000</v>
      </c>
      <c r="C34" s="22" t="n">
        <v>9000</v>
      </c>
    </row>
    <row r="35" customFormat="false" ht="15" hidden="false" customHeight="false" outlineLevel="0" collapsed="false">
      <c r="A35" s="2" t="s">
        <v>2346</v>
      </c>
      <c r="B35" s="22" t="n">
        <v>9794</v>
      </c>
      <c r="C35" s="22" t="n">
        <v>16913</v>
      </c>
    </row>
    <row r="36" customFormat="false" ht="15" hidden="false" customHeight="false" outlineLevel="0" collapsed="false">
      <c r="A36" s="2" t="s">
        <v>2347</v>
      </c>
      <c r="B36" s="22" t="n">
        <v>2000</v>
      </c>
      <c r="C36" s="22" t="n">
        <v>4500</v>
      </c>
    </row>
    <row r="37" customFormat="false" ht="15" hidden="false" customHeight="false" outlineLevel="0" collapsed="false">
      <c r="A37" s="2" t="s">
        <v>2348</v>
      </c>
      <c r="B37" s="22" t="n">
        <v>5000</v>
      </c>
      <c r="C37" s="22" t="n">
        <v>10000</v>
      </c>
    </row>
    <row r="38" customFormat="false" ht="15" hidden="false" customHeight="false" outlineLevel="0" collapsed="false">
      <c r="A38" s="2" t="s">
        <v>2349</v>
      </c>
      <c r="B38" s="22" t="n">
        <v>4800</v>
      </c>
      <c r="C38" s="22" t="n">
        <v>10000</v>
      </c>
    </row>
    <row r="39" customFormat="false" ht="15" hidden="false" customHeight="false" outlineLevel="0" collapsed="false">
      <c r="A39" s="2" t="s">
        <v>2350</v>
      </c>
      <c r="B39" s="22" t="n">
        <v>1500</v>
      </c>
      <c r="C39" s="22" t="n">
        <v>3000</v>
      </c>
    </row>
    <row r="40" customFormat="false" ht="15" hidden="false" customHeight="false" outlineLevel="0" collapsed="false">
      <c r="A40" s="2" t="s">
        <v>2351</v>
      </c>
      <c r="B40" s="22" t="n">
        <v>8000</v>
      </c>
      <c r="C40" s="22" t="n">
        <v>20000</v>
      </c>
    </row>
    <row r="41" customFormat="false" ht="15" hidden="false" customHeight="false" outlineLevel="0" collapsed="false">
      <c r="A41" s="2" t="s">
        <v>2352</v>
      </c>
      <c r="B41" s="22" t="n">
        <v>4000</v>
      </c>
      <c r="C41" s="22" t="n">
        <v>10000</v>
      </c>
    </row>
    <row r="42" customFormat="false" ht="15" hidden="false" customHeight="false" outlineLevel="0" collapsed="false">
      <c r="A42" s="4" t="s">
        <v>2353</v>
      </c>
      <c r="B42" s="24" t="n">
        <f aca="false">SUM(B20:B41)</f>
        <v>96524</v>
      </c>
      <c r="C42" s="24" t="n">
        <f aca="false">SUM(C20:C41)</f>
        <v>226037</v>
      </c>
    </row>
    <row r="44" customFormat="false" ht="15" hidden="false" customHeight="false" outlineLevel="0" collapsed="false">
      <c r="A44" s="4" t="s">
        <v>2354</v>
      </c>
    </row>
    <row r="45" customFormat="false" ht="15" hidden="false" customHeight="false" outlineLevel="0" collapsed="false">
      <c r="A45" s="2" t="s">
        <v>2355</v>
      </c>
      <c r="B45" s="22" t="n">
        <v>35000</v>
      </c>
      <c r="C45" s="22" t="n">
        <v>70000</v>
      </c>
    </row>
    <row r="46" customFormat="false" ht="15" hidden="false" customHeight="false" outlineLevel="0" collapsed="false">
      <c r="A46" s="2" t="s">
        <v>2356</v>
      </c>
      <c r="B46" s="22" t="n">
        <v>20000</v>
      </c>
      <c r="C46" s="22" t="n">
        <v>35000</v>
      </c>
    </row>
    <row r="47" customFormat="false" ht="15" hidden="false" customHeight="false" outlineLevel="0" collapsed="false">
      <c r="A47" s="2" t="s">
        <v>2357</v>
      </c>
      <c r="B47" s="22" t="n">
        <v>8000</v>
      </c>
      <c r="C47" s="22" t="n">
        <v>18000</v>
      </c>
    </row>
    <row r="48" customFormat="false" ht="15" hidden="false" customHeight="false" outlineLevel="0" collapsed="false">
      <c r="A48" s="2" t="s">
        <v>2358</v>
      </c>
      <c r="B48" s="22" t="n">
        <v>8000</v>
      </c>
      <c r="C48" s="22" t="n">
        <v>20000</v>
      </c>
    </row>
    <row r="49" customFormat="false" ht="15" hidden="false" customHeight="false" outlineLevel="0" collapsed="false">
      <c r="A49" s="2" t="s">
        <v>2359</v>
      </c>
      <c r="B49" s="22" t="n">
        <v>6000</v>
      </c>
      <c r="C49" s="22" t="n">
        <v>20000</v>
      </c>
    </row>
    <row r="50" customFormat="false" ht="15" hidden="false" customHeight="false" outlineLevel="0" collapsed="false">
      <c r="A50" s="2" t="s">
        <v>2360</v>
      </c>
      <c r="B50" s="22" t="n">
        <v>8000</v>
      </c>
      <c r="C50" s="22" t="n">
        <v>18000</v>
      </c>
    </row>
    <row r="51" customFormat="false" ht="15" hidden="false" customHeight="false" outlineLevel="0" collapsed="false">
      <c r="A51" s="2" t="s">
        <v>2361</v>
      </c>
      <c r="B51" s="22" t="n">
        <v>6000</v>
      </c>
      <c r="C51" s="22" t="n">
        <v>15000</v>
      </c>
    </row>
    <row r="52" customFormat="false" ht="15" hidden="false" customHeight="false" outlineLevel="0" collapsed="false">
      <c r="A52" s="2" t="s">
        <v>2362</v>
      </c>
      <c r="B52" s="22" t="n">
        <v>5000</v>
      </c>
      <c r="C52" s="22" t="n">
        <v>15000</v>
      </c>
    </row>
    <row r="53" customFormat="false" ht="15" hidden="false" customHeight="false" outlineLevel="0" collapsed="false">
      <c r="A53" s="2" t="s">
        <v>2363</v>
      </c>
      <c r="B53" s="22" t="n">
        <v>5000</v>
      </c>
      <c r="C53" s="22" t="n">
        <v>12000</v>
      </c>
    </row>
    <row r="54" customFormat="false" ht="15" hidden="false" customHeight="false" outlineLevel="0" collapsed="false">
      <c r="A54" s="2" t="s">
        <v>2364</v>
      </c>
      <c r="B54" s="22" t="n">
        <v>6000</v>
      </c>
      <c r="C54" s="22" t="n">
        <v>12000</v>
      </c>
    </row>
    <row r="55" customFormat="false" ht="15" hidden="false" customHeight="false" outlineLevel="0" collapsed="false">
      <c r="A55" s="2" t="s">
        <v>2365</v>
      </c>
      <c r="B55" s="22" t="n">
        <v>1500</v>
      </c>
      <c r="C55" s="22" t="n">
        <v>4000</v>
      </c>
    </row>
    <row r="56" customFormat="false" ht="15" hidden="false" customHeight="false" outlineLevel="0" collapsed="false">
      <c r="A56" s="2" t="s">
        <v>2366</v>
      </c>
      <c r="B56" s="22" t="n">
        <v>3000</v>
      </c>
      <c r="C56" s="22" t="n">
        <v>6000</v>
      </c>
    </row>
    <row r="57" customFormat="false" ht="15" hidden="false" customHeight="false" outlineLevel="0" collapsed="false">
      <c r="A57" s="2" t="s">
        <v>2367</v>
      </c>
      <c r="B57" s="22" t="n">
        <v>1500</v>
      </c>
      <c r="C57" s="22" t="n">
        <v>3000</v>
      </c>
    </row>
    <row r="58" customFormat="false" ht="15" hidden="false" customHeight="false" outlineLevel="0" collapsed="false">
      <c r="A58" s="2" t="s">
        <v>2368</v>
      </c>
      <c r="B58" s="22" t="n">
        <v>1000</v>
      </c>
      <c r="C58" s="22" t="n">
        <v>2500</v>
      </c>
    </row>
    <row r="59" customFormat="false" ht="15" hidden="false" customHeight="false" outlineLevel="0" collapsed="false">
      <c r="A59" s="2" t="s">
        <v>2369</v>
      </c>
      <c r="B59" s="22" t="n">
        <v>0</v>
      </c>
      <c r="C59" s="22" t="n">
        <v>24000</v>
      </c>
    </row>
    <row r="60" customFormat="false" ht="15" hidden="false" customHeight="false" outlineLevel="0" collapsed="false">
      <c r="A60" s="4" t="s">
        <v>2370</v>
      </c>
      <c r="B60" s="24" t="n">
        <f aca="false">SUM(B45:B59)</f>
        <v>114000</v>
      </c>
      <c r="C60" s="24" t="n">
        <f aca="false">SUM(C45:C59)</f>
        <v>274500</v>
      </c>
    </row>
    <row r="62" customFormat="false" ht="15" hidden="false" customHeight="false" outlineLevel="0" collapsed="false">
      <c r="A62" s="4" t="s">
        <v>2371</v>
      </c>
      <c r="B62" s="22" t="n">
        <v>4499642.08</v>
      </c>
      <c r="C62" s="22" t="n">
        <v>4499642.08</v>
      </c>
    </row>
    <row r="63" customFormat="false" ht="15" hidden="false" customHeight="false" outlineLevel="0" collapsed="false">
      <c r="A63" s="4" t="s">
        <v>2372</v>
      </c>
      <c r="B63" s="22" t="n">
        <f aca="false">B6+B17+B42+B60</f>
        <v>161800.06</v>
      </c>
      <c r="C63" s="22" t="n">
        <f aca="false">C6+C17+C42+C60</f>
        <v>450016.45</v>
      </c>
    </row>
    <row r="64" customFormat="false" ht="15" hidden="false" customHeight="false" outlineLevel="0" collapsed="false">
      <c r="A64" s="4" t="s">
        <v>2373</v>
      </c>
      <c r="B64" s="24" t="n">
        <f aca="false">B62+B63</f>
        <v>4661442.14</v>
      </c>
      <c r="C64" s="24" t="n">
        <f aca="false">C62+C63</f>
        <v>4949658.53</v>
      </c>
    </row>
    <row r="65" customFormat="false" ht="15" hidden="false" customHeight="false" outlineLevel="0" collapsed="false">
      <c r="A65" s="2" t="s">
        <v>2374</v>
      </c>
      <c r="B65" s="23" t="n">
        <f aca="false">B63/B62</f>
        <v>0.0359584289424193</v>
      </c>
      <c r="C65" s="23" t="n">
        <f aca="false">C63/C62</f>
        <v>0.100011610256787</v>
      </c>
    </row>
    <row r="67" customFormat="false" ht="15" hidden="false" customHeight="false" outlineLevel="0" collapsed="false">
      <c r="A67" s="4" t="s">
        <v>2375</v>
      </c>
    </row>
    <row r="68" customFormat="false" ht="15" hidden="false" customHeight="false" outlineLevel="0" collapsed="false">
      <c r="A68" s="2" t="s">
        <v>2376</v>
      </c>
      <c r="B68" s="22" t="n">
        <f aca="false">B64*1.15</f>
        <v>5360658.461</v>
      </c>
      <c r="C68" s="22" t="n">
        <f aca="false">C64*1.15</f>
        <v>5692107.3095</v>
      </c>
    </row>
    <row r="69" customFormat="false" ht="15" hidden="false" customHeight="false" outlineLevel="0" collapsed="false">
      <c r="A69" s="2" t="s">
        <v>2377</v>
      </c>
      <c r="B69" s="22" t="n">
        <f aca="false">B64*1.2</f>
        <v>5593730.568</v>
      </c>
      <c r="C69" s="22" t="n">
        <f aca="false">C64*1.2</f>
        <v>5939590.236</v>
      </c>
    </row>
    <row r="70" customFormat="false" ht="15" hidden="false" customHeight="false" outlineLevel="0" collapsed="false">
      <c r="A70" s="2" t="s">
        <v>2378</v>
      </c>
      <c r="B70" s="22" t="n">
        <f aca="false">B64*1.25</f>
        <v>5826802.675</v>
      </c>
      <c r="C70" s="22" t="n">
        <f aca="false">C64*1.25</f>
        <v>6187073.1625</v>
      </c>
    </row>
    <row r="72" customFormat="false" ht="15" hidden="false" customHeight="false" outlineLevel="0" collapsed="false">
      <c r="A72" s="35" t="s">
        <v>2379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 width="8"/>
    <col collapsed="false" customWidth="true" hidden="false" outlineLevel="0" max="4" min="2" style="2" width="12"/>
    <col collapsed="false" customWidth="true" hidden="false" outlineLevel="0" max="5" min="5" style="2" width="14"/>
    <col collapsed="false" customWidth="true" hidden="false" outlineLevel="0" max="6" min="6" style="2" width="16"/>
    <col collapsed="false" customWidth="true" hidden="false" outlineLevel="0" max="7" min="7" style="2" width="12"/>
    <col collapsed="false" customWidth="true" hidden="false" outlineLevel="0" max="8" min="8" style="2" width="16"/>
  </cols>
  <sheetData>
    <row r="1" customFormat="false" ht="28.35" hidden="false" customHeight="false" outlineLevel="0" collapsed="false">
      <c r="A1" s="21" t="s">
        <v>2380</v>
      </c>
      <c r="B1" s="21" t="s">
        <v>2381</v>
      </c>
      <c r="C1" s="21" t="s">
        <v>2382</v>
      </c>
      <c r="D1" s="21" t="s">
        <v>2383</v>
      </c>
      <c r="E1" s="21" t="s">
        <v>2384</v>
      </c>
      <c r="F1" s="21" t="s">
        <v>2385</v>
      </c>
      <c r="G1" s="21" t="s">
        <v>2386</v>
      </c>
      <c r="H1" s="21" t="s">
        <v>2387</v>
      </c>
    </row>
    <row r="2" customFormat="false" ht="15" hidden="false" customHeight="false" outlineLevel="0" collapsed="false">
      <c r="A2" s="2" t="n">
        <v>37</v>
      </c>
      <c r="B2" s="2" t="s">
        <v>59</v>
      </c>
      <c r="C2" s="2" t="n">
        <v>599.85</v>
      </c>
      <c r="D2" s="36" t="n">
        <v>90.03</v>
      </c>
      <c r="E2" s="36" t="n">
        <v>54004.5</v>
      </c>
      <c r="F2" s="36" t="n">
        <v>54005.32</v>
      </c>
      <c r="G2" s="36" t="n">
        <v>-0.82</v>
      </c>
      <c r="H2" s="36" t="n">
        <v>54004.5</v>
      </c>
    </row>
    <row r="3" customFormat="false" ht="15" hidden="false" customHeight="false" outlineLevel="0" collapsed="false">
      <c r="A3" s="2" t="n">
        <v>39</v>
      </c>
      <c r="B3" s="2" t="s">
        <v>64</v>
      </c>
      <c r="C3" s="2" t="n">
        <v>63</v>
      </c>
      <c r="D3" s="36" t="n">
        <v>317.4</v>
      </c>
      <c r="E3" s="36" t="n">
        <v>19996.2</v>
      </c>
      <c r="F3" s="36" t="n">
        <v>19996.33</v>
      </c>
      <c r="G3" s="36" t="n">
        <v>-0.13</v>
      </c>
      <c r="H3" s="36" t="n">
        <v>19996.2</v>
      </c>
    </row>
    <row r="4" customFormat="false" ht="15" hidden="false" customHeight="false" outlineLevel="0" collapsed="false">
      <c r="A4" s="2" t="n">
        <v>41</v>
      </c>
      <c r="B4" s="2" t="s">
        <v>68</v>
      </c>
      <c r="C4" s="2" t="n">
        <v>291.5</v>
      </c>
      <c r="D4" s="36" t="n">
        <v>88.89</v>
      </c>
      <c r="E4" s="36" t="n">
        <v>25911.44</v>
      </c>
      <c r="F4" s="36" t="n">
        <v>25912.71</v>
      </c>
      <c r="G4" s="36" t="n">
        <v>-1.27</v>
      </c>
      <c r="H4" s="36" t="n">
        <v>25911.44</v>
      </c>
    </row>
    <row r="5" customFormat="false" ht="15" hidden="false" customHeight="false" outlineLevel="0" collapsed="false">
      <c r="A5" s="2" t="n">
        <v>43</v>
      </c>
      <c r="B5" s="2" t="s">
        <v>71</v>
      </c>
      <c r="C5" s="2" t="n">
        <v>333.2</v>
      </c>
      <c r="D5" s="36" t="n">
        <v>100.61</v>
      </c>
      <c r="E5" s="36" t="n">
        <v>33523.25</v>
      </c>
      <c r="F5" s="36" t="n">
        <v>33521.71</v>
      </c>
      <c r="G5" s="36" t="n">
        <v>1.54</v>
      </c>
      <c r="H5" s="36" t="n">
        <v>33523.25</v>
      </c>
    </row>
    <row r="6" customFormat="false" ht="15" hidden="false" customHeight="false" outlineLevel="0" collapsed="false">
      <c r="A6" s="2" t="n">
        <v>45</v>
      </c>
      <c r="B6" s="2" t="s">
        <v>74</v>
      </c>
      <c r="C6" s="2" t="n">
        <v>275.28</v>
      </c>
      <c r="D6" s="36" t="n">
        <v>74.57</v>
      </c>
      <c r="E6" s="36" t="n">
        <v>20527.63</v>
      </c>
      <c r="F6" s="36" t="n">
        <v>20528.28</v>
      </c>
      <c r="G6" s="36" t="n">
        <v>-0.65</v>
      </c>
      <c r="H6" s="36" t="n">
        <v>20527.63</v>
      </c>
    </row>
    <row r="7" customFormat="false" ht="15" hidden="false" customHeight="false" outlineLevel="0" collapsed="false">
      <c r="A7" s="2" t="n">
        <v>50</v>
      </c>
      <c r="B7" s="2" t="s">
        <v>80</v>
      </c>
      <c r="C7" s="2" t="n">
        <v>16</v>
      </c>
      <c r="D7" s="36" t="n">
        <v>431.78</v>
      </c>
      <c r="E7" s="36" t="n">
        <v>6908.48</v>
      </c>
      <c r="F7" s="36" t="n">
        <v>6908.4</v>
      </c>
      <c r="G7" s="36" t="n">
        <v>0.08</v>
      </c>
      <c r="H7" s="36" t="n">
        <v>6908.48</v>
      </c>
    </row>
    <row r="8" customFormat="false" ht="15" hidden="false" customHeight="false" outlineLevel="0" collapsed="false">
      <c r="A8" s="2" t="n">
        <v>89</v>
      </c>
      <c r="B8" s="2" t="s">
        <v>128</v>
      </c>
      <c r="C8" s="2" t="n">
        <v>525.22</v>
      </c>
      <c r="D8" s="36" t="n">
        <v>134.17</v>
      </c>
      <c r="E8" s="36" t="n">
        <v>70468.77</v>
      </c>
      <c r="F8" s="36" t="n">
        <v>70469.71</v>
      </c>
      <c r="G8" s="36" t="n">
        <v>-0.94</v>
      </c>
      <c r="H8" s="36" t="n">
        <v>70468.77</v>
      </c>
    </row>
    <row r="9" customFormat="false" ht="15" hidden="false" customHeight="false" outlineLevel="0" collapsed="false">
      <c r="A9" s="2" t="n">
        <v>91</v>
      </c>
      <c r="B9" s="2" t="s">
        <v>130</v>
      </c>
      <c r="C9" s="2" t="n">
        <v>555.11</v>
      </c>
      <c r="D9" s="36" t="n">
        <v>126.31</v>
      </c>
      <c r="E9" s="36" t="n">
        <v>70115.94</v>
      </c>
      <c r="F9" s="36" t="n">
        <v>70116.04</v>
      </c>
      <c r="G9" s="36" t="n">
        <v>-0.1</v>
      </c>
      <c r="H9" s="36" t="n">
        <v>70115.94</v>
      </c>
    </row>
    <row r="10" customFormat="false" ht="15" hidden="false" customHeight="false" outlineLevel="0" collapsed="false">
      <c r="A10" s="2" t="n">
        <v>93</v>
      </c>
      <c r="B10" s="2" t="s">
        <v>132</v>
      </c>
      <c r="C10" s="2" t="n">
        <v>100.14</v>
      </c>
      <c r="D10" s="36" t="n">
        <v>99.08</v>
      </c>
      <c r="E10" s="36" t="n">
        <v>9921.87</v>
      </c>
      <c r="F10" s="36" t="n">
        <v>9922.07</v>
      </c>
      <c r="G10" s="36" t="n">
        <v>-0.2</v>
      </c>
      <c r="H10" s="36" t="n">
        <v>9921.87</v>
      </c>
    </row>
    <row r="11" customFormat="false" ht="15" hidden="false" customHeight="false" outlineLevel="0" collapsed="false">
      <c r="A11" s="2" t="n">
        <v>95</v>
      </c>
      <c r="B11" s="2" t="s">
        <v>134</v>
      </c>
      <c r="C11" s="2" t="n">
        <v>63.11</v>
      </c>
      <c r="D11" s="36" t="n">
        <v>318.79</v>
      </c>
      <c r="E11" s="36" t="n">
        <v>20118.84</v>
      </c>
      <c r="F11" s="36" t="n">
        <v>20119.03</v>
      </c>
      <c r="G11" s="36" t="n">
        <v>-0.19</v>
      </c>
      <c r="H11" s="36" t="n">
        <v>20118.84</v>
      </c>
    </row>
    <row r="12" customFormat="false" ht="15" hidden="false" customHeight="false" outlineLevel="0" collapsed="false">
      <c r="A12" s="2" t="n">
        <v>97</v>
      </c>
      <c r="B12" s="2" t="s">
        <v>137</v>
      </c>
      <c r="C12" s="2" t="n">
        <v>218.15</v>
      </c>
      <c r="D12" s="36" t="n">
        <v>318.06</v>
      </c>
      <c r="E12" s="36" t="n">
        <v>69384.79</v>
      </c>
      <c r="F12" s="36" t="n">
        <v>69384.35</v>
      </c>
      <c r="G12" s="36" t="n">
        <v>0.44</v>
      </c>
      <c r="H12" s="36" t="n">
        <v>69384.79</v>
      </c>
    </row>
    <row r="13" customFormat="false" ht="15" hidden="false" customHeight="false" outlineLevel="0" collapsed="false">
      <c r="A13" s="2" t="n">
        <v>99</v>
      </c>
      <c r="B13" s="2" t="s">
        <v>139</v>
      </c>
      <c r="C13" s="2" t="n">
        <v>29.47</v>
      </c>
      <c r="D13" s="36" t="n">
        <v>436.23</v>
      </c>
      <c r="E13" s="36" t="n">
        <v>12855.7</v>
      </c>
      <c r="F13" s="36" t="n">
        <v>12855.64</v>
      </c>
      <c r="G13" s="36" t="n">
        <v>0.06</v>
      </c>
      <c r="H13" s="36" t="n">
        <v>12855.7</v>
      </c>
    </row>
    <row r="14" customFormat="false" ht="15" hidden="false" customHeight="false" outlineLevel="0" collapsed="false">
      <c r="A14" s="2" t="n">
        <v>103</v>
      </c>
      <c r="B14" s="2" t="s">
        <v>143</v>
      </c>
      <c r="C14" s="2" t="n">
        <v>262.53</v>
      </c>
      <c r="D14" s="36" t="n">
        <v>657.49</v>
      </c>
      <c r="E14" s="36" t="n">
        <v>172610.85</v>
      </c>
      <c r="F14" s="36" t="n">
        <v>172610.32</v>
      </c>
      <c r="G14" s="36" t="n">
        <v>0.53</v>
      </c>
      <c r="H14" s="36" t="n">
        <v>172610.85</v>
      </c>
    </row>
    <row r="15" customFormat="false" ht="15" hidden="false" customHeight="false" outlineLevel="0" collapsed="false">
      <c r="A15" s="2" t="n">
        <v>106</v>
      </c>
      <c r="B15" s="2" t="s">
        <v>146</v>
      </c>
      <c r="C15" s="2" t="n">
        <v>85.74</v>
      </c>
      <c r="D15" s="36" t="n">
        <v>572.35</v>
      </c>
      <c r="E15" s="36" t="n">
        <v>49073.29</v>
      </c>
      <c r="F15" s="36" t="n">
        <v>49073.12</v>
      </c>
      <c r="G15" s="36" t="n">
        <v>0.17</v>
      </c>
      <c r="H15" s="36" t="n">
        <v>49073.29</v>
      </c>
    </row>
    <row r="16" customFormat="false" ht="15" hidden="false" customHeight="false" outlineLevel="0" collapsed="false">
      <c r="A16" s="2" t="n">
        <v>110</v>
      </c>
      <c r="B16" s="2" t="s">
        <v>150</v>
      </c>
      <c r="C16" s="2" t="n">
        <v>95.51</v>
      </c>
      <c r="D16" s="36" t="n">
        <v>603.97</v>
      </c>
      <c r="E16" s="36" t="n">
        <v>57685.17</v>
      </c>
      <c r="F16" s="36" t="n">
        <v>57685.27</v>
      </c>
      <c r="G16" s="36" t="n">
        <v>-0.1</v>
      </c>
      <c r="H16" s="36" t="n">
        <v>57685.17</v>
      </c>
    </row>
    <row r="17" customFormat="false" ht="15" hidden="false" customHeight="false" outlineLevel="0" collapsed="false">
      <c r="A17" s="2" t="n">
        <v>112</v>
      </c>
      <c r="B17" s="2" t="s">
        <v>152</v>
      </c>
      <c r="C17" s="2" t="n">
        <v>101.63</v>
      </c>
      <c r="D17" s="36" t="n">
        <v>566.23</v>
      </c>
      <c r="E17" s="36" t="n">
        <v>57545.95</v>
      </c>
      <c r="F17" s="36" t="n">
        <v>57546.06</v>
      </c>
      <c r="G17" s="36" t="n">
        <v>-0.11</v>
      </c>
      <c r="H17" s="36" t="n">
        <v>57545.95</v>
      </c>
    </row>
    <row r="18" customFormat="false" ht="15" hidden="false" customHeight="false" outlineLevel="0" collapsed="false">
      <c r="A18" s="2" t="n">
        <v>114</v>
      </c>
      <c r="B18" s="2" t="s">
        <v>155</v>
      </c>
      <c r="C18" s="2" t="n">
        <v>243.09</v>
      </c>
      <c r="D18" s="36" t="n">
        <v>435.21</v>
      </c>
      <c r="E18" s="36" t="n">
        <v>105795.2</v>
      </c>
      <c r="F18" s="36" t="n">
        <v>105794.23</v>
      </c>
      <c r="G18" s="36" t="n">
        <v>0.97</v>
      </c>
      <c r="H18" s="36" t="n">
        <v>105795.2</v>
      </c>
    </row>
    <row r="19" customFormat="false" ht="15" hidden="false" customHeight="false" outlineLevel="0" collapsed="false">
      <c r="A19" s="2" t="n">
        <v>121</v>
      </c>
      <c r="B19" s="2" t="s">
        <v>163</v>
      </c>
      <c r="C19" s="2" t="n">
        <v>419.56</v>
      </c>
      <c r="D19" s="36" t="n">
        <v>51.52</v>
      </c>
      <c r="E19" s="36" t="n">
        <v>21615.73</v>
      </c>
      <c r="F19" s="36" t="n">
        <v>21617.37</v>
      </c>
      <c r="G19" s="36" t="n">
        <v>-1.64</v>
      </c>
      <c r="H19" s="36" t="n">
        <v>21615.73</v>
      </c>
    </row>
    <row r="20" customFormat="false" ht="15" hidden="false" customHeight="false" outlineLevel="0" collapsed="false">
      <c r="A20" s="2" t="n">
        <v>123</v>
      </c>
      <c r="B20" s="2" t="s">
        <v>165</v>
      </c>
      <c r="C20" s="2" t="n">
        <v>1602.9</v>
      </c>
      <c r="D20" s="36" t="n">
        <v>48.91</v>
      </c>
      <c r="E20" s="36" t="n">
        <v>78397.84</v>
      </c>
      <c r="F20" s="36" t="n">
        <v>78397.71</v>
      </c>
      <c r="G20" s="36" t="n">
        <v>0.13</v>
      </c>
      <c r="H20" s="36" t="n">
        <v>78397.84</v>
      </c>
    </row>
    <row r="21" customFormat="false" ht="15" hidden="false" customHeight="false" outlineLevel="0" collapsed="false">
      <c r="A21" s="2" t="n">
        <v>125</v>
      </c>
      <c r="B21" s="2" t="s">
        <v>167</v>
      </c>
      <c r="C21" s="2" t="n">
        <v>262.82</v>
      </c>
      <c r="D21" s="36" t="n">
        <v>49.66</v>
      </c>
      <c r="E21" s="36" t="n">
        <v>13051.64</v>
      </c>
      <c r="F21" s="36" t="n">
        <v>13050.79</v>
      </c>
      <c r="G21" s="36" t="n">
        <v>0.85</v>
      </c>
      <c r="H21" s="36" t="n">
        <v>13051.64</v>
      </c>
    </row>
    <row r="22" customFormat="false" ht="15" hidden="false" customHeight="false" outlineLevel="0" collapsed="false">
      <c r="A22" s="2" t="n">
        <v>159</v>
      </c>
      <c r="B22" s="2" t="s">
        <v>205</v>
      </c>
      <c r="C22" s="2" t="n">
        <v>1158.75</v>
      </c>
      <c r="D22" s="36" t="n">
        <v>53.12</v>
      </c>
      <c r="E22" s="36" t="n">
        <v>61552.8</v>
      </c>
      <c r="F22" s="36" t="n">
        <v>61549.16</v>
      </c>
      <c r="G22" s="36" t="n">
        <v>3.64</v>
      </c>
      <c r="H22" s="36" t="n">
        <v>61552.8</v>
      </c>
    </row>
    <row r="23" customFormat="false" ht="15" hidden="false" customHeight="false" outlineLevel="0" collapsed="false">
      <c r="A23" s="2" t="n">
        <v>161</v>
      </c>
      <c r="B23" s="2" t="s">
        <v>207</v>
      </c>
      <c r="C23" s="2" t="n">
        <v>877.52</v>
      </c>
      <c r="D23" s="36" t="n">
        <v>69.73</v>
      </c>
      <c r="E23" s="36" t="n">
        <v>61189.47</v>
      </c>
      <c r="F23" s="36" t="n">
        <v>61192.02</v>
      </c>
      <c r="G23" s="36" t="n">
        <v>-2.55</v>
      </c>
      <c r="H23" s="36" t="n">
        <v>61189.47</v>
      </c>
    </row>
    <row r="24" customFormat="false" ht="15" hidden="false" customHeight="false" outlineLevel="0" collapsed="false">
      <c r="A24" s="2" t="n">
        <v>163</v>
      </c>
      <c r="B24" s="2" t="s">
        <v>209</v>
      </c>
      <c r="C24" s="2" t="n">
        <v>50.8</v>
      </c>
      <c r="D24" s="36" t="n">
        <v>67.22</v>
      </c>
      <c r="E24" s="36" t="n">
        <v>3414.78</v>
      </c>
      <c r="F24" s="36" t="n">
        <v>3414.57</v>
      </c>
      <c r="G24" s="36" t="n">
        <v>0.21</v>
      </c>
      <c r="H24" s="36" t="n">
        <v>3414.78</v>
      </c>
    </row>
    <row r="25" customFormat="false" ht="15" hidden="false" customHeight="false" outlineLevel="0" collapsed="false">
      <c r="A25" s="2" t="n">
        <v>165</v>
      </c>
      <c r="B25" s="2" t="s">
        <v>211</v>
      </c>
      <c r="C25" s="2" t="n">
        <v>272.7</v>
      </c>
      <c r="D25" s="36" t="n">
        <v>78.89</v>
      </c>
      <c r="E25" s="36" t="n">
        <v>21513.3</v>
      </c>
      <c r="F25" s="36" t="n">
        <v>21512.03</v>
      </c>
      <c r="G25" s="36" t="n">
        <v>1.27</v>
      </c>
      <c r="H25" s="36" t="n">
        <v>21513.3</v>
      </c>
    </row>
    <row r="26" customFormat="false" ht="15" hidden="false" customHeight="false" outlineLevel="0" collapsed="false">
      <c r="A26" s="2" t="n">
        <v>167</v>
      </c>
      <c r="B26" s="2" t="s">
        <v>213</v>
      </c>
      <c r="C26" s="2" t="n">
        <v>22.5</v>
      </c>
      <c r="D26" s="36" t="n">
        <v>98.61</v>
      </c>
      <c r="E26" s="36" t="n">
        <v>2218.72</v>
      </c>
      <c r="F26" s="36" t="n">
        <v>2218.65</v>
      </c>
      <c r="G26" s="36" t="n">
        <v>0.07</v>
      </c>
      <c r="H26" s="36" t="n">
        <v>2218.73</v>
      </c>
    </row>
    <row r="27" customFormat="false" ht="15" hidden="false" customHeight="false" outlineLevel="0" collapsed="false">
      <c r="A27" s="2" t="n">
        <v>169</v>
      </c>
      <c r="B27" s="2" t="s">
        <v>215</v>
      </c>
      <c r="C27" s="2" t="n">
        <v>855.69</v>
      </c>
      <c r="D27" s="36" t="n">
        <v>93.7</v>
      </c>
      <c r="E27" s="36" t="n">
        <v>80178.15</v>
      </c>
      <c r="F27" s="36" t="n">
        <v>80181.23</v>
      </c>
      <c r="G27" s="36" t="n">
        <v>-3.08</v>
      </c>
      <c r="H27" s="36" t="n">
        <v>80178.15</v>
      </c>
    </row>
    <row r="28" customFormat="false" ht="15" hidden="false" customHeight="false" outlineLevel="0" collapsed="false">
      <c r="A28" s="2" t="n">
        <v>171</v>
      </c>
      <c r="B28" s="2" t="s">
        <v>217</v>
      </c>
      <c r="C28" s="2" t="n">
        <v>196.98</v>
      </c>
      <c r="D28" s="36" t="n">
        <v>184.36</v>
      </c>
      <c r="E28" s="36" t="n">
        <v>36315.23</v>
      </c>
      <c r="F28" s="36" t="n">
        <v>36314.52</v>
      </c>
      <c r="G28" s="36" t="n">
        <v>0.71</v>
      </c>
      <c r="H28" s="36" t="n">
        <v>36315.23</v>
      </c>
    </row>
    <row r="29" customFormat="false" ht="15" hidden="false" customHeight="false" outlineLevel="0" collapsed="false">
      <c r="A29" s="2" t="n">
        <v>173</v>
      </c>
      <c r="B29" s="2" t="s">
        <v>219</v>
      </c>
      <c r="C29" s="2" t="n">
        <v>98.64</v>
      </c>
      <c r="D29" s="36" t="n">
        <v>69.73</v>
      </c>
      <c r="E29" s="36" t="n">
        <v>6878.17</v>
      </c>
      <c r="F29" s="36" t="n">
        <v>6878.45</v>
      </c>
      <c r="G29" s="36" t="n">
        <v>-0.28</v>
      </c>
      <c r="H29" s="36" t="n">
        <v>6878.17</v>
      </c>
    </row>
    <row r="30" customFormat="false" ht="15" hidden="false" customHeight="false" outlineLevel="0" collapsed="false">
      <c r="A30" s="2" t="n">
        <v>175</v>
      </c>
      <c r="B30" s="2" t="s">
        <v>222</v>
      </c>
      <c r="C30" s="2" t="n">
        <v>193.49</v>
      </c>
      <c r="D30" s="36" t="n">
        <v>184.36</v>
      </c>
      <c r="E30" s="36" t="n">
        <v>35671.82</v>
      </c>
      <c r="F30" s="36" t="n">
        <v>35671.11</v>
      </c>
      <c r="G30" s="36" t="n">
        <v>0.71</v>
      </c>
      <c r="H30" s="36" t="n">
        <v>35671.82</v>
      </c>
    </row>
    <row r="31" customFormat="false" ht="15" hidden="false" customHeight="false" outlineLevel="0" collapsed="false">
      <c r="A31" s="2" t="n">
        <v>179</v>
      </c>
      <c r="B31" s="2" t="s">
        <v>226</v>
      </c>
      <c r="C31" s="2" t="n">
        <v>2017.13</v>
      </c>
      <c r="D31" s="36" t="n">
        <v>2.64</v>
      </c>
      <c r="E31" s="36" t="n">
        <v>5325.22</v>
      </c>
      <c r="F31" s="36" t="n">
        <v>5329.66</v>
      </c>
      <c r="G31" s="36" t="n">
        <v>-4.44</v>
      </c>
      <c r="H31" s="36" t="n">
        <v>5325.22</v>
      </c>
    </row>
    <row r="32" customFormat="false" ht="15" hidden="false" customHeight="false" outlineLevel="0" collapsed="false">
      <c r="A32" s="2" t="n">
        <v>184</v>
      </c>
      <c r="B32" s="2" t="s">
        <v>231</v>
      </c>
      <c r="C32" s="2" t="n">
        <v>419.56</v>
      </c>
      <c r="D32" s="36" t="n">
        <v>4.31</v>
      </c>
      <c r="E32" s="36" t="n">
        <v>1808.3</v>
      </c>
      <c r="F32" s="36" t="n">
        <v>1806.63</v>
      </c>
      <c r="G32" s="36" t="n">
        <v>1.67</v>
      </c>
      <c r="H32" s="36" t="n">
        <v>1808.3</v>
      </c>
    </row>
    <row r="33" customFormat="false" ht="15" hidden="false" customHeight="false" outlineLevel="0" collapsed="false">
      <c r="A33" s="2" t="n">
        <v>194</v>
      </c>
      <c r="B33" s="2" t="s">
        <v>243</v>
      </c>
      <c r="C33" s="2" t="n">
        <v>244.57</v>
      </c>
      <c r="D33" s="36" t="n">
        <v>20.32</v>
      </c>
      <c r="E33" s="36" t="n">
        <v>4969.66</v>
      </c>
      <c r="F33" s="36" t="n">
        <v>4969.17</v>
      </c>
      <c r="G33" s="36" t="n">
        <v>0.49</v>
      </c>
      <c r="H33" s="36" t="n">
        <v>4969.66</v>
      </c>
    </row>
    <row r="34" customFormat="false" ht="15" hidden="false" customHeight="false" outlineLevel="0" collapsed="false">
      <c r="A34" s="2" t="n">
        <v>196</v>
      </c>
      <c r="B34" s="2" t="s">
        <v>246</v>
      </c>
      <c r="C34" s="2" t="n">
        <v>1085.8</v>
      </c>
      <c r="D34" s="36" t="n">
        <v>17.65</v>
      </c>
      <c r="E34" s="36" t="n">
        <v>19164.37</v>
      </c>
      <c r="F34" s="36" t="n">
        <v>19163.28</v>
      </c>
      <c r="G34" s="36" t="n">
        <v>1.09</v>
      </c>
      <c r="H34" s="36" t="n">
        <v>19164.37</v>
      </c>
    </row>
    <row r="35" customFormat="false" ht="15" hidden="false" customHeight="false" outlineLevel="0" collapsed="false">
      <c r="A35" s="2" t="n">
        <v>239</v>
      </c>
      <c r="B35" s="2" t="s">
        <v>294</v>
      </c>
      <c r="C35" s="2" t="n">
        <v>1230</v>
      </c>
      <c r="D35" s="36" t="n">
        <v>71.83</v>
      </c>
      <c r="E35" s="36" t="n">
        <v>88350.9</v>
      </c>
      <c r="F35" s="36" t="n">
        <v>88348</v>
      </c>
      <c r="G35" s="36" t="n">
        <v>2.9</v>
      </c>
      <c r="H35" s="36" t="n">
        <v>88350.9</v>
      </c>
    </row>
    <row r="36" customFormat="false" ht="15" hidden="false" customHeight="false" outlineLevel="0" collapsed="false">
      <c r="A36" s="2" t="n">
        <v>241</v>
      </c>
      <c r="B36" s="2" t="s">
        <v>296</v>
      </c>
      <c r="C36" s="2" t="n">
        <v>454</v>
      </c>
      <c r="D36" s="36" t="n">
        <v>71.83</v>
      </c>
      <c r="E36" s="36" t="n">
        <v>32610.82</v>
      </c>
      <c r="F36" s="36" t="n">
        <v>32609.75</v>
      </c>
      <c r="G36" s="36" t="n">
        <v>1.07</v>
      </c>
      <c r="H36" s="36" t="n">
        <v>32610.82</v>
      </c>
    </row>
    <row r="37" customFormat="false" ht="15" hidden="false" customHeight="false" outlineLevel="0" collapsed="false">
      <c r="A37" s="2" t="n">
        <v>246</v>
      </c>
      <c r="B37" s="2" t="s">
        <v>301</v>
      </c>
      <c r="C37" s="2" t="n">
        <v>128</v>
      </c>
      <c r="D37" s="36" t="n">
        <v>78.93</v>
      </c>
      <c r="E37" s="36" t="n">
        <v>10103.04</v>
      </c>
      <c r="F37" s="36" t="n">
        <v>10102.74</v>
      </c>
      <c r="G37" s="36" t="n">
        <v>0.3</v>
      </c>
      <c r="H37" s="36" t="n">
        <v>10103.04</v>
      </c>
    </row>
    <row r="38" customFormat="false" ht="15" hidden="false" customHeight="false" outlineLevel="0" collapsed="false">
      <c r="A38" s="2" t="n">
        <v>248</v>
      </c>
      <c r="B38" s="2" t="s">
        <v>302</v>
      </c>
      <c r="C38" s="2" t="n">
        <v>39</v>
      </c>
      <c r="D38" s="36" t="n">
        <v>78.93</v>
      </c>
      <c r="E38" s="36" t="n">
        <v>3078.27</v>
      </c>
      <c r="F38" s="36" t="n">
        <v>3078.18</v>
      </c>
      <c r="G38" s="36" t="n">
        <v>0.09</v>
      </c>
      <c r="H38" s="36" t="n">
        <v>3078.27</v>
      </c>
    </row>
    <row r="39" customFormat="false" ht="15" hidden="false" customHeight="false" outlineLevel="0" collapsed="false">
      <c r="A39" s="2" t="n">
        <v>250</v>
      </c>
      <c r="B39" s="2" t="s">
        <v>303</v>
      </c>
      <c r="C39" s="2" t="n">
        <v>256</v>
      </c>
      <c r="D39" s="36" t="n">
        <v>63.44</v>
      </c>
      <c r="E39" s="36" t="n">
        <v>16240.64</v>
      </c>
      <c r="F39" s="36" t="n">
        <v>16240.08</v>
      </c>
      <c r="G39" s="36" t="n">
        <v>0.56</v>
      </c>
      <c r="H39" s="36" t="n">
        <v>16240.64</v>
      </c>
    </row>
    <row r="40" customFormat="false" ht="15" hidden="false" customHeight="false" outlineLevel="0" collapsed="false">
      <c r="A40" s="2" t="n">
        <v>254</v>
      </c>
      <c r="B40" s="2" t="s">
        <v>307</v>
      </c>
      <c r="C40" s="2" t="n">
        <v>35</v>
      </c>
      <c r="D40" s="36" t="n">
        <v>78.93</v>
      </c>
      <c r="E40" s="36" t="n">
        <v>2762.55</v>
      </c>
      <c r="F40" s="36" t="n">
        <v>2762.47</v>
      </c>
      <c r="G40" s="36" t="n">
        <v>0.08</v>
      </c>
      <c r="H40" s="36" t="n">
        <v>2762.55</v>
      </c>
    </row>
    <row r="41" customFormat="false" ht="15" hidden="false" customHeight="false" outlineLevel="0" collapsed="false">
      <c r="A41" s="2" t="n">
        <v>267</v>
      </c>
      <c r="B41" s="2" t="s">
        <v>319</v>
      </c>
      <c r="C41" s="2" t="n">
        <v>95</v>
      </c>
      <c r="D41" s="36" t="n">
        <v>10.66</v>
      </c>
      <c r="E41" s="36" t="n">
        <v>1012.7</v>
      </c>
      <c r="F41" s="36" t="n">
        <v>1012.94</v>
      </c>
      <c r="G41" s="36" t="n">
        <v>-0.24</v>
      </c>
      <c r="H41" s="36" t="n">
        <v>1012.7</v>
      </c>
    </row>
    <row r="42" customFormat="false" ht="15" hidden="false" customHeight="false" outlineLevel="0" collapsed="false">
      <c r="A42" s="2" t="n">
        <v>269</v>
      </c>
      <c r="B42" s="2" t="s">
        <v>321</v>
      </c>
      <c r="C42" s="2" t="n">
        <v>214</v>
      </c>
      <c r="D42" s="36" t="n">
        <v>10.66</v>
      </c>
      <c r="E42" s="36" t="n">
        <v>2281.24</v>
      </c>
      <c r="F42" s="36" t="n">
        <v>2281.78</v>
      </c>
      <c r="G42" s="36" t="n">
        <v>-0.54</v>
      </c>
      <c r="H42" s="36" t="n">
        <v>2281.24</v>
      </c>
    </row>
    <row r="43" customFormat="false" ht="15" hidden="false" customHeight="false" outlineLevel="0" collapsed="false">
      <c r="A43" s="2" t="n">
        <v>271</v>
      </c>
      <c r="B43" s="2" t="s">
        <v>323</v>
      </c>
      <c r="C43" s="2" t="n">
        <v>464</v>
      </c>
      <c r="D43" s="36" t="n">
        <v>2.64</v>
      </c>
      <c r="E43" s="36" t="n">
        <v>1224.96</v>
      </c>
      <c r="F43" s="36" t="n">
        <v>1225.98</v>
      </c>
      <c r="G43" s="36" t="n">
        <v>-1.02</v>
      </c>
      <c r="H43" s="36" t="n">
        <v>1224.96</v>
      </c>
    </row>
    <row r="44" customFormat="false" ht="15" hidden="false" customHeight="false" outlineLevel="0" collapsed="false">
      <c r="A44" s="2" t="n">
        <v>285</v>
      </c>
      <c r="B44" s="2" t="s">
        <v>338</v>
      </c>
      <c r="C44" s="2" t="n">
        <v>1309</v>
      </c>
      <c r="D44" s="36" t="n">
        <v>55.38</v>
      </c>
      <c r="E44" s="36" t="n">
        <v>72492.42</v>
      </c>
      <c r="F44" s="36" t="n">
        <v>72491.68</v>
      </c>
      <c r="G44" s="36" t="n">
        <v>0.74</v>
      </c>
      <c r="H44" s="36" t="n">
        <v>72492.42</v>
      </c>
    </row>
    <row r="45" customFormat="false" ht="15" hidden="false" customHeight="false" outlineLevel="0" collapsed="false">
      <c r="A45" s="2" t="n">
        <v>292</v>
      </c>
      <c r="B45" s="2" t="s">
        <v>344</v>
      </c>
      <c r="C45" s="2" t="n">
        <v>170</v>
      </c>
      <c r="D45" s="36" t="n">
        <v>29.68</v>
      </c>
      <c r="E45" s="36" t="n">
        <v>5045.6</v>
      </c>
      <c r="F45" s="36" t="n">
        <v>5044.82</v>
      </c>
      <c r="G45" s="36" t="n">
        <v>0.78</v>
      </c>
      <c r="H45" s="36" t="n">
        <v>5045.6</v>
      </c>
    </row>
    <row r="46" customFormat="false" ht="15" hidden="false" customHeight="false" outlineLevel="0" collapsed="false">
      <c r="A46" s="2" t="n">
        <v>321</v>
      </c>
      <c r="B46" s="2" t="s">
        <v>370</v>
      </c>
      <c r="C46" s="2" t="n">
        <v>530</v>
      </c>
      <c r="D46" s="36" t="n">
        <v>29.68</v>
      </c>
      <c r="E46" s="36" t="n">
        <v>15730.4</v>
      </c>
      <c r="F46" s="36" t="n">
        <v>15727.97</v>
      </c>
      <c r="G46" s="36" t="n">
        <v>2.43</v>
      </c>
      <c r="H46" s="36" t="n">
        <v>15730.4</v>
      </c>
    </row>
    <row r="47" customFormat="false" ht="15" hidden="false" customHeight="false" outlineLevel="0" collapsed="false">
      <c r="A47" s="2" t="n">
        <v>323</v>
      </c>
      <c r="B47" s="2" t="s">
        <v>371</v>
      </c>
      <c r="C47" s="2" t="n">
        <v>95</v>
      </c>
      <c r="D47" s="36" t="n">
        <v>29.68</v>
      </c>
      <c r="E47" s="36" t="n">
        <v>2819.6</v>
      </c>
      <c r="F47" s="36" t="n">
        <v>2819.16</v>
      </c>
      <c r="G47" s="36" t="n">
        <v>0.44</v>
      </c>
      <c r="H47" s="36" t="n">
        <v>2819.6</v>
      </c>
    </row>
    <row r="48" customFormat="false" ht="15" hidden="false" customHeight="false" outlineLevel="0" collapsed="false">
      <c r="A48" s="2" t="n">
        <v>334</v>
      </c>
      <c r="B48" s="2" t="s">
        <v>379</v>
      </c>
      <c r="C48" s="2" t="n">
        <v>380</v>
      </c>
      <c r="D48" s="36" t="n">
        <v>33.47</v>
      </c>
      <c r="E48" s="36" t="n">
        <v>12718.6</v>
      </c>
      <c r="F48" s="36" t="n">
        <v>12719.68</v>
      </c>
      <c r="G48" s="36" t="n">
        <v>-1.08</v>
      </c>
      <c r="H48" s="36" t="n">
        <v>12718.6</v>
      </c>
    </row>
    <row r="49" customFormat="false" ht="15" hidden="false" customHeight="false" outlineLevel="0" collapsed="false">
      <c r="A49" s="2" t="n">
        <v>336</v>
      </c>
      <c r="B49" s="2" t="s">
        <v>380</v>
      </c>
      <c r="C49" s="2" t="n">
        <v>65</v>
      </c>
      <c r="D49" s="36" t="n">
        <v>33.47</v>
      </c>
      <c r="E49" s="36" t="n">
        <v>2175.55</v>
      </c>
      <c r="F49" s="36" t="n">
        <v>2175.73</v>
      </c>
      <c r="G49" s="36" t="n">
        <v>-0.18</v>
      </c>
      <c r="H49" s="36" t="n">
        <v>2175.55</v>
      </c>
    </row>
    <row r="50" customFormat="false" ht="15" hidden="false" customHeight="false" outlineLevel="0" collapsed="false">
      <c r="A50" s="2" t="n">
        <v>340</v>
      </c>
      <c r="B50" s="2" t="s">
        <v>383</v>
      </c>
      <c r="C50" s="2" t="n">
        <v>110</v>
      </c>
      <c r="D50" s="36" t="n">
        <v>16.31</v>
      </c>
      <c r="E50" s="36" t="n">
        <v>1794.1</v>
      </c>
      <c r="F50" s="36" t="n">
        <v>1794.46</v>
      </c>
      <c r="G50" s="36" t="n">
        <v>-0.36</v>
      </c>
      <c r="H50" s="36" t="n">
        <v>1794.1</v>
      </c>
    </row>
    <row r="51" customFormat="false" ht="15" hidden="false" customHeight="false" outlineLevel="0" collapsed="false">
      <c r="A51" s="2" t="n">
        <v>353</v>
      </c>
      <c r="B51" s="2" t="s">
        <v>395</v>
      </c>
      <c r="C51" s="2" t="n">
        <v>25</v>
      </c>
      <c r="D51" s="36" t="n">
        <v>109.9</v>
      </c>
      <c r="E51" s="36" t="n">
        <v>2747.5</v>
      </c>
      <c r="F51" s="36" t="n">
        <v>2747.55</v>
      </c>
      <c r="G51" s="36" t="n">
        <v>-0.05</v>
      </c>
      <c r="H51" s="36" t="n">
        <v>2747.5</v>
      </c>
    </row>
    <row r="52" customFormat="false" ht="15" hidden="false" customHeight="false" outlineLevel="0" collapsed="false">
      <c r="A52" s="2" t="n">
        <v>355</v>
      </c>
      <c r="B52" s="2" t="s">
        <v>397</v>
      </c>
      <c r="C52" s="2" t="n">
        <v>132</v>
      </c>
      <c r="D52" s="36" t="n">
        <v>21.39</v>
      </c>
      <c r="E52" s="36" t="n">
        <v>2823.48</v>
      </c>
      <c r="F52" s="36" t="n">
        <v>2823.02</v>
      </c>
      <c r="G52" s="36" t="n">
        <v>0.46</v>
      </c>
      <c r="H52" s="36" t="n">
        <v>2823.48</v>
      </c>
    </row>
    <row r="53" customFormat="false" ht="15" hidden="false" customHeight="false" outlineLevel="0" collapsed="false">
      <c r="A53" s="2" t="n">
        <v>365</v>
      </c>
      <c r="B53" s="2" t="s">
        <v>407</v>
      </c>
      <c r="C53" s="2" t="n">
        <v>1100</v>
      </c>
      <c r="D53" s="36" t="n">
        <v>91.07</v>
      </c>
      <c r="E53" s="36" t="n">
        <v>100177</v>
      </c>
      <c r="F53" s="36" t="n">
        <v>100182.41</v>
      </c>
      <c r="G53" s="36" t="n">
        <v>-5.41</v>
      </c>
      <c r="H53" s="36" t="n">
        <v>100177</v>
      </c>
    </row>
    <row r="54" customFormat="false" ht="15" hidden="false" customHeight="false" outlineLevel="0" collapsed="false">
      <c r="A54" s="2" t="n">
        <v>367</v>
      </c>
      <c r="B54" s="2" t="s">
        <v>409</v>
      </c>
      <c r="C54" s="2" t="n">
        <v>396</v>
      </c>
      <c r="D54" s="36" t="n">
        <v>91.07</v>
      </c>
      <c r="E54" s="36" t="n">
        <v>36063.72</v>
      </c>
      <c r="F54" s="36" t="n">
        <v>36065.67</v>
      </c>
      <c r="G54" s="36" t="n">
        <v>-1.95</v>
      </c>
      <c r="H54" s="36" t="n">
        <v>36063.72</v>
      </c>
    </row>
    <row r="55" customFormat="false" ht="15" hidden="false" customHeight="false" outlineLevel="0" collapsed="false">
      <c r="A55" s="2" t="n">
        <v>369</v>
      </c>
      <c r="B55" s="2" t="s">
        <v>411</v>
      </c>
      <c r="C55" s="2" t="n">
        <v>102</v>
      </c>
      <c r="D55" s="36" t="n">
        <v>91.07</v>
      </c>
      <c r="E55" s="36" t="n">
        <v>9289.14</v>
      </c>
      <c r="F55" s="36" t="n">
        <v>9289.64</v>
      </c>
      <c r="G55" s="36" t="n">
        <v>-0.5</v>
      </c>
      <c r="H55" s="36" t="n">
        <v>9289.14</v>
      </c>
    </row>
    <row r="56" customFormat="false" ht="15" hidden="false" customHeight="false" outlineLevel="0" collapsed="false">
      <c r="A56" s="2" t="n">
        <v>379</v>
      </c>
      <c r="B56" s="2" t="s">
        <v>420</v>
      </c>
      <c r="C56" s="2" t="n">
        <v>177</v>
      </c>
      <c r="D56" s="36" t="n">
        <v>59</v>
      </c>
      <c r="E56" s="36" t="n">
        <v>10443</v>
      </c>
      <c r="F56" s="36" t="n">
        <v>10442.75</v>
      </c>
      <c r="G56" s="36" t="n">
        <v>0.25</v>
      </c>
      <c r="H56" s="36" t="n">
        <v>10443</v>
      </c>
    </row>
    <row r="57" customFormat="false" ht="15" hidden="false" customHeight="false" outlineLevel="0" collapsed="false">
      <c r="A57" s="2" t="n">
        <v>406</v>
      </c>
      <c r="B57" s="2" t="s">
        <v>447</v>
      </c>
      <c r="C57" s="2" t="n">
        <v>23.5</v>
      </c>
      <c r="D57" s="36" t="n">
        <v>101.28</v>
      </c>
      <c r="E57" s="36" t="n">
        <v>2380.08</v>
      </c>
      <c r="F57" s="36" t="n">
        <v>2380</v>
      </c>
      <c r="G57" s="36" t="n">
        <v>0.08</v>
      </c>
      <c r="H57" s="36" t="n">
        <v>2380.08</v>
      </c>
    </row>
    <row r="58" customFormat="false" ht="15" hidden="false" customHeight="false" outlineLevel="0" collapsed="false">
      <c r="A58" s="2" t="n">
        <v>408</v>
      </c>
      <c r="B58" s="2" t="s">
        <v>449</v>
      </c>
      <c r="C58" s="2" t="n">
        <v>15</v>
      </c>
      <c r="D58" s="36" t="n">
        <v>35.34</v>
      </c>
      <c r="E58" s="36" t="n">
        <v>530.1</v>
      </c>
      <c r="F58" s="36" t="n">
        <v>530.16</v>
      </c>
      <c r="G58" s="36" t="n">
        <v>-0.06</v>
      </c>
      <c r="H58" s="36" t="n">
        <v>530.1</v>
      </c>
    </row>
    <row r="59" customFormat="false" ht="15" hidden="false" customHeight="false" outlineLevel="0" collapsed="false">
      <c r="A59" s="2" t="n">
        <v>427</v>
      </c>
      <c r="B59" s="2" t="s">
        <v>465</v>
      </c>
      <c r="C59" s="2" t="n">
        <v>1086</v>
      </c>
      <c r="D59" s="36" t="n">
        <v>34.13</v>
      </c>
      <c r="E59" s="36" t="n">
        <v>37065.18</v>
      </c>
      <c r="F59" s="36" t="n">
        <v>37070</v>
      </c>
      <c r="G59" s="36" t="n">
        <v>-4.82</v>
      </c>
      <c r="H59" s="36" t="n">
        <v>37065.18</v>
      </c>
    </row>
    <row r="60" customFormat="false" ht="15" hidden="false" customHeight="false" outlineLevel="0" collapsed="false">
      <c r="A60" s="2" t="n">
        <v>433</v>
      </c>
      <c r="B60" s="2" t="s">
        <v>472</v>
      </c>
      <c r="C60" s="2" t="n">
        <v>2538</v>
      </c>
      <c r="D60" s="36" t="n">
        <v>50.18</v>
      </c>
      <c r="E60" s="36" t="n">
        <v>127356.84</v>
      </c>
      <c r="F60" s="36" t="n">
        <v>127363.19</v>
      </c>
      <c r="G60" s="36" t="n">
        <v>-6.35</v>
      </c>
      <c r="H60" s="36" t="n">
        <v>127356.84</v>
      </c>
    </row>
    <row r="61" customFormat="false" ht="15" hidden="false" customHeight="false" outlineLevel="0" collapsed="false">
      <c r="A61" s="2" t="n">
        <v>437</v>
      </c>
      <c r="B61" s="2" t="s">
        <v>477</v>
      </c>
      <c r="C61" s="2" t="n">
        <v>155</v>
      </c>
      <c r="D61" s="36" t="n">
        <v>23.73</v>
      </c>
      <c r="E61" s="36" t="n">
        <v>3678.15</v>
      </c>
      <c r="F61" s="36" t="n">
        <v>3677.38</v>
      </c>
      <c r="G61" s="36" t="n">
        <v>0.77</v>
      </c>
      <c r="H61" s="36" t="n">
        <v>3678.15</v>
      </c>
    </row>
    <row r="62" customFormat="false" ht="15" hidden="false" customHeight="false" outlineLevel="0" collapsed="false">
      <c r="A62" s="2" t="n">
        <v>441</v>
      </c>
      <c r="B62" s="2" t="s">
        <v>481</v>
      </c>
      <c r="C62" s="2" t="n">
        <v>117</v>
      </c>
      <c r="D62" s="36" t="n">
        <v>16.33</v>
      </c>
      <c r="E62" s="36" t="n">
        <v>1910.61</v>
      </c>
      <c r="F62" s="36" t="n">
        <v>1910.85</v>
      </c>
      <c r="G62" s="36" t="n">
        <v>-0.24</v>
      </c>
      <c r="H62" s="36" t="n">
        <v>1910.61</v>
      </c>
    </row>
    <row r="63" customFormat="false" ht="15" hidden="false" customHeight="false" outlineLevel="0" collapsed="false">
      <c r="A63" s="2" t="n">
        <v>454</v>
      </c>
      <c r="B63" s="2" t="s">
        <v>494</v>
      </c>
      <c r="C63" s="2" t="n">
        <v>120</v>
      </c>
      <c r="D63" s="36" t="n">
        <v>21.39</v>
      </c>
      <c r="E63" s="36" t="n">
        <v>2566.8</v>
      </c>
      <c r="F63" s="36" t="n">
        <v>2566.38</v>
      </c>
      <c r="G63" s="36" t="n">
        <v>0.42</v>
      </c>
      <c r="H63" s="36" t="n">
        <v>2566.8</v>
      </c>
    </row>
    <row r="64" customFormat="false" ht="15" hidden="false" customHeight="false" outlineLevel="0" collapsed="false">
      <c r="A64" s="2" t="n">
        <v>456</v>
      </c>
      <c r="B64" s="2" t="s">
        <v>496</v>
      </c>
      <c r="C64" s="2" t="n">
        <v>105</v>
      </c>
      <c r="D64" s="36" t="n">
        <v>93.32</v>
      </c>
      <c r="E64" s="36" t="n">
        <v>9798.6</v>
      </c>
      <c r="F64" s="36" t="n">
        <v>9798.54</v>
      </c>
      <c r="G64" s="36" t="n">
        <v>0.06</v>
      </c>
      <c r="H64" s="36" t="n">
        <v>9798.6</v>
      </c>
    </row>
    <row r="65" customFormat="false" ht="15" hidden="false" customHeight="false" outlineLevel="0" collapsed="false">
      <c r="A65" s="2" t="n">
        <v>675</v>
      </c>
      <c r="B65" s="2" t="s">
        <v>714</v>
      </c>
      <c r="C65" s="2" t="n">
        <v>250</v>
      </c>
      <c r="D65" s="36" t="n">
        <v>7.35</v>
      </c>
      <c r="E65" s="36" t="n">
        <v>1837.5</v>
      </c>
      <c r="F65" s="36" t="n">
        <v>1838.75</v>
      </c>
      <c r="G65" s="36" t="n">
        <v>-1.25</v>
      </c>
      <c r="H65" s="36" t="n">
        <v>1837.5</v>
      </c>
    </row>
    <row r="66" customFormat="false" ht="15" hidden="false" customHeight="false" outlineLevel="0" collapsed="false">
      <c r="A66" s="2" t="n">
        <v>677</v>
      </c>
      <c r="B66" s="2" t="s">
        <v>716</v>
      </c>
      <c r="C66" s="2" t="n">
        <v>580</v>
      </c>
      <c r="D66" s="36" t="n">
        <v>7.35</v>
      </c>
      <c r="E66" s="36" t="n">
        <v>4263</v>
      </c>
      <c r="F66" s="36" t="n">
        <v>4265.89</v>
      </c>
      <c r="G66" s="36" t="n">
        <v>-2.89</v>
      </c>
      <c r="H66" s="36" t="n">
        <v>4263</v>
      </c>
    </row>
    <row r="67" customFormat="false" ht="15" hidden="false" customHeight="false" outlineLevel="0" collapsed="false">
      <c r="A67" s="2" t="n">
        <v>681</v>
      </c>
      <c r="B67" s="2" t="s">
        <v>720</v>
      </c>
      <c r="C67" s="2" t="n">
        <v>196</v>
      </c>
      <c r="D67" s="36" t="n">
        <v>7.35</v>
      </c>
      <c r="E67" s="36" t="n">
        <v>1440.6</v>
      </c>
      <c r="F67" s="36" t="n">
        <v>1441.58</v>
      </c>
      <c r="G67" s="36" t="n">
        <v>-0.98</v>
      </c>
      <c r="H67" s="36" t="n">
        <v>1440.6</v>
      </c>
    </row>
    <row r="68" customFormat="false" ht="15" hidden="false" customHeight="false" outlineLevel="0" collapsed="false">
      <c r="A68" s="2" t="n">
        <v>683</v>
      </c>
      <c r="B68" s="2" t="s">
        <v>722</v>
      </c>
      <c r="C68" s="2" t="n">
        <v>196</v>
      </c>
      <c r="D68" s="36" t="n">
        <v>7.35</v>
      </c>
      <c r="E68" s="36" t="n">
        <v>1440.6</v>
      </c>
      <c r="F68" s="36" t="n">
        <v>1441.58</v>
      </c>
      <c r="G68" s="36" t="n">
        <v>-0.98</v>
      </c>
      <c r="H68" s="36" t="n">
        <v>1440.6</v>
      </c>
    </row>
    <row r="69" customFormat="false" ht="15" hidden="false" customHeight="false" outlineLevel="0" collapsed="false">
      <c r="A69" s="2" t="n">
        <v>685</v>
      </c>
      <c r="B69" s="2" t="s">
        <v>724</v>
      </c>
      <c r="C69" s="2" t="n">
        <v>28</v>
      </c>
      <c r="D69" s="36" t="n">
        <v>7.35</v>
      </c>
      <c r="E69" s="36" t="n">
        <v>205.8</v>
      </c>
      <c r="F69" s="36" t="n">
        <v>205.94</v>
      </c>
      <c r="G69" s="36" t="n">
        <v>-0.14</v>
      </c>
      <c r="H69" s="36" t="n">
        <v>205.8</v>
      </c>
    </row>
    <row r="70" customFormat="false" ht="15" hidden="false" customHeight="false" outlineLevel="0" collapsed="false">
      <c r="A70" s="2" t="n">
        <v>687</v>
      </c>
      <c r="B70" s="2" t="s">
        <v>726</v>
      </c>
      <c r="C70" s="2" t="n">
        <v>26</v>
      </c>
      <c r="D70" s="36" t="n">
        <v>7.35</v>
      </c>
      <c r="E70" s="36" t="n">
        <v>191.1</v>
      </c>
      <c r="F70" s="36" t="n">
        <v>191.23</v>
      </c>
      <c r="G70" s="36" t="n">
        <v>-0.13</v>
      </c>
      <c r="H70" s="36" t="n">
        <v>191.1</v>
      </c>
    </row>
    <row r="71" customFormat="false" ht="15" hidden="false" customHeight="false" outlineLevel="0" collapsed="false">
      <c r="A71" s="2" t="n">
        <v>689</v>
      </c>
      <c r="B71" s="2" t="s">
        <v>728</v>
      </c>
      <c r="C71" s="2" t="n">
        <v>36</v>
      </c>
      <c r="D71" s="36" t="n">
        <v>7.35</v>
      </c>
      <c r="E71" s="36" t="n">
        <v>264.6</v>
      </c>
      <c r="F71" s="36" t="n">
        <v>264.78</v>
      </c>
      <c r="G71" s="36" t="n">
        <v>-0.18</v>
      </c>
      <c r="H71" s="36" t="n">
        <v>264.6</v>
      </c>
    </row>
    <row r="72" customFormat="false" ht="15" hidden="false" customHeight="false" outlineLevel="0" collapsed="false">
      <c r="A72" s="2" t="n">
        <v>694</v>
      </c>
      <c r="B72" s="2" t="s">
        <v>732</v>
      </c>
      <c r="C72" s="2" t="n">
        <v>36</v>
      </c>
      <c r="D72" s="36" t="n">
        <v>7.02</v>
      </c>
      <c r="E72" s="36" t="n">
        <v>252.72</v>
      </c>
      <c r="F72" s="36" t="n">
        <v>252.57</v>
      </c>
      <c r="G72" s="36" t="n">
        <v>0.15</v>
      </c>
      <c r="H72" s="36" t="n">
        <v>252.72</v>
      </c>
    </row>
    <row r="73" customFormat="false" ht="15" hidden="false" customHeight="false" outlineLevel="0" collapsed="false">
      <c r="A73" s="2" t="n">
        <v>696</v>
      </c>
      <c r="B73" s="2" t="s">
        <v>734</v>
      </c>
      <c r="C73" s="2" t="n">
        <v>37</v>
      </c>
      <c r="D73" s="36" t="n">
        <v>7.02</v>
      </c>
      <c r="E73" s="36" t="n">
        <v>259.74</v>
      </c>
      <c r="F73" s="36" t="n">
        <v>259.58</v>
      </c>
      <c r="G73" s="36" t="n">
        <v>0.16</v>
      </c>
      <c r="H73" s="36" t="n">
        <v>259.74</v>
      </c>
    </row>
    <row r="74" customFormat="false" ht="15" hidden="false" customHeight="false" outlineLevel="0" collapsed="false">
      <c r="A74" s="2" t="n">
        <v>698</v>
      </c>
      <c r="B74" s="2" t="s">
        <v>736</v>
      </c>
      <c r="C74" s="2" t="n">
        <v>140</v>
      </c>
      <c r="D74" s="36" t="n">
        <v>7.02</v>
      </c>
      <c r="E74" s="36" t="n">
        <v>982.8</v>
      </c>
      <c r="F74" s="36" t="n">
        <v>982.2</v>
      </c>
      <c r="G74" s="36" t="n">
        <v>0.6</v>
      </c>
      <c r="H74" s="36" t="n">
        <v>982.8</v>
      </c>
    </row>
    <row r="75" customFormat="false" ht="15" hidden="false" customHeight="false" outlineLevel="0" collapsed="false">
      <c r="A75" s="2" t="n">
        <v>700</v>
      </c>
      <c r="B75" s="2" t="s">
        <v>738</v>
      </c>
      <c r="C75" s="2" t="n">
        <v>138</v>
      </c>
      <c r="D75" s="36" t="n">
        <v>7.02</v>
      </c>
      <c r="E75" s="36" t="n">
        <v>968.76</v>
      </c>
      <c r="F75" s="36" t="n">
        <v>968.17</v>
      </c>
      <c r="G75" s="36" t="n">
        <v>0.59</v>
      </c>
      <c r="H75" s="36" t="n">
        <v>968.76</v>
      </c>
    </row>
    <row r="76" customFormat="false" ht="15" hidden="false" customHeight="false" outlineLevel="0" collapsed="false">
      <c r="A76" s="2" t="n">
        <v>702</v>
      </c>
      <c r="B76" s="2" t="s">
        <v>740</v>
      </c>
      <c r="C76" s="2" t="n">
        <v>850</v>
      </c>
      <c r="D76" s="36" t="n">
        <v>7.02</v>
      </c>
      <c r="E76" s="36" t="n">
        <v>5967</v>
      </c>
      <c r="F76" s="36" t="n">
        <v>5963.38</v>
      </c>
      <c r="G76" s="36" t="n">
        <v>3.62</v>
      </c>
      <c r="H76" s="36" t="n">
        <v>5967</v>
      </c>
    </row>
    <row r="77" customFormat="false" ht="15" hidden="false" customHeight="false" outlineLevel="0" collapsed="false">
      <c r="A77" s="2" t="n">
        <v>704</v>
      </c>
      <c r="B77" s="2" t="s">
        <v>742</v>
      </c>
      <c r="C77" s="2" t="n">
        <v>20</v>
      </c>
      <c r="D77" s="36" t="n">
        <v>7.02</v>
      </c>
      <c r="E77" s="36" t="n">
        <v>140.4</v>
      </c>
      <c r="F77" s="36" t="n">
        <v>140.31</v>
      </c>
      <c r="G77" s="36" t="n">
        <v>0.09</v>
      </c>
      <c r="H77" s="36" t="n">
        <v>140.4</v>
      </c>
    </row>
    <row r="78" customFormat="false" ht="15" hidden="false" customHeight="false" outlineLevel="0" collapsed="false">
      <c r="A78" s="2" t="n">
        <v>706</v>
      </c>
      <c r="B78" s="2" t="s">
        <v>744</v>
      </c>
      <c r="C78" s="2" t="n">
        <v>38</v>
      </c>
      <c r="D78" s="36" t="n">
        <v>7.02</v>
      </c>
      <c r="E78" s="36" t="n">
        <v>266.76</v>
      </c>
      <c r="F78" s="36" t="n">
        <v>266.6</v>
      </c>
      <c r="G78" s="36" t="n">
        <v>0.16</v>
      </c>
      <c r="H78" s="36" t="n">
        <v>266.76</v>
      </c>
    </row>
    <row r="79" customFormat="false" ht="15" hidden="false" customHeight="false" outlineLevel="0" collapsed="false">
      <c r="A79" s="2" t="n">
        <v>708</v>
      </c>
      <c r="B79" s="2" t="s">
        <v>746</v>
      </c>
      <c r="C79" s="2" t="n">
        <v>77</v>
      </c>
      <c r="D79" s="36" t="n">
        <v>7.02</v>
      </c>
      <c r="E79" s="36" t="n">
        <v>540.54</v>
      </c>
      <c r="F79" s="36" t="n">
        <v>540.21</v>
      </c>
      <c r="G79" s="36" t="n">
        <v>0.33</v>
      </c>
      <c r="H79" s="36" t="n">
        <v>540.54</v>
      </c>
    </row>
    <row r="80" customFormat="false" ht="15" hidden="false" customHeight="false" outlineLevel="0" collapsed="false">
      <c r="A80" s="2" t="n">
        <v>710</v>
      </c>
      <c r="B80" s="2" t="s">
        <v>748</v>
      </c>
      <c r="C80" s="2" t="n">
        <v>275</v>
      </c>
      <c r="D80" s="36" t="n">
        <v>7.02</v>
      </c>
      <c r="E80" s="36" t="n">
        <v>1930.5</v>
      </c>
      <c r="F80" s="36" t="n">
        <v>1929.33</v>
      </c>
      <c r="G80" s="36" t="n">
        <v>1.17</v>
      </c>
      <c r="H80" s="36" t="n">
        <v>1930.5</v>
      </c>
    </row>
    <row r="81" customFormat="false" ht="15" hidden="false" customHeight="false" outlineLevel="0" collapsed="false">
      <c r="A81" s="2" t="n">
        <v>796</v>
      </c>
      <c r="B81" s="2" t="s">
        <v>836</v>
      </c>
      <c r="C81" s="2" t="n">
        <v>187</v>
      </c>
      <c r="D81" s="36" t="n">
        <v>208.26</v>
      </c>
      <c r="E81" s="36" t="n">
        <v>38944.62</v>
      </c>
      <c r="F81" s="36" t="n">
        <v>38943.75</v>
      </c>
      <c r="G81" s="36" t="n">
        <v>0.87</v>
      </c>
      <c r="H81" s="36" t="n">
        <v>38944.62</v>
      </c>
    </row>
    <row r="82" customFormat="false" ht="15" hidden="false" customHeight="false" outlineLevel="0" collapsed="false">
      <c r="A82" s="2" t="n">
        <v>1186</v>
      </c>
      <c r="B82" s="2" t="s">
        <v>1169</v>
      </c>
      <c r="C82" s="2" t="n">
        <v>170.53</v>
      </c>
      <c r="D82" s="36" t="n">
        <v>46.66</v>
      </c>
      <c r="E82" s="36" t="n">
        <v>7956.93</v>
      </c>
      <c r="F82" s="36" t="n">
        <v>7957.05</v>
      </c>
      <c r="G82" s="36" t="n">
        <v>-0.12</v>
      </c>
      <c r="H82" s="36" t="n">
        <v>7956.93</v>
      </c>
    </row>
    <row r="83" customFormat="false" ht="15" hidden="false" customHeight="false" outlineLevel="0" collapsed="false">
      <c r="A83" s="2" t="n">
        <v>1318</v>
      </c>
      <c r="B83" s="2" t="s">
        <v>1276</v>
      </c>
      <c r="C83" s="2" t="n">
        <v>87.4</v>
      </c>
      <c r="D83" s="36" t="n">
        <v>236.38</v>
      </c>
      <c r="E83" s="36" t="n">
        <v>20659.61</v>
      </c>
      <c r="F83" s="36" t="n">
        <v>20659.56</v>
      </c>
      <c r="G83" s="36" t="n">
        <v>0.05</v>
      </c>
      <c r="H83" s="36" t="n">
        <v>20659.61</v>
      </c>
    </row>
    <row r="85" customFormat="false" ht="15" hidden="false" customHeight="false" outlineLevel="0" collapsed="false">
      <c r="A85" s="37" t="s">
        <v>2388</v>
      </c>
      <c r="B85" s="37"/>
      <c r="C85" s="37"/>
      <c r="D85" s="37"/>
      <c r="E85" s="37"/>
      <c r="F85" s="37"/>
      <c r="G85" s="37"/>
      <c r="H85" s="37"/>
    </row>
    <row r="86" customFormat="false" ht="15" hidden="false" customHeight="false" outlineLevel="0" collapsed="false">
      <c r="A86" s="37" t="s">
        <v>2389</v>
      </c>
      <c r="B86" s="37"/>
      <c r="C86" s="37"/>
      <c r="D86" s="37"/>
      <c r="E86" s="37"/>
      <c r="F86" s="37"/>
      <c r="G86" s="37"/>
      <c r="H86" s="37"/>
    </row>
    <row r="87" customFormat="false" ht="15" hidden="false" customHeight="false" outlineLevel="0" collapsed="false">
      <c r="A87" s="37" t="s">
        <v>2390</v>
      </c>
      <c r="B87" s="37"/>
      <c r="C87" s="37"/>
      <c r="D87" s="37"/>
      <c r="E87" s="37"/>
      <c r="F87" s="37"/>
      <c r="G87" s="37"/>
      <c r="H87" s="37"/>
    </row>
    <row r="88" customFormat="false" ht="15" hidden="false" customHeight="false" outlineLevel="0" collapsed="false">
      <c r="A88" s="37" t="s">
        <v>2391</v>
      </c>
      <c r="B88" s="37"/>
      <c r="C88" s="37"/>
      <c r="D88" s="37"/>
      <c r="E88" s="37"/>
      <c r="F88" s="37"/>
      <c r="G88" s="37"/>
      <c r="H88" s="37"/>
    </row>
    <row r="89" customFormat="false" ht="15" hidden="false" customHeight="false" outlineLevel="0" collapsed="false">
      <c r="A89" s="37" t="s">
        <v>2392</v>
      </c>
      <c r="B89" s="37"/>
      <c r="C89" s="37"/>
      <c r="D89" s="37"/>
      <c r="E89" s="37"/>
      <c r="F89" s="37"/>
      <c r="G89" s="37"/>
      <c r="H89" s="37"/>
    </row>
  </sheetData>
  <mergeCells count="5">
    <mergeCell ref="A85:H85"/>
    <mergeCell ref="A86:H86"/>
    <mergeCell ref="A87:H87"/>
    <mergeCell ref="A88:H88"/>
    <mergeCell ref="A89:H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2026-10-09T12:39:27Z</dcterms:created>
  <dc:creator/>
  <dc:description/>
  <dc:language>en-US</dc:language>
  <cp:lastModifiedBy>ac Machado</cp:lastModifiedBy>
  <dcterms:modified xsi:type="dcterms:W3CDTF">2026-10-09T12:39:28Z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