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INEL" sheetId="1" state="visible" r:id="rId3"/>
    <sheet name="LEGENDA" sheetId="2" state="visible" r:id="rId4"/>
    <sheet name="MAPA COMPARATIVO" sheetId="3" state="visible" r:id="rId5"/>
    <sheet name="CUSTO vs VENDA" sheetId="4" state="visible" r:id="rId6"/>
    <sheet name="MATRIZ CAP×TIPO" sheetId="5" state="visible" r:id="rId7"/>
    <sheet name="DUPLICAÇÕES" sheetId="6" state="visible" r:id="rId8"/>
    <sheet name="INCOERÊNCIAS DE PREÇO" sheetId="7" state="visible" r:id="rId9"/>
    <sheet name="PREÇOS vs MERCADO" sheetId="8" state="visible" r:id="rId10"/>
    <sheet name="OMISSÕES" sheetId="9" state="visible" r:id="rId11"/>
    <sheet name="ERROS, DESCRIÇÕES E NORMAS" sheetId="10" state="visible" r:id="rId12"/>
    <sheet name="REJEITADOS NA VERIFICAÇÃO" sheetId="11" state="visible" r:id="rId13"/>
  </sheets>
  <definedNames>
    <definedName function="false" hidden="true" localSheetId="5" name="_xlnm._FilterDatabase" vbProcedure="false">DUPLICAÇÕES!$A$4:$P$21</definedName>
    <definedName function="false" hidden="true" localSheetId="9" name="_xlnm._FilterDatabase" vbProcedure="false">'ERROS, DESCRIÇÕES E NORMAS'!$A$4:$K$93</definedName>
    <definedName function="false" hidden="true" localSheetId="6" name="_xlnm._FilterDatabase" vbProcedure="false">'INCOERÊNCIAS DE PREÇO'!$A$4:$O$28</definedName>
    <definedName function="false" hidden="true" localSheetId="2" name="_xlnm._FilterDatabase" vbProcedure="false">'MAPA COMPARATIVO'!$A$4:$Y$206</definedName>
    <definedName function="false" hidden="true" localSheetId="8" name="_xlnm._FilterDatabase" vbProcedure="false">OMISSÕES!$A$4:$K$35</definedName>
    <definedName function="false" hidden="true" localSheetId="7" name="_xlnm._FilterDatabase" vbProcedure="false">'PREÇOS vs MERCADO'!$A$4:$N$45</definedName>
    <definedName function="false" hidden="true" localSheetId="10" name="_xlnm._FilterDatabase" vbProcedure="false">'REJEITADOS NA VERIFICAÇÃO'!$A$4:$E$13</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J4" authorId="0">
      <text>
        <r>
          <rPr>
            <sz val="10"/>
            <rFont val="Arial"/>
            <family val="2"/>
          </rPr>
          <t xml:space="preserve">Valores copiados do MQT original (azul = dado de entrada).</t>
        </r>
      </text>
    </comment>
    <comment ref="O4" authorId="0">
      <text>
        <r>
          <rPr>
            <sz val="10"/>
            <rFont val="Arial"/>
            <family val="2"/>
          </rPr>
          <t xml:space="preserve">Estimativa de ordem de grandeza (Portugal 2025-2026, sem IVA). Cenário mín = menor variação absoluta; cenário máx = maior variação absoluta. Negativo = reduz o custo. Fonte: análise técnica + verificação adversarial; ver colunas Fundamentação e Nota de verificação.</t>
        </r>
      </text>
    </comment>
  </commentList>
</comments>
</file>

<file path=xl/sharedStrings.xml><?xml version="1.0" encoding="utf-8"?>
<sst xmlns="http://schemas.openxmlformats.org/spreadsheetml/2006/main" count="5481" uniqueCount="2088">
  <si>
    <t xml:space="preserve">PAINEL – MAPA COMPARATIVO DE FALHAS, ERROS E OUTROS DO MQT</t>
  </si>
  <si>
    <t xml:space="preserve">Pavilhão gimnodesportivo escolar · MQT_CUSTO-VENDA.XLS · 14 capítulos, 833 artigos · todos os valores por fórmula a partir das restantes folhas</t>
  </si>
  <si>
    <t xml:space="preserve">PARECER: NÃO VALIDAR o MQT na versão atual – corrigir os achados CRÍTICOS e ALTOS e voltar a submeter.</t>
  </si>
  <si>
    <t xml:space="preserve">INDICADORES</t>
  </si>
  <si>
    <t xml:space="preserve">Achados ativos (verificados)</t>
  </si>
  <si>
    <t xml:space="preserve">dos quais CRÍTICOS</t>
  </si>
  <si>
    <t xml:space="preserve">dos quais ALTOS</t>
  </si>
  <si>
    <t xml:space="preserve">Rejeitados na verificação (fora do mapa)</t>
  </si>
  <si>
    <t xml:space="preserve">Custo MQT (€)</t>
  </si>
  <si>
    <t xml:space="preserve">Venda MQT (€)</t>
  </si>
  <si>
    <t xml:space="preserve">Venda − Custo (€)</t>
  </si>
  <si>
    <t xml:space="preserve">Impacto líquido cenário A (€)</t>
  </si>
  <si>
    <t xml:space="preserve">Impacto líquido cenário B (€)</t>
  </si>
  <si>
    <t xml:space="preserve">Custo corrigido cenário A (€)</t>
  </si>
  <si>
    <t xml:space="preserve">Custo corrigido cenário B (€)</t>
  </si>
  <si>
    <t xml:space="preserve">Venda proposta com K – cenário A (€)</t>
  </si>
  <si>
    <t xml:space="preserve">Venda proposta com K – cenário B (€)</t>
  </si>
  <si>
    <t xml:space="preserve">K usado (editar em CUSTO vs VENDA!C3)</t>
  </si>
  <si>
    <t xml:space="preserve">COMPARAÇÃO POR TIPO × GRAVIDADE</t>
  </si>
  <si>
    <t xml:space="preserve">Tipo</t>
  </si>
  <si>
    <t xml:space="preserve">CRÍTICA</t>
  </si>
  <si>
    <t xml:space="preserve">ALTA</t>
  </si>
  <si>
    <t xml:space="preserve">MÉDIA</t>
  </si>
  <si>
    <t xml:space="preserve">BAIXA</t>
  </si>
  <si>
    <t xml:space="preserve">TOTAL</t>
  </si>
  <si>
    <t xml:space="preserve">Impacto A – mín (€)</t>
  </si>
  <si>
    <t xml:space="preserve">Impacto B – máx (€)</t>
  </si>
  <si>
    <t xml:space="preserve">ERRO</t>
  </si>
  <si>
    <t xml:space="preserve">FALHA/OMISSÃO</t>
  </si>
  <si>
    <t xml:space="preserve">DUPLICAÇÃO</t>
  </si>
  <si>
    <t xml:space="preserve">PREÇO BAIXO</t>
  </si>
  <si>
    <t xml:space="preserve">PREÇO ALTO</t>
  </si>
  <si>
    <t xml:space="preserve">INCOERÊNCIA</t>
  </si>
  <si>
    <t xml:space="preserve">DESCRIÇÃO</t>
  </si>
  <si>
    <t xml:space="preserve">NORMA</t>
  </si>
  <si>
    <t xml:space="preserve">INCOMPATIBILIDADE</t>
  </si>
  <si>
    <t xml:space="preserve">EXTRA/FORA DE ÂMBITO</t>
  </si>
  <si>
    <t xml:space="preserve">VERIFICAR</t>
  </si>
  <si>
    <t xml:space="preserve">LEGENDA E NOTAS</t>
  </si>
  <si>
    <t xml:space="preserve">Objetivo</t>
  </si>
  <si>
    <t xml:space="preserve">Comparar, artigo a artigo, O QUE ESTÁ NO MQT com O QUE DEVERIA ESTAR, classificando falhas, erros e outros problemas, com impacto estimado em €.</t>
  </si>
  <si>
    <t xml:space="preserve">Origem dos dados</t>
  </si>
  <si>
    <t xml:space="preserve">MQT_CUSTO-VENDA.XLS (folha única). Qtd/Un/PU/Total copiados do original (texto azul).</t>
  </si>
  <si>
    <t xml:space="preserve">Método</t>
  </si>
  <si>
    <t xml:space="preserve">1) Leitura integral e verificação aritmética por script; 2) revisão + varrimento por 5 grupos de capítulos; 3) verificação adversarial independente de cada achado (coluna Verificação: MANTIDO / CORRIGIDO / REJEITADO).</t>
  </si>
  <si>
    <t xml:space="preserve">Tipos</t>
  </si>
  <si>
    <t xml:space="preserve">ERRO (cálculo, unidade, numeração, texto) · FALHA/OMISSÃO (trabalho em falta) · DUPLICAÇÃO (pago 2×) · PREÇO BAIXO/ALTO (vs mercado) · INCOERÊNCIA (mesmo trabalho com preços/quantidades diferentes) · DESCRIÇÃO (texto incompatível/omisso) · NORMA (norma/lei errada ou em falta) · INCOMPATIBILIDADE (técnica) · EXTRA/FORA DE ÂMBITO · VERIFICAR (precisa de desenhos).</t>
  </si>
  <si>
    <t xml:space="preserve">Gravidade</t>
  </si>
  <si>
    <t xml:space="preserve">CRÍTICA = invalida o MQT ou &gt; ~10 k€ / risco legal · ALTA = erro relevante de custo/técnico · MÉDIA = corrigir antes da adjudicação · BAIXA = forma/texto.</t>
  </si>
  <si>
    <t xml:space="preserve">Impacto (€)</t>
  </si>
  <si>
    <t xml:space="preserve">Cenário A = a menor variação plausível de cada achado; cenário B = a maior (mesmo sinal). Ordem de grandeza, sem IVA, Portugal 2025-2026. Negativo = retirar ao custo (duplicações, sobrepreços); positivo = acrescentar (omissões, subavaliações). Não substitui consultas ao mercado.</t>
  </si>
  <si>
    <t xml:space="preserve">Cores</t>
  </si>
  <si>
    <t xml:space="preserve">Azul = dado copiado do MQT ou estimativa introduzida · Verde = ligação a outra folha · Preto = fórmula · Amarelo = preencher/alterar pelo revisor.</t>
  </si>
  <si>
    <t xml:space="preserve">O que editar</t>
  </si>
  <si>
    <t xml:space="preserve">MAPA COMPARATIVO: colunas 'Estado de resolução' (lista) e 'Observações do revisor'. CUSTO vs VENDA: célula C3 (K). Todos os totais, a matriz e o painel recalculam.</t>
  </si>
  <si>
    <t xml:space="preserve">Limitações</t>
  </si>
  <si>
    <t xml:space="preserve">Sem peças desenhadas, caderno de encargos nem memória descritiva: medições não confirmadas contra o projeto; achados 'VERIFICAR' dependem dessa conferência.</t>
  </si>
  <si>
    <t xml:space="preserve">Fontes de referência</t>
  </si>
  <si>
    <t xml:space="preserve">LNEC – Número mínimo de ensaios em ancoragens (repositorio.lnec.pt); EN 1537 / EN ISO 22477-5; DL 266/2007 e Portaria 40/2014 (amianto); DL 163/2006 (acessibilidades); RT-SCIE; CCP arts. 50.º, 70.º–71.º e 378.º; Habitissimo (remoção de fibrocimento); Obramat (preço de material GL24h).</t>
  </si>
  <si>
    <t xml:space="preserve">Exemplo de preenchimento</t>
  </si>
  <si>
    <t xml:space="preserve">Estado de resolução = 'Corrigido no MQT'; Observações do revisor = 'Projetista confirmou duplicação; 2.2.2 eliminado na rev. B (15/10/2026)'.</t>
  </si>
  <si>
    <t xml:space="preserve">MAPA COMPARATIVO DE FALHAS, ERROS E OUTROS – MQT CUSTO/VENDA</t>
  </si>
  <si>
    <t xml:space="preserve">Cada linha compara O QUE ESTÁ NO MQT com O QUE DEVERIA ESTAR. Valores em € sem IVA. Impacto: negativo reduz o custo, positivo aumenta. Colunas a amarelo = preencher pelo revisor.</t>
  </si>
  <si>
    <t xml:space="preserve">Nº</t>
  </si>
  <si>
    <t xml:space="preserve">Cap.</t>
  </si>
  <si>
    <t xml:space="preserve">Artigo</t>
  </si>
  <si>
    <t xml:space="preserve">Artigos relacionados</t>
  </si>
  <si>
    <t xml:space="preserve">Designação no MQT</t>
  </si>
  <si>
    <t xml:space="preserve">Problema</t>
  </si>
  <si>
    <t xml:space="preserve">O QUE ESTÁ NO MQT</t>
  </si>
  <si>
    <t xml:space="preserve">Qtd MQT</t>
  </si>
  <si>
    <t xml:space="preserve">Un</t>
  </si>
  <si>
    <t xml:space="preserve">PU MQT (€)</t>
  </si>
  <si>
    <t xml:space="preserve">Total MQT (€)</t>
  </si>
  <si>
    <t xml:space="preserve">O QUE DEVERIA ESTAR (referência)</t>
  </si>
  <si>
    <t xml:space="preserve">Impacto médio (€)</t>
  </si>
  <si>
    <t xml:space="preserve">Fundamentação</t>
  </si>
  <si>
    <t xml:space="preserve">Ação corretiva</t>
  </si>
  <si>
    <t xml:space="preserve">Responsável</t>
  </si>
  <si>
    <t xml:space="preserve">Origem</t>
  </si>
  <si>
    <t xml:space="preserve">Verificação</t>
  </si>
  <si>
    <t xml:space="preserve">Nota de verificação</t>
  </si>
  <si>
    <t xml:space="preserve">Estado de resolução</t>
  </si>
  <si>
    <t xml:space="preserve">Observações do revisor</t>
  </si>
  <si>
    <t xml:space="preserve">GERAL</t>
  </si>
  <si>
    <t xml:space="preserve">Colunas G/H (todos os artigos)</t>
  </si>
  <si>
    <t xml:space="preserve">Estrutura CUSTO/VENDA</t>
  </si>
  <si>
    <t xml:space="preserve">VENDA = CUSTO: sem margem; venda 12,12 € abaixo do custo</t>
  </si>
  <si>
    <t xml:space="preserve">PU de venda igual ao PU de custo nos 833 artigos. Total custo 4.499.642,08 €; total venda 4.499.629,96 €; K implícito = 0,999997.</t>
  </si>
  <si>
    <t xml:space="preserve">Preço de venda = custo × K (estrutura + risco + lucro; tipicamente 1,15–1,25, definido pela empresa) ou composição de preço por artigo.</t>
  </si>
  <si>
    <t xml:space="preserve">Comparação direta das colunas E/G e F/H do ficheiro (script). Efeito de K calculado na folha CUSTO vs VENDA.</t>
  </si>
  <si>
    <t xml:space="preserve">Definir K por capítulo e recalcular a VENDA com fórmulas.</t>
  </si>
  <si>
    <t xml:space="preserve">Orçamentista</t>
  </si>
  <si>
    <t xml:space="preserve">EXISTENTE</t>
  </si>
  <si>
    <t xml:space="preserve">MANTIDO</t>
  </si>
  <si>
    <t xml:space="preserve">Verificado por script sobre o ficheiro original.</t>
  </si>
  <si>
    <t xml:space="preserve">Pendente</t>
  </si>
  <si>
    <t xml:space="preserve">Todo o ficheiro</t>
  </si>
  <si>
    <t xml:space="preserve">Construção do ficheiro</t>
  </si>
  <si>
    <t xml:space="preserve">Ficheiro sem fórmulas: totais colados como valores</t>
  </si>
  <si>
    <t xml:space="preserve">0 fórmulas em toda a folha; somas de capítulos e totais são números fixos.</t>
  </si>
  <si>
    <t xml:space="preserve">Totais = Qtd × PU e SUBTOTAL por capítulo, por fórmula.</t>
  </si>
  <si>
    <t xml:space="preserve">Conversão para .xlsx e contagem de fórmulas (openpyxl): 0.</t>
  </si>
  <si>
    <t xml:space="preserve">Refazer o MQT com fórmulas.</t>
  </si>
  <si>
    <t xml:space="preserve">Verificado por script.</t>
  </si>
  <si>
    <t xml:space="preserve">Fim do MQT</t>
  </si>
  <si>
    <t xml:space="preserve">Quadro-resumo</t>
  </si>
  <si>
    <t xml:space="preserve">Sem total geral, resumo por capítulos nem linha de IVA</t>
  </si>
  <si>
    <t xml:space="preserve">O MQT termina na nota 08; não há total geral nem indicação de IVA.</t>
  </si>
  <si>
    <t xml:space="preserve">Quadro-resumo por capítulo, total geral, 'IVA não incluído' e taxa aplicável.</t>
  </si>
  <si>
    <t xml:space="preserve">Leitura integral do ficheiro.</t>
  </si>
  <si>
    <t xml:space="preserve">Acrescentar quadro-resumo.</t>
  </si>
  <si>
    <t xml:space="preserve">Verificado por leitura.</t>
  </si>
  <si>
    <t xml:space="preserve">2</t>
  </si>
  <si>
    <t xml:space="preserve">2.2.1</t>
  </si>
  <si>
    <t xml:space="preserve">2.2.2; 2.3.1; 2.3.3</t>
  </si>
  <si>
    <t xml:space="preserve">MICROESTACAS</t>
  </si>
  <si>
    <t xml:space="preserve">Microestacas 'para fundação' na contenção: possível duplicação com 2.3.1</t>
  </si>
  <si>
    <t xml:space="preserve">2.2.1 (subcapítulo 2.2 CONTENÇÃO PERIFÉRICA): 'Execução de microestaca para fundação, com um comprimento médio de 8,50 m...', 599,85 ml × 90,03 € = 54.005,32 €, seguida de 2.2.2 MACIÇO DE ENCABEÇAMENTO de estacas 63,00 m3. Em 2.3 OBRA DE BETÃO repete-se o mesmo par: 2.3.1 'microestaca para fundação' (L média 12,15 m; 525,22 + 555,11 = 1.080,33 ml) + 2.3.3 maciços 63,11 m3.</t>
  </si>
  <si>
    <t xml:space="preserve">ml</t>
  </si>
  <si>
    <t xml:space="preserve">Uma contenção tipo Berlim tem os seus próprios elementos verticais (perfis selados 2.2.3–2.2.5, 899,98 ml) e viga de coroamento (2.2.7). Microestacas 'para fundação' com maciços de encabeçamento são fundações (2.3). Cada microestaca deve aparecer uma só vez, com a função indicada.</t>
  </si>
  <si>
    <t xml:space="preserve">O par 'microestaca para fundação + maciço de encabeçamento' aparece duas vezes, com comprimentos médios diferentes (8,50 m e 12,15 m) e cerca de 71 un e 89 un, mas com volumes de maciços quase iguais (63,00 e 63,11 m3). Isto aponta para uma versão anterior das fundações que ficou no subcapítulo 2.2. Se for o caso, 2.2.1 está a mais (−54.005,32 €). Se forem microestacas reais de outro elemento, a descrição tem de dizer qual.</t>
  </si>
  <si>
    <t xml:space="preserve">Confirmar nas peças desenhadas a que elementos correspondem as cerca de 71 microestacas de 2.2.1 e depois eliminar o artigo ou corrigir a descrição e o subcapítulo.</t>
  </si>
  <si>
    <t xml:space="preserve">Projetista</t>
  </si>
  <si>
    <t xml:space="preserve">NOVO</t>
  </si>
  <si>
    <t xml:space="preserve">Confirmado no dump (linhas Excel 37, 39, 87–91, 95): 2.2.1 599,85 ml × 90,03 = 54.005,32 € (CUSTO), texto 'microestaca para fundação' L 8,50 m; 2.3.1 L 12,15 m com 525,22 + 555,11 = 1.080,33 ml; 599,85/8,5 = 70,6 un e 1.080,33/12,15 = 88,9 un. A palavra 'microestaca' só existe em 2.2.1 e 2.3.1 em todo o MQT. Os volumes de maciços quase iguais (63,00/63,11 m3) reforçam a hipótese de versão duplicada. O impacto vai de 0 a −54.005,32 €, porque o achado é de verificação. Mantido apesar de ser NOVO, porque a incoerência textual é objetiva.</t>
  </si>
  <si>
    <t xml:space="preserve">2.3.1.1</t>
  </si>
  <si>
    <t xml:space="preserve">Microestaca 101,6×6,5 a 90,03 €/ml e a 134,17 €/ml (+49%)</t>
  </si>
  <si>
    <t xml:space="preserve">2.2.1: 599,85 ml × 90,03 € = 54.005,32 € (N80 101,6×6,5 mm, Ø200, IRS, L média 8,50 m). 2.3.1.1 '101.6x6.5': 525,22 ml × 134,17 € = 70.469,71 € (mesma especificação, L média 12,15 m).</t>
  </si>
  <si>
    <t xml:space="preserve">Um só PU para a mesma microestaca: 90–105 €/ml (o PU de 2.2.1 já é um valor de mercado).</t>
  </si>
  <si>
    <t xml:space="preserve">Diferença de 44,14 €/ml (+49,0%). Alinhando 2.3.1.1 a 90,03 €/ml: (90,03−134,17)×525,22 = −23.183,21 €. A 105 €/ml: −15.320,67 €. A falta de ensaios de carga está tratada em 2.3.1 (OMISSÃO).</t>
  </si>
  <si>
    <t xml:space="preserve">Uniformizar o PU das microestacas 101,6×6,5 (2.2.1 e 2.3.1.1).</t>
  </si>
  <si>
    <t xml:space="preserve">Conferido: 2.2.1 599,85 × 90,03, total 54.005,32; 2.3.1.1 525,22 × 134,17, total 70.469,71. 134,17/90,03 = 1,490. Impactos recomputados (−23.183,21 € e −15.320,67 €). Não há dupla contagem com o achado de duplicação de 2.2.1, porque este ajusta o PU de 2.3.1.1 e não o de 2.2.1.</t>
  </si>
  <si>
    <t xml:space="preserve">2.2.2</t>
  </si>
  <si>
    <t xml:space="preserve">2.3.3; 2.2.1</t>
  </si>
  <si>
    <t xml:space="preserve">MACIÇOS DE FUNDAÇÃO</t>
  </si>
  <si>
    <t xml:space="preserve">Maciços de encabeçamento repetidos em 2.2.2 e 2.3.3 (63,00/63,11 m3)</t>
  </si>
  <si>
    <t xml:space="preserve">2.2.2: 63,00 m3 × 317,40 € = 19.996,33 € (C30/37, XC2, Cl0.40, S3, Dinf 2mm, Dsup 20mm, hidrófugo). 2.3.3: 63,11 m3 × 318,79 € = 20.119,03 €, com texto igual palavra a palavra exceto 'S4'.</t>
  </si>
  <si>
    <t xml:space="preserve">m3</t>
  </si>
  <si>
    <t xml:space="preserve">Um único artigo de maciços de encabeçamento com a quantidade do projeto (cerca de 63 m3), a não ser que os desenhos mostrem dois conjuntos distintos de maciços.</t>
  </si>
  <si>
    <t xml:space="preserve">Os volumes diferem 0,17% e as descrições são iguais exceto na consistência (S3/S4). Como há dois conjuntos de microestacas (2.2.1 e 2.3.1), dois conjuntos de maciços podem justificar-se. A duplicação é provável mas não está provada. Se se confirmar, o artigo a eliminar vale 19.996,33 €.</t>
  </si>
  <si>
    <t xml:space="preserve">Confirmar nos desenhos de estabilidade. Se for duplicação, eliminar 2.2.2. Se não for, explicar na descrição a que microestacas se refere cada artigo.</t>
  </si>
  <si>
    <t xml:space="preserve">Valores conferidos em rows.json: 2.2.2 q=63,00, PU 317,40, total CUSTO 19.996,33 (VENDA 19.996,20); 2.3.3 q=63,11, PU 318,79, total 20.119,03. Comparação dos textos: iguais exceto S3/S4. 0,11/63 = 0,17%. Impacto e gravidade coerentes.</t>
  </si>
  <si>
    <t xml:space="preserve">2.2.5</t>
  </si>
  <si>
    <t xml:space="preserve">2.3.1.2</t>
  </si>
  <si>
    <t xml:space="preserve">PERFIS SELADOS TUBULARES</t>
  </si>
  <si>
    <t xml:space="preserve">Microestaca 88,9×6,5 a 74,57 €/ml e a 126,31 €/ml (+69%)</t>
  </si>
  <si>
    <t xml:space="preserve">2.2.5: 275,28 ml × 74,57 € = 20.528,28 € (tubo N80 88,9×6,5 mm, Ø200, IRS, L 9–10 m). 2.3.1.2 '88.9x6.5': 555,11 ml × 126,31 € = 70.116,04 € (mesma especificação, L média 12,15 m).</t>
  </si>
  <si>
    <t xml:space="preserve">Um só PU para a mesma microestaca 88,9×6,5 N80 IRS: 75–90 €/ml. Um comprimento maior não encarece o metro.</t>
  </si>
  <si>
    <t xml:space="preserve">Diferença de 51,74 €/ml (+69,4%). Alinhando 2.3.1.2 a 74,57 €/ml: (74,57−126,31)×555,11 = −28.721,39 €. A 90 €/ml: (90−126,31)×555,11 = −20.156,04 €.</t>
  </si>
  <si>
    <t xml:space="preserve">Uniformizar o PU (2.2.5 e 2.3.1.2) ou justificar a diferença por escrito.</t>
  </si>
  <si>
    <t xml:space="preserve">Conferido: 2.2.5 q=275,28, PU 74,57, total 20.528,28; 2.3.1.2 q=555,11, PU 126,31, total 70.116,04. 126,31/74,57 = 1,694 (+69,4%). Cálculos recomputados: −28.721,39 € e −20.156,04 €. Os textos têm a mesma especificação (N80, Ø200, leitada CEM I 42,5N a/c 0,4, IRS). As microestacas de fundação podem ter custos de acesso um pouco maiores, mas não justificam +69%.</t>
  </si>
  <si>
    <t xml:space="preserve">2.2.12</t>
  </si>
  <si>
    <t xml:space="preserve">2.2.12.1; 2.2.12.2; 2.2.12.3</t>
  </si>
  <si>
    <t xml:space="preserve">ANCORAGENS</t>
  </si>
  <si>
    <t xml:space="preserve">Só 2 ancoragens ensaiadas em 13; falta destensionamento</t>
  </si>
  <si>
    <t xml:space="preserve">2.2.12.1: 5 UN × 1.533,59 € (400 kN, Llivre 5,50 + Lbolbo 9,00). 2.2.12.2: 4 UN × 1.586,48 € (400 kN, 5,00 + 10,00). 2.2.12.3: 4 UN × 1.374,95 € (200 kN, 6,00 + 7,00). Total 19.513,67 €, 13 ancoragens, todas a 105,77 €/ml. Texto: 'ancoragens provisórias, com /  capacidade de carga,' (valor em branco) e 'ensaio de 2 ancoragens'.</t>
  </si>
  <si>
    <t xml:space="preserve">NP EN 1537, EN ISO 22477-5 e NP EN 1997-1 (8.8) exigem ensaio de receção em TODAS as 13 ancoragens, mais ensaios de investigação/aptidão. É preciso também destensionar e desativar as provisórias no fim, e ter autorização dos confinantes se os bolbos entrarem em terreno alheio.</t>
  </si>
  <si>
    <t xml:space="preserve">11 ensaios de receção adicionais × 150–250 € + 2–3 ensaios de aptidão × 600–1.000 € + destensionamento de 13 un × 50–100 € = 3.500–7.050 €. O PU por metro é igual (105,77 €/ml) para 200 kN e 400 kN, sinal de preço paramétrico.</t>
  </si>
  <si>
    <t xml:space="preserve">Exigir ensaio de receção em todas as ancoragens e ensaios de aptidão, acrescentar o destensionamento e completar a capacidade de carga em falta no texto.</t>
  </si>
  <si>
    <t xml:space="preserve">Conferido: totais 7.667,97 + 6.345,91 + 5.499,79 = 19.513,67 €. PU/ml: 1.533,59/14,5 = 105,765; 1.586,48/15 = 105,765; 1.374,95/13 = 105,765, todos iguais. Texto 'com /  capacidade de carga' (em branco) e 'ensaio de 2 ancoragens' confirmados. Impacto recomputado: 11×150 + 2×600 + 13×50 = 3.500; 11×250 + 3×1.000 + 13×100 = 7.050.</t>
  </si>
  <si>
    <t xml:space="preserve">2.2.13</t>
  </si>
  <si>
    <t xml:space="preserve">SISTEMA DE MONITORIZAÇÃO</t>
  </si>
  <si>
    <t xml:space="preserve">Monitorização de contenção ancorada e vistorias por 3.500 €</t>
  </si>
  <si>
    <t xml:space="preserve">1 UN × 3.500,00 € = 3.500,00 €. Inclui 'plano de instrumentação e monitorização', 'vistorias aos edifícios envolventes', 'fornecimento, aplicação e manutenção dos equipamentos' e 'leitura de medições durante o decurso da Empreitada'.</t>
  </si>
  <si>
    <t xml:space="preserve">UN</t>
  </si>
  <si>
    <t xml:space="preserve">10.000–20.000 € para uma contenção ancorada com 13 ancoragens: vistorias prévias com relatório, alvos topográficos e outros instrumentos previstos, leituras periódicas e relatórios durante a escavação.</t>
  </si>
  <si>
    <t xml:space="preserve">(10.000−3.500) = 6.500 € e (20.000−3.500) = 16.500 €. Só as vistorias com relatório aos edifícios confinantes absorvem a maior parte dos 3.500 €.</t>
  </si>
  <si>
    <t xml:space="preserve">Rever o PU para 10–20 k€, de acordo com o plano de instrumentação do projeto.</t>
  </si>
  <si>
    <t xml:space="preserve">Texto e valor (1 UN × 3.500) confirmados. As únicas ocorrências de 'monitoriza' no MQT são 2.2.13 e 7.5.2 (especialidade), e 'vistoria' só aparece em 2.2.13, por isso não há outro artigo que pague isto. A referência é plausível para a obra (13 ancoragens, cerca de 900 ml de perfis) e os cálculos estão corretos.</t>
  </si>
  <si>
    <t xml:space="preserve">2.3.1 (OMISSÃO)</t>
  </si>
  <si>
    <t xml:space="preserve">2.2.1; 2.2.5; 2.3.1; 2.2.12; 2.1.4</t>
  </si>
  <si>
    <t xml:space="preserve">Ensaios de carga e controlo de qualidade</t>
  </si>
  <si>
    <t xml:space="preserve">Sem ensaios de carga de microestacas nem controlo de betão, aço ou aterros</t>
  </si>
  <si>
    <t xml:space="preserve">Nenhum artigo de ensaios de carga para 1.955,46 ml de microestacas (2.2.1: 599,85; 2.2.5: 275,28; 2.3.1: 1.080,33), nem de controlo de receção de cerca de 1.383 m3 de betão (2.2–2.3), do aço ou da compactação. Nos caps. 1–2 só 2.1.4 (Proctor) e 2.2.12 ('ensaio de 2 ancoragens') falam em ensaios.</t>
  </si>
  <si>
    <t xml:space="preserve">NP EN 14199 e NP EN 1997-1 (7.5): ensaios de carga estáticos de microestacas (pelo menos 2 un) e/ou ensaios de integridade. DL 90/2021 com NP EN 13670/NP EN 206: controlo de receção do betão (ensaios de identidade) e do aço. Ensaios de placa ou de densidade nos aterros.</t>
  </si>
  <si>
    <t xml:space="preserve">2 ensaios estáticos × 3.000–6.000 € = 6.000–12.000 €, mais 2.000–6.000 € de controlo de betão, aço e compactação = 8.000–18.000 €.</t>
  </si>
  <si>
    <t xml:space="preserve">Criar artigos de ensaios de carga de microestacas e de plano de controlo de qualidade (betão, aço, aterros).</t>
  </si>
  <si>
    <t xml:space="preserve">Pesquisa de 'ensaio' em todas as 833 linhas: 2.1.4, 2.2.12 e depois apenas especialidades (4.5.7, 5.4.5, 6.3.4, 7.9.9, 7.12, 10.5.2, 11.15, 12.2), todas de redes, instalações ou condutas. Não há ensaios de estacas, betão ou aço. Somas conferidas: 599,85 + 275,28 + 525,22 + 555,11 = 1.955,46 ml; m3 de betão em 2.2–2.3 = 1.383,34.</t>
  </si>
  <si>
    <t xml:space="preserve">2.3.1</t>
  </si>
  <si>
    <t xml:space="preserve">2.3.1 (OMISSÃO); 2.2.1; 2.2.5</t>
  </si>
  <si>
    <t xml:space="preserve">Microestacas de fundação sem ensaios de carga</t>
  </si>
  <si>
    <t xml:space="preserve">2.3.1.1: 525,22 ml × 134,17 € = 70.469,71 €. 2.3.1.2: 555,11 ml × 126,31 € = 70.116,04 €. O texto não inclui ensaios e nenhum outro artigo os prevê.</t>
  </si>
  <si>
    <t xml:space="preserve">Ensaios de carga estáticos (pelo menos 1–2 un) e/ou ensaios de integridade segundo a NP EN 14199 e a NP EN 1997-1 (7.5), de acordo com o caderno de encargos.</t>
  </si>
  <si>
    <t xml:space="preserve">Nos caps. 1–2 só 2.1.4 e 2.2.12 falam em ensaios. O impacto está quantificado em '2.3.1 (OMISSÃO)', para não contar duas vezes.</t>
  </si>
  <si>
    <t xml:space="preserve">Ver 2.3.1 (OMISSÃO).</t>
  </si>
  <si>
    <t xml:space="preserve">Valores confirmados. A pesquisa de 'ensaio' no MQT inteiro não encontra ensaios de estacas. O impacto nulo evita a dupla contagem com '2.3.1 (OMISSÃO)'.</t>
  </si>
  <si>
    <t xml:space="preserve">2.3.3</t>
  </si>
  <si>
    <t xml:space="preserve">Par de 2.2.2 (63,11 vs 63,00 m3), com S4 em vez de S3</t>
  </si>
  <si>
    <t xml:space="preserve">2.3.3: 63,11 m3 × 318,79 € = 20.119,03 € (C30/37, XC2, Cl0.40, S4). 2.2.2: 63,00 m3 × 317,40 € (S3), com texto igual.</t>
  </si>
  <si>
    <t xml:space="preserve">Um só artigo. Se os dois forem reais, uniformizar a consistência (S3/S4) e o PU.</t>
  </si>
  <si>
    <t xml:space="preserve">É o mesmo par de 2.2.2. O impacto (até −19.996,33 €) está em 2.2.2, para não contar duas vezes.</t>
  </si>
  <si>
    <t xml:space="preserve">Ver 2.2.2.</t>
  </si>
  <si>
    <t xml:space="preserve">Valores confirmados (linha Excel 95). O impacto nulo evita a dupla contagem com 2.2.2.</t>
  </si>
  <si>
    <t xml:space="preserve">2.3.11</t>
  </si>
  <si>
    <t xml:space="preserve">2.3.9; 2.3.10; 2.3.12</t>
  </si>
  <si>
    <t xml:space="preserve">VIGAS</t>
  </si>
  <si>
    <t xml:space="preserve">Vigas sem especificação do betão</t>
  </si>
  <si>
    <t xml:space="preserve">101,63 m3 × 566,23 € = 57.546,06 €. Texto: '...compactação e cura de betão; transporte, montagem...', sem classe de resistência, exposição, cloretos, consistência nem Dsup.</t>
  </si>
  <si>
    <t xml:space="preserve">Especificação completa segundo a NP EN 206, como nos artigos vizinhos (2.3.9/2.3.10: C30/37, XC1, Cl 0,40, S3, Dmáx 20 mm), de acordo com o projeto.</t>
  </si>
  <si>
    <t xml:space="preserve">Todos os outros artigos de betão do subcapítulo 2.3 têm especificação. Este é o único sem nenhuma.</t>
  </si>
  <si>
    <t xml:space="preserve">Completar a especificação do betão das vigas.</t>
  </si>
  <si>
    <t xml:space="preserve">Linha Excel 112: texto sem classe de betão, confirmado. q=101,63, PU 566,23, total CUSTO 57.546,06. 2.3.9 e 2.3.10 com C30/37, XC1, Cl 0.40, S3, Dmáx 20 mm, confirmado.</t>
  </si>
  <si>
    <t xml:space="preserve">2.5.1</t>
  </si>
  <si>
    <t xml:space="preserve">2.5.1.1 a 2.5.1.9</t>
  </si>
  <si>
    <t xml:space="preserve">COBERTURA MADEIRA</t>
  </si>
  <si>
    <t xml:space="preserve">Classe de madeira ME-1 + GL24h contraditória, sem tratamento nem fogo; PU elevado</t>
  </si>
  <si>
    <t xml:space="preserve">9 subartigos com 133,50 m3 de madeira, num total de 308.931,74 € (média de 2.314 €/m3; 2.304–2.361 €/m3 em todos exceto 2.5.1.8). Texto: 'COBERTURA EM MADEIRA em Pinho Silvestre da classe ME-1; GL24-h incluindo ligação entre vigas, ripas e barrotes'. Não indica classe de uso, tratamento preservador nem resistência ao fogo.</t>
  </si>
  <si>
    <t xml:space="preserve">Uma só especificação: madeira lamelada colada GL24h (EN 14080) ou madeira maciça C24/C27 (EN 338). A ME-1 é uma classe visual de madeira serrada de resinosas (UNE 56544). Falta a classe de uso (EN 335) com o respetivo tratamento e a resistência ao fogo (EN 1995-1-2). Referência de GL24h montado, com ligações e ripado incluídos: cerca de 1.760–2.200 €/m3.</t>
  </si>
  <si>
    <t xml:space="preserve">Madeira maciça classificada visualmente (ME-1) e lamelado colado (GL24h) são produtos diferentes. No retalho espanhol (Obramat) o GL24h custa cerca de 610–1.260 €/m3 com IVA (cerca de 500–1.040 €/m3 sem IVA). Somando fabrico, ligações, tratamento, transporte, grua e montagem (cerca de 700–900 €/m3) e uns 10% de ripas e barrotes incluídos no PU, a referência fica em 1.760–2.200 €/m3: (2.200−2.314)×133,50 = −15.221,96 € e (1.760−2.314)×133,50 = −73.963,92 €. Como o PU também paga ripas e barrotes (volume não medido) e falta prever tratamento e proteção ao fogo, que acrescentam custo, o PU atual pode estar correto. Por isso o cenário mínimo é 0.</t>
  </si>
  <si>
    <t xml:space="preserve">Corrigir a especificação (GL24h, EN 14080), acrescentar a classe de uso, o tratamento e a resistência ao fogo, e validar o PU com 2–3 propostas de fabricantes de lamelado.</t>
  </si>
  <si>
    <t xml:space="preserve">CORRIGIDO</t>
  </si>
  <si>
    <t xml:space="preserve">Volume recalculado secção × comprimento: 133,504 m3. Soma 308.931,74 € e média 2.314,02 €/m3 confirmadas. €/m3 por linha: 2.304–2.361, e 1.743 em 2.5.1.8. Texto ME-1 + GL24-h confirmado. O problema normativo é real. A redução de preço não é demonstrável, porque o PU inclui ripas, barrotes e ligações não medidos em m3 e o tratamento e a proteção ao fogo em falta aumentariam o custo. impacto_min corrigido de −15.221,96 para 0; o máximo (−73.963,92 €) foi mantido.</t>
  </si>
  <si>
    <t xml:space="preserve">3</t>
  </si>
  <si>
    <t xml:space="preserve">3.1.1</t>
  </si>
  <si>
    <t xml:space="preserve">3.1.3; 3.1.4; 3.1.5; 3.1.7; 1.6</t>
  </si>
  <si>
    <t xml:space="preserve">DEMOLIÇÃO DE PAVILHÃO EXISTENTE</t>
  </si>
  <si>
    <t xml:space="preserve">Demolição sem fundações, laje térrea nem transporte/destino final dos RCD</t>
  </si>
  <si>
    <t xml:space="preserve">3.1.1 | m3 | Qtd 9 000 | PU 4,55 € | Total 40 950,00 €. Texto: «Demolição completa, elemento a elemento ... de edifício de cerca de 1200 m² ... e carga mecânica para camião ou contentor». Não refere fundações, laje térrea, transporte nem destino final.</t>
  </si>
  <si>
    <t xml:space="preserve">Demolição completa, incluindo fundações e pavimento térreo, e transporte e deposição dos RCD em operador licenciado com e-GAR (DL 102-D/2020). É a formulação dos art. 3.1.3, 3.1.4, 3.1.5 e 3.1.7 («transporte e descarga em vazadouro conforme o especificado no PGR»). O PU de 40 950 € / 1 200 m² ≈ 34 €/m² só é plausível para a demolição propriamente dita.</t>
  </si>
  <si>
    <t xml:space="preserve">Os restantes artigos de demolição do capítulo incluem expressamente transporte e vazadouro, mas o 3.1.1 termina na carga. RCD estimados: 1 200 m² × 1,0–1,5 t/m² = 1 200–1 800 t. A 8–15 €/t de transporte e deposição dá ≈10–27 k€. Fundações e laje térrea: ≈260 m³ × 25–40 €/m³ ≈ 6,5–10 k€. Mínimo de 0 € se o art. 1.6 (PGR, 25 000 €) cobrir o transporte e a deposição e se 'demolição completa' abranger as fundações.</t>
  </si>
  <si>
    <t xml:space="preserve">Completar a descrição do 3.1.1 com a demolição de fundações e laje térrea e com o transporte e deposição em operador licenciado, ou criar subartigos próprios, e clarificar a fronteira com o art. 1.6.</t>
  </si>
  <si>
    <t xml:space="preserve">Confirmado em rows.json: m3, 9 000 × 4,55 = 40 950,00 €. O texto termina em «carga mecânica para camião ou contentor», enquanto 3.1.3, 3.1.4, 3.1.5 e 3.1.7 dizem «transporte e descarga em vazadouro» e o 3.1.7 refere fundações. O art. 1.6 é genérico («Implementação do PGR ... todos os trabalhos necessários»), pelo que o mínimo de 0 € está corretamente previsto. A ordem de grandeza do máximo é razoável.</t>
  </si>
  <si>
    <t xml:space="preserve">3.1.2</t>
  </si>
  <si>
    <t xml:space="preserve">1.6; 3.1.1</t>
  </si>
  <si>
    <t xml:space="preserve">DEMOLIÇÃO DE COBERTURA COM AMIANTO EM PAV. EXISTENTE</t>
  </si>
  <si>
    <t xml:space="preserve">Amianto sem transporte nem deposição licenciada</t>
  </si>
  <si>
    <t xml:space="preserve">3.1.2 | m2 | Qtd 1 000 | PU 14,00 € | Total 14 000,00 €. Texto: «... por empresa qualificada ... superfície média a desmontar de cerca de 1000 m² ... e carga mecânica sobre camião. O preço inclui ... as medições da concentração de amianto (ambientais e pessoais)».</t>
  </si>
  <si>
    <t xml:space="preserve">m2</t>
  </si>
  <si>
    <t xml:space="preserve">Preço global de 20–30 €/m² (remoção, encapsulamento e embalagem, transporte com e-GAR e deposição em aterro licenciado para RCD com amianto), conforme a Portaria 40/2014 e a Portaria 145/2017 (e-GAR). Plano de trabalhos comunicado à ACT nos termos do DL 266/2007 (obrigação legal do executante). Área a confirmar com levantamento prévio de MCA, num edifício de ≈1 200 m².</t>
  </si>
  <si>
    <t xml:space="preserve">A descrição termina na carga sobre camião, sem transporte nem deposição. O PU de 14 €/m² é plausível só para a remoção (referência indicativa de ≈10 €/m² sem transporte e ≈20 €/m² com transporte a destino certificado). Diferença de preço: (20−14)×1 000 = 6 000 € a (30−14)×1 000 = 16 000 €. A eventual diferença de área (até +200 m² × 30 €) acrescenta até 6 000 €. Mínimo de 0 € se o art. 1.6 (PGR, 25 000 €) cobrir o transporte e a deposição, critério igual ao do achado 3.1.1.</t>
  </si>
  <si>
    <t xml:space="preserve">Reformular o 3.1.2 para incluir o embalamento, o transporte com e-GAR e a deposição em destino licenciado (ou remeter expressamente para o 1.6). Confirmar a área com levantamento de MCA e rever o PU para 20–30 €/m², se o transporte e a deposição ficarem neste artigo.</t>
  </si>
  <si>
    <t xml:space="preserve">Números confirmados (1 000 × 14,00 = 14 000,00 €). Problema real (o texto acaba na carga), mas: (i) o mínimo passa a 0 €, porque o art. 1.6 (PGR) pode cobrir o transporte e a deposição, como se admitiu no 3.1.1; (ii) o plano de trabalhos ACT é obrigação legal do executante e não constitui omissão de custo, pelo que sai do título; (iii) a gravidade passa de CRÍTICA para ALTA, porque o artigo já prevê empresa qualificada e medições de amianto e a exposição é de 6–22 k€. A referência Habitissimo não é verificável nos dados e fica apenas como indicativa.</t>
  </si>
  <si>
    <t xml:space="preserve">3.1.4</t>
  </si>
  <si>
    <t xml:space="preserve">3.1.4.1; 3.1.4.2; 3.1.4.3</t>
  </si>
  <si>
    <t xml:space="preserve">DEMOLIÇÃO DE MUROS E MURETES</t>
  </si>
  <si>
    <t xml:space="preserve">6,5 €/m3 para demolição manual de muros com vazadouro</t>
  </si>
  <si>
    <t xml:space="preserve">3.1.4.1 | m3 | 74 | 6,50 € | 481,00 €; 3.1.4.2 | m3 | 10 | 6,50 € | 65,00 €; 3.1.4.3 | m3 | 40 | 6,50 € | 260,00 €. Total de 124 m³ = 806,00 €. Texto: «com meios manuais, e carga manual ... transporte e descarga em vazadouro».</t>
  </si>
  <si>
    <t xml:space="preserve">45–80 €/m³ para demolição de alvenaria, betão armado ou granito com meios manuais ou martelo, com carga, transporte e vazadouro (mercado PT 2025-2026).</t>
  </si>
  <si>
    <t xml:space="preserve">(45−6,5)×124 = 4 774 €; (80−6,5)×124 = 9 114 €. O PU de 6,5 €/m³ fica abaixo do da simples escavação com transporte do próprio MQT (art. 2.1.1 + 2.1.5 = 11 €/m³) e não cobre a demolição de betão armado e granito com meios manuais.</t>
  </si>
  <si>
    <t xml:space="preserve">Rever o PU dos três subartigos para 45–80 €/m³, diferenciando o betão armado e granito da alvenaria de bloco.</t>
  </si>
  <si>
    <t xml:space="preserve">Quantidades 74/10/40 m³ a 6,50 € e totais 481/65/260 € confirmados (soma de 806 €). 2.1.1 e 2.1.5 estão ambos a 5,50 €/m³. Cálculo de impacto correto. Intervalo de referência plausível para demolição manual de muros com vazadouro.</t>
  </si>
  <si>
    <t xml:space="preserve">3.3 (OMISSÃO)</t>
  </si>
  <si>
    <t xml:space="preserve">3.13.6; 11.11</t>
  </si>
  <si>
    <t xml:space="preserve">Linha de vida / sistema anti-queda na cobertura (omisso)</t>
  </si>
  <si>
    <t xml:space="preserve">Cobertura com acesso de manutenção sem linha de vida</t>
  </si>
  <si>
    <t xml:space="preserve">Nenhum artigo de linha de vida ou ancoragem (pesquisa sem resultados). Há ≈1 851 m² de cobertura em painel sandwich (3.3.1 e 3.3.2), 8 exutores em cobertura (11.11) e 3 escadas de acesso «de modo a aceder e manter todas as coberturas» (3.13.6).</t>
  </si>
  <si>
    <t xml:space="preserve">Sistema anti-queda permanente EN 795 (tipo C, cabo, e tipo A, pontos), certificado, para manutenção de coberturas leves não transitáveis, previsto na compilação técnica (DL 273/2003).</t>
  </si>
  <si>
    <t xml:space="preserve">≈140–200 ml de linha × 60–90 €/ml, mais pontos de ancoragem e certificação, dá ≈8–18 k€. O MQT prevê o acesso (3.13.6) e equipamentos a manter (exutores), mas não a proteção.</t>
  </si>
  <si>
    <t xml:space="preserve">Acrescentar um artigo de linha de vida com o traçado e a certificação.</t>
  </si>
  <si>
    <t xml:space="preserve">Pesquisa sem resultados para 'linha de vida' e 'anti-queda'. 'ancoragem' só aparece no 2.2.12 (contenção) e no 13.6.4 (manta). 1 230 + 454 + 128 + 39 = 1 851 m². Confirmado o texto do 3.13.6 (3 UN, «aceder e manter todas as coberturas»).</t>
  </si>
  <si>
    <t xml:space="preserve">3.9.2.3</t>
  </si>
  <si>
    <t xml:space="preserve">3.9.2.3.1; 3.9.2.3.2; 3.11.2.2 a 3.11.2.15</t>
  </si>
  <si>
    <t xml:space="preserve">SOLEIRAS EXT. (betão polimérico tipo Tubani)</t>
  </si>
  <si>
    <t xml:space="preserve">Soleiras exteriores pagas em 3.9.2.3 e nos artigos dos vãos</t>
  </si>
  <si>
    <t xml:space="preserve">3.9.2.3.1 400 mm | ml | 112 | 85,00 € | 9 520,00 €; 3.9.2.3.2 200 mm | ml | 6 | 70,00 € | 420,00 €. Total 118 ml = 9 940 €. Os art. 3.11.2.2, 3.11.2.3, 3.11.2.4, 3.11.2.5, 3.11.2.6 a 3.11.2.13 e 3.11.2.15 dizem todos «Inclui soleira pré-fabricada de betão tipo TUBANI». O texto do 3.9.2.3 diz ainda «a aplicar em vãos interiores».</t>
  </si>
  <si>
    <t xml:space="preserve">Soleira paga uma só vez: no artigo do vão ou no 3.9.2.3.</t>
  </si>
  <si>
    <t xml:space="preserve">Soma das larguras dos vãos exteriores cuja descrição inclui soleira Tubani: VE1.01 4,63 + VE1.02 2,50 + VE2.04 2,90 + VE1.03 1,20 + VE1.04/1.09/1.10 3×1,50 + VE2.08 1,40 + VE1.06 3,00 + VE2.01 3×5,33 + VE2.02 7×5,33 + VE2.03 3×5,33 + VE2.05 5,43 + VE2.05.01 2,17 + VE2.06 3,30 + VE2.07 2×6,10 + VE2.14 2,64 + VE1.05 2,61 = 117,77 ml. Isto coincide com os 118 ml do 3.9.2.3, que mede as mesmas soleiras.</t>
  </si>
  <si>
    <t xml:space="preserve">Retirar a soleira dos artigos de caixilharia (e reduzir os PU) ou anular o 3.9.2.3. Corrigir 'vãos interiores' para 'exteriores'.</t>
  </si>
  <si>
    <t xml:space="preserve">Soma recalculada: 117,77 ml, contra 112 + 6 = 118 ml. Os textos com «soleira pré-fabricada de betão tipo TUBANI» foram confirmados em todos os artigos listados (e também no 3.11.2.14, de vãos circulares, bem excluído da soma). O 3.9.2.3 diz «vãos interiores» apesar do título EXT. Valores de 9 520 € + 420 € = 9 940 € confirmados. Prova forte.</t>
  </si>
  <si>
    <t xml:space="preserve">3.11.2.13.2</t>
  </si>
  <si>
    <t xml:space="preserve">3.11.2.13; 3.11.2.13.1; 3.11.2.24; 3.11.2.25</t>
  </si>
  <si>
    <t xml:space="preserve">VE.2.14.1 com diâmetro 45cm</t>
  </si>
  <si>
    <t xml:space="preserve">Vão Ø45 cm a 5 174,40 €/un, já incluído no artigo-mãe</t>
  </si>
  <si>
    <t xml:space="preserve">3.11.2.13.2 | UN | 2 | 5 174,40 € | 10 348,80 €. O artigo-mãe 3.11.2.13 (porta metálica TRIA TSN2 de 2 folhas) diz «Incluí 2 vãos de ventilação fixos tipo Navarra série 12000». A porta VE.2.14 (2,64x2,40) custa 4 840,00 €.</t>
  </si>
  <si>
    <t xml:space="preserve">Um vão de ventilação circular custa 119,58 € (3.11.2.25, Ø300) a 438,64 € (3.11.2.24). Se VE.2.14.1 forem os 2 vãos de ventilação, já estão incluídos no artigo-mãe.</t>
  </si>
  <si>
    <t xml:space="preserve">Com descrição de vão Ø45 cm, o PU é 12 a 43 vezes o de vãos circulares semelhantes do MQT e superior ao da própria porta. Se for duplicação dos vãos incluídos no artigo-mãe: −10 348,80 €. Se o texto estiver errado e for outra porta: 0 €.</t>
  </si>
  <si>
    <t xml:space="preserve">Confirmar no mapa de vãos o que é VE.2.14.1. Corrigir a descrição ou o PU, ou eliminar o subartigo.</t>
  </si>
  <si>
    <t xml:space="preserve">Confirmado em rows.json: 2 × 5 174,40 = 10 348,80 €. O artigo-mãe inclui textualmente «2 vãos de ventilação fixos tipo Navarra série 12000 com lâminas de ventilação». Rácios: 5 174,40/438,64 = 11,8× e /119,58 = 43,3× (≈12–43×). O achado é sólido.</t>
  </si>
  <si>
    <t xml:space="preserve">3.11.2.26</t>
  </si>
  <si>
    <t xml:space="preserve">3.11.2.26.1; 3.11.2.26.2; 3.11.2.26 (OMISSÃO)</t>
  </si>
  <si>
    <t xml:space="preserve">SOLEIRAS EM CHAPA QUINADA (VE.C.01 / VE.1.11)</t>
  </si>
  <si>
    <t xml:space="preserve">Soleiras para 16 vãos sem artigo de caixilharia</t>
  </si>
  <si>
    <t xml:space="preserve">3.11.2.26.1 VE.C.01 | UN | 8 | 51,60 € | 412,80 €; 3.11.2.26.2 VE.1.11 | UN | 8 | 51,60 € | 412,80 €. VE.C.01 e VE.1.11 não aparecem em nenhum outro artigo do MQT.</t>
  </si>
  <si>
    <t xml:space="preserve">Cada vão com soleira deve ter o artigo da caixilharia (dimensões, sistema e vidro), como os restantes VE.</t>
  </si>
  <si>
    <t xml:space="preserve">A pesquisa no MQT só encontra estas linhas para VE.C.01 e VE.1.11. O impacto está quantificado no achado 3.11.2.26 (OMISSÃO), para não contar duas vezes.</t>
  </si>
  <si>
    <t xml:space="preserve">Confirmar no mapa de vãos e acrescentar os artigos de caixilharia.</t>
  </si>
  <si>
    <t xml:space="preserve">Pesquisa em rows.json: 'C.01' só aparece no 3.11.2.26.1. '1.11' só aparece no 3.11.2.26.2, na nota 05 (VI 1.11, que é outro vão) e no 3.15.4.3 (compartimento A.1.11). Os VE.1.11 não constam da lista de inexistentes da nota 05. Valores confirmados.</t>
  </si>
  <si>
    <t xml:space="preserve">3.11.2.26 (OMISSÃO)</t>
  </si>
  <si>
    <t xml:space="preserve">3.11.2.26.1; 3.11.2.26.2</t>
  </si>
  <si>
    <t xml:space="preserve">Caixilharia dos vãos VE.C.01 e VE.1.11 (omissa)</t>
  </si>
  <si>
    <t xml:space="preserve">16 vãos com soleira e sem caixilharia orçada</t>
  </si>
  <si>
    <t xml:space="preserve">VE.C.01 (8 UN) e VE.1.11 (8 UN) só existem nas soleiras 3.11.2.26, a 51,60 €.</t>
  </si>
  <si>
    <t xml:space="preserve">Artigos de caixilharia para os 16 vãos, a ≈0–1 500 €/vão consoante a dimensão (o VE.C.02 semelhante custa 471,36 €; vãos de ventilação 119–439 €).</t>
  </si>
  <si>
    <t xml:space="preserve">16 × até 1 500 € = 24 000 €. Mínimo de 0 € se os vãos não levarem caixilho (por exemplo, aberturas livres).</t>
  </si>
  <si>
    <t xml:space="preserve">Confirmar no mapa de vãos e orçar.</t>
  </si>
  <si>
    <t xml:space="preserve">Pesquisa confirma que não há outras ocorrências. Referências internas corretas (VE.C.02 a 471,36 €; 3.11.2.25 a 119,58 €; 3.11.2.24 a 438,64 €). O intervalo 0–24 000 € é coerente.</t>
  </si>
  <si>
    <t xml:space="preserve">3.15.9 (OMISSÃO)</t>
  </si>
  <si>
    <t xml:space="preserve">3.9.2.8; 3.15.9.1</t>
  </si>
  <si>
    <t xml:space="preserve">Marcações do campo exterior PAV E 02 (omisso)</t>
  </si>
  <si>
    <t xml:space="preserve">Campo exterior sem linhas de jogo</t>
  </si>
  <si>
    <t xml:space="preserve">O 3.15.9 só tem marcações interiores: 3.15.9.1 (1 100 m²) e 3.15.9.2 (380 m²) a 2,50 €/m². O 3.9.2.8 (2 538 m²) não inclui linhas.</t>
  </si>
  <si>
    <t xml:space="preserve">Marcações multidesportivas em tinta compatível com o Sikafloor Colorsport. Pelo próprio PU do MQT (2,50 €/m²): 2 538 × 2,50 = 6 345 €.</t>
  </si>
  <si>
    <t xml:space="preserve">≈600–1 000 ml de linhas a 1,5–3 €/ml dá ≈1 500–3 000 €. Aplicando o critério do MQT por m², o máximo é 6 345 €.</t>
  </si>
  <si>
    <t xml:space="preserve">Acrescentar o subartigo 3.15.9.3 (campo exterior).</t>
  </si>
  <si>
    <t xml:space="preserve">Confirmado que o 3.15.9 só tem os subartigos .1 e .2 (setores interiores) e que 'marcaç' não aparece noutro artigo. 2 538 × 2,50 = 6 345 € correto.</t>
  </si>
  <si>
    <t xml:space="preserve">3.17 (OMISSÃO)</t>
  </si>
  <si>
    <t xml:space="preserve">3.9.1.1; 3.9.2.8; 3.17.2</t>
  </si>
  <si>
    <t xml:space="preserve">Equipamento desportivo (omisso)</t>
  </si>
  <si>
    <t xml:space="preserve">Sem balizas, tabelas, postes nem equipamento de ginásio</t>
  </si>
  <si>
    <t xml:space="preserve">Nenhum artigo do MQT inclui balizas, tabelas de basquetebol, postes ou redes de voleibol e badminton, ou equipamento de ginástica (pesquisa sem resultados). Só há redes de proteção (3.17.2), cortinas (3.17.7) e bancadas.</t>
  </si>
  <si>
    <t xml:space="preserve">Equipamento conforme o DL 100/2003 (balizas e equipamentos de basquetebol), a NP EN 749, a EN 1270, a EN 1271 e a EN 913, para o polidesportivo (1 100 m²), o ginásio (396 m²), a sala de ginástica e o campo exterior (2 538 m²).</t>
  </si>
  <si>
    <t xml:space="preserve">Balizas: 4–6 × 1,5–3 k€. Tabelas principais e laterais: 15–35 k€. Voleibol e badminton: 2–4 k€. Ginásio: 10–20 k€. Total ≈35–70 k€. Impacto 0 € se o Dono de Obra fornecer o equipamento fora da empreitada.</t>
  </si>
  <si>
    <t xml:space="preserve">Decidir se o equipamento entra na empreitada e, nesse caso, criar os artigos com referências normativas.</t>
  </si>
  <si>
    <t xml:space="preserve">Dono de Obra</t>
  </si>
  <si>
    <t xml:space="preserve">Pesquisa em todo o rows.json sem resultados para baliza, tabela, basquet, voleibol, badminton e espaldar. 'poste' só aparece em contextos não desportivos. O intervalo é plausível. A eventual exclusão pelo Dono de Obra está referida (responsável Dono de Obra).</t>
  </si>
  <si>
    <t xml:space="preserve">5</t>
  </si>
  <si>
    <t xml:space="preserve">5.3.7</t>
  </si>
  <si>
    <t xml:space="preserve">3.16.1.18; 6.2.16</t>
  </si>
  <si>
    <t xml:space="preserve">CANAL COM GRELHA CHUVEIROS</t>
  </si>
  <si>
    <t xml:space="preserve">Drenagem linear dos balneários paga em 5.3.7 e 3.16.1.18</t>
  </si>
  <si>
    <t xml:space="preserve">5.3.7: 25,60 m × 220,00 € = 5.632,00 €, 'caleiras de pavimento em ferro fundido ... aplicar nas cozinhas, e instalações sanitárias'. 3.16.1.18 'DRENAGEM LINEAR EM BALNEÁRIOS ... tipo ACO 64 em Aço Inox': 28,00 ml × 269,61 € = 7.549,08 €.</t>
  </si>
  <si>
    <t xml:space="preserve">m</t>
  </si>
  <si>
    <t xml:space="preserve">Uma só medição da drenagem linear dos balneários (3.16.1.18, inox, conforme arquitetura). O programa não tem cozinhas: a pesquisa de 'cozinha' no MQT só encontra 5.3.7.</t>
  </si>
  <si>
    <t xml:space="preserve">Mesma função (caleira de duche nos balneários) com comprimentos semelhantes (25,6 m vs 28 m) e materiais incompatíveis entre si (ferro fundido vs inox). Retirando o artigo duplicado, poupam-se 5.632 €.</t>
  </si>
  <si>
    <t xml:space="preserve">Eliminar 5.3.7, ou reduzi-lo à ligação à rede, e corrigir a referência a cozinhas.</t>
  </si>
  <si>
    <t xml:space="preserve">Confirmei 25,6 × 220 = 5.632 € e 28 × 269,61 = 7.549,08 €, bem como os dois textos. 'cozinha' só aparece em 5.3.7. O 6.2.16 (ACO inox, 87,4 m) é drenagem pluvial exterior, não balneários, e não entra na duplicação. A duplicação entre especialidades é consistente. [Consolidação: impacto contabilizado em 3.16.1.18 para não contar duas vezes.]</t>
  </si>
  <si>
    <t xml:space="preserve">6</t>
  </si>
  <si>
    <t xml:space="preserve">6.1.1</t>
  </si>
  <si>
    <t xml:space="preserve">6.1.3; 2.1.2; 2.1.5</t>
  </si>
  <si>
    <t xml:space="preserve">ESCAVAÇÃO</t>
  </si>
  <si>
    <t xml:space="preserve">Vala com entivação por estacas-prancha/painéis a 5,50 €/m3</t>
  </si>
  <si>
    <t xml:space="preserve">6.1.1: 708,21 m3 × 5,50 €/m3 = 3.895,16 €. Texto: 'entivações e escoramento das valas com estacas prancha ou painéis metálicos ... montagem e desmontagem'.</t>
  </si>
  <si>
    <t xml:space="preserve">12–18 €/m3; com painéis de entivação pode passar dos 20 €/m3. Só a escavação e o transporte custam 16,50 €/m3 no próprio MQT (2.1.2 + 2.1.5).</t>
  </si>
  <si>
    <t xml:space="preserve">(12 − 5,50) × 708,21 = 4.603,37 €; (18 − 5,50) × 708,21 = 8.852,63 €. Atenuante: a regularização 6.1.2 está a 46,66 €/m3 (170,53 m3 = 7.957,05 €), o que eleva o custo global da vala para cerca de 20,9 €/m3 escavado. Mesmo assim, fica abaixo de um orçamento de mercado completo (≈ 28 €/m3).</t>
  </si>
  <si>
    <t xml:space="preserve">Rever o PU (≥ 12–18 €/m3) ou medir a entivação à parte (m2).</t>
  </si>
  <si>
    <t xml:space="preserve">Confirmei 708,21 × 5,50 = 3.895,16 € e o texto (estacas-prancha/painéis, montagem e desmontagem). As contas estão certas: 4.603,37 € e 8.852,63 €. Acrescentei à fundamentação a compensação parcial pelo PU elevado da areia (6.1.2). O achado mantém-se, porque o conjunto da vala continua abaixo do mercado.</t>
  </si>
  <si>
    <t xml:space="preserve">6.2.8</t>
  </si>
  <si>
    <t xml:space="preserve">6.2.8.1; 6.2.8.2; 6.2.8.3; 2.6.5</t>
  </si>
  <si>
    <t xml:space="preserve">GEODRENO</t>
  </si>
  <si>
    <t xml:space="preserve">Geodreno com brita, geotêxtil, vala e pavimentos a 3,56–10,60 €/m</t>
  </si>
  <si>
    <t xml:space="preserve">6.2.8.1 DN100: 29,40 m × 3,56 €; 6.2.8.2 DN160: 420,00 m × 7,65 €; 6.2.8.3 DN200: 183,75 m × 10,60 €. Total 633,15 m / 5.265,41 €. Inclui 'brita 25/40 envolvida em geotêxtil ... levantamento e reposição de pavimentos, abertura e tapamento de vala'.</t>
  </si>
  <si>
    <t xml:space="preserve">2.6.5 (dreno DN160 + brita 25/40 + geotêxtil em secção 0,40 × 0,40, sem vala nem pavimentos) = 20,32 €/ml. Mercado com vala: DN100 16–25, DN160 20–32, DN200 24–38 €/m.</t>
  </si>
  <si>
    <t xml:space="preserve">Mínimo: (16 − 3,56) × 29,4 + (20,32 − 7,65) × 420 + (24 − 10,60) × 183,75 = 8.149 €. Máximo: (25 − 3,56) × 29,4 + (32 − 7,65) × 420 + (38 − 10,60) × 183,75 = 15.892 €. O PU do DN160 é 38% do dreno equivalente 2.6.5, que nem tem vala.</t>
  </si>
  <si>
    <t xml:space="preserve">Rever os PU (DN160 ≥ 20,32 €/m, em linha com 2.6.5).</t>
  </si>
  <si>
    <t xml:space="preserve">Confirmei quantidades, PU e totais (104,66 + 3.213 + 1.947,75 = 5.265,41 €; 633,15 m). O 2.6.5 está a 20,32 €/ml, com a descrição citada. Recalculei: mínimo 8.149,39 € e máximo 15.892,09 €. 7,65 / 20,32 = 37,6%.</t>
  </si>
  <si>
    <t xml:space="preserve">6.2.13</t>
  </si>
  <si>
    <t xml:space="preserve">6.2.13.1; 6.2.12.3; 6.2.5.7</t>
  </si>
  <si>
    <t xml:space="preserve">CÂMARA DE VISITA NA LIGAÇÃO À TUBAGEM DE 500mm</t>
  </si>
  <si>
    <t xml:space="preserve">CV especial com caixa BA 1,5×1,5 e D400 a 545,62 €</t>
  </si>
  <si>
    <t xml:space="preserve">6.2.13.1 'DN 1.25 e 1,50x1,50mm': 1 UN × 545,62 €. Inclui anéis DN1,25 até 3,00 m, caixa em BA 1,50 × 1,50 m com e = 0,20 m, tampa D400, escavação e envolvimento em C35/45 XA3. O título refere 'TUBAGEM DE 500mm', mas o maior DN no MQT é 400 (6.2.5.7).</t>
  </si>
  <si>
    <t xml:space="preserve">Tem de custar mais do que 6.2.12.3 (CV DN1,25 simples com h &gt; 2,50 m = 644,83 €). Mercado: 2.500–5.000 €. Corrigir '1,50x1,50mm' para '1,50 × 1,50 m' e o DN da tubagem.</t>
  </si>
  <si>
    <t xml:space="preserve">(2.500 − 545,62) = 1.954,38 €; (5.000 − 545,62) = 4.454,38 €. Incoerência interna: a câmara especial (545,62 €) sai mais barata do que a câmara simples DN1,25 (644,83 €).</t>
  </si>
  <si>
    <t xml:space="preserve">Rever o PU (decompor anéis, caixa BA, betão C35/45 e tampa D400) e corrigir o texto (DN500 inexistente, unidade 'mm').</t>
  </si>
  <si>
    <t xml:space="preserve">Confirmei o texto e o PU (1 × 545,62 €). As pesquisas de '500 mm' e 'DN 500' só encontram 6.2.13, e o maior coletor medido é o DN400 (6.2.5.7). As contas estão certas.</t>
  </si>
  <si>
    <t xml:space="preserve">6.2.18</t>
  </si>
  <si>
    <t xml:space="preserve">6.2.18.1; 3.3.1; 3.3.2; 3.3.5; nota 02</t>
  </si>
  <si>
    <t xml:space="preserve">CALEIRA – 200x100 mm</t>
  </si>
  <si>
    <t xml:space="preserve">Caleiras de zinco já incluídas nos artigos de cobertura</t>
  </si>
  <si>
    <t xml:space="preserve">6.2.18.1: 196,60 m × 40,00 € = 7.864,00 € ('caleiras ... em folha de zinco nº 12'). 3.3.1, 3.3.2 e 3.3.5 incluem 'caleira de drenagem de A.P.s ... tipo FTB'. A nota 02 diz: 'encontram-se incluídos ... rufos, ... caleiros ... Optou-se por não fazer a sua medição individualizada'.</t>
  </si>
  <si>
    <t xml:space="preserve">0 € no cap. 6, porque as caleiras estão pagas nas coberturas (1.886 m2). Se o projeto exigir uma caleira de zinco diferente da do sistema FTB, tem de ser expressamente excluída de 3.3.x e da nota 02.</t>
  </si>
  <si>
    <t xml:space="preserve">Os artigos de cobertura e a nota 02 incluem expressamente as caleiras, logo o 6.2.18 paga o mesmo trabalho pela segunda vez.</t>
  </si>
  <si>
    <t xml:space="preserve">Eliminar 6.2.18, ou excluir as caleiras de 3.3.x e da nota 02 e confirmar a compatibilidade do zinco com o sistema FTB.</t>
  </si>
  <si>
    <t xml:space="preserve">Confirmei 196,6 × 40 = 7.864 €. Os textos de 3.3.1, 3.3.2 e 3.3.5 incluem 'caleira de drenagem de A.P.s ... tipo FTB', e a nota 02 (linha 256) inclui 'caleiros' em todos os artigos de cobertura. Áreas: 1.230 + 454 + 128 + 39 + 35 = 1.886 m2. As coberturas 3.3.3/3.3.4 são planas e também estão abrangidas pela nota 02. A duplicação está bem suportada.</t>
  </si>
  <si>
    <t xml:space="preserve">7</t>
  </si>
  <si>
    <t xml:space="preserve">7.4.1–7.4.5; 7.5.1; 7.5.3; 7.7.3.1.1–7.7.3.1.8; 7.7.3.2.1/2/4; 7.9.1; 7.9.5; 7.9.7</t>
  </si>
  <si>
    <t xml:space="preserve">INSTALAÇÕES ELÉTRICAS</t>
  </si>
  <si>
    <t xml:space="preserve">Equipamentos principais do Cap. 7 sem especificação técnica</t>
  </si>
  <si>
    <t xml:space="preserve">Designações sem características: 7.4.1 'Q.G.P.' 1 UN × 2.648,86 €; 7.4.2 'Q.P.C.I.G.' 9.541,74 €; 7.5.1 'Inversor Solar' 3 UN × 1.699,55 €; 7.5.3 'Paineis Solares' 192 UN × 132,84 € = 25.505,28 €; 7.7.3.1.1–8 '.Tipo L1'…'.Tipo P3' = 62.857,82 €; 7.7.3.2.x '. Tipo S1/S2/S3' = 7.393,08 €; 7.9.1 'Consola', 7.9.5 'Switch dedicado', 7.9.7 'Servidor'. Soma = 124.345,57 € (46,7 % do Cap. 7 = 265.980,37 €)</t>
  </si>
  <si>
    <t xml:space="preserve">Cada artigo deve definir as características mínimas ou remeter expressamente para a ficha do C.E./peças desenhadas: QGP (In do corte geral, Icc, forma, IP/IK), inversor (kW AC), painel (Wp, tecnologia, garantia), luminária (lm, W, IP/IK, UGR, Ra). Ver Portaria 701-H/2008 (conteúdo das medições e do mapa de quantidades do projeto de execução)</t>
  </si>
  <si>
    <t xml:space="preserve">Soma calculada no rows.json: 18.364,21 (7.4) + 5.098,65 + 25.505,28 + 62.857,82 + 7.393,08 + 1.670,80 + 773,69 + 2.682,04 = 124.345,57 €. Ao contrário destes, os artigos do Cap. 10 (ex.: 10.1.1) remetem para 'peças escritas e desenhadas'. Sem esta definição não é possível validar preços nem exigir conformidade, e abre-se a porta a substituições por equipamento inferior.</t>
  </si>
  <si>
    <t xml:space="preserve">Pedir ao projetista as fichas técnicas e completar as descrições no MQT (ou incluir remissão explícita para o C.E.). Usá-las como base nas consultas a subempreiteiros.</t>
  </si>
  <si>
    <t xml:space="preserve">Conferidos todos os PU/totais no rows.json: soma dos 8 L/P = 62.857,82 €; S1+S2+S3 = 1.734,48+3.814,00+1.844,60 = 7.393,08 €; soma global 124.345,57 € = 46,75 % de 265.980,37 €. As designações são de facto só códigos ('.Tipo L1', 'Q.G.P.'), sem remissão para o C.E. (ao contrário de 10.1.1/10.1.2/10.3.1 e 11.14.1).</t>
  </si>
  <si>
    <t xml:space="preserve">7 (OMISSÃO)</t>
  </si>
  <si>
    <t xml:space="preserve">7.3; 7.4.1; 7.5</t>
  </si>
  <si>
    <t xml:space="preserve">SPDA – proteção contra descargas atmosféricas</t>
  </si>
  <si>
    <t xml:space="preserve">Sem SPDA nem descarregadores de sobretensões</t>
  </si>
  <si>
    <t xml:space="preserve">Nenhum artigo de captores, descidas, ligadores de medição ou elétrodos de SPDA, nem de descarregadores. 7.3 'Rede Terra' = 5.271,03 €</t>
  </si>
  <si>
    <t xml:space="preserve">Análise de risco segundo a NP EN 62305-2 e, se exigido, SPDA segundo a NP EN 62305-3 (cobertura de grande área com 192 módulos FV). SPD tipo 1/2 no QGP (RTIEBT secções 443/534)</t>
  </si>
  <si>
    <t xml:space="preserve">Pesquisa em todo o MQT ('raio', 'descarreg', 'SPDA', 'sobretens', 'captor') sem resultados relevantes. O edifício é de grande dimensão, de uso escolar/desportivo e tem gerador FV na cobertura. Mínimo: só SPD tipo 1+2 no QGP e tipo 2 nos quadros parciais/FV (≈ 1.000 €) se a análise de risco dispensar SPDA externo; máximo com SPDA completo ≈ 20.000 €.</t>
  </si>
  <si>
    <t xml:space="preserve">Pedir a análise de risco e o projeto de SPDA e criar os artigos.</t>
  </si>
  <si>
    <t xml:space="preserve">Pesquisa refeita em todo o rows.json: 'raio' só aparece em 13.1.1 (árvores); 'descarreg', 'spda', 'sobretens', 'captor' com 0 resultados. Omissão real. Corrigido o impacto_min de 8.000 € para 1.000 €: a NP EN 62305-2 pode dispensar SPDA externo, ficando só os SPD (que também podem estar dentro do PU dos quadros).</t>
  </si>
  <si>
    <t xml:space="preserve">7.5.3</t>
  </si>
  <si>
    <t xml:space="preserve">7.5.4; 7.5.5; 7.4.5</t>
  </si>
  <si>
    <t xml:space="preserve">Paineis Solares</t>
  </si>
  <si>
    <t xml:space="preserve">UPAC sem potência definida, proteções DC/AC nem registo</t>
  </si>
  <si>
    <t xml:space="preserve">7.5.3 'Paineis Solares' 192 UN × 132,84 €; 7.5.4 'Estrutura de suporte dos painéis' 1 UN × 10.161,49 €; 7.5.5 'Instalação Elétrica, parametrização e configuração do sistema, testes e colocação em serviço.' 1 UN × 5.281,80 €. Não há artigo de caixas de proteção de strings, descarregadores DC/AC, registo nem certificado de exploração</t>
  </si>
  <si>
    <t xml:space="preserve">DL 15/2022: uma UPAC entre 30 kW e 1 MW exige registo prévio e certificado de exploração. Proteções DC (seccionamento/fusíveis por string) e SPD tipo 2 DC/AC segundo a RTIEBT secção 712 / IEC 60364-7-712. Verificação estrutural da cobertura para a sobrecarga dos painéis</t>
  </si>
  <si>
    <t xml:space="preserve">A potência e a tecnologia não estão definidas, pelo que o preço não pode ser validado. Muitos inversores string já integram seccionador e SPD DC; as proteções AC podem estar no Q.PV.AC (2.683,37 €) e a colocação em serviço em 7.5.5. Parte possivelmente em falta: caixas DC externas 3 × 300–500 € + SPD adicional 0–300 € + registo/inspeção da UPAC 300–600 € ≈ 0–2.500 € (0 se tudo estiver integrado/incluído).</t>
  </si>
  <si>
    <t xml:space="preserve">Completar a descrição (Wp, tecnologia, garantias) e criar artigos para as proteções DC/AC e para o registo/certificado da UPAC. Pedir a verificação estrutural da cobertura.</t>
  </si>
  <si>
    <t xml:space="preserve">Valores conferidos (192 × 132,84 = 25.505,28; 10.161,49; 5.281,80; Q.PV.AC 2.683,37). Pesquisa por 'descarreg', 'sobretens', 'registo', 'certific' sem artigos elétricos. Regime DL 15/2022 (30 kW–1 MW: registo prévio + certificado de exploração) correto. Corrigida a fundamentação: a decomposição original somava até 3.000 € e não tinha em conta que os inversores string costumam integrar proteções DC; o máximo de 2.500 € fica agora coerente com a decomposição.</t>
  </si>
  <si>
    <t xml:space="preserve">7.7.3.1.9</t>
  </si>
  <si>
    <t xml:space="preserve">7.7.3.1.8; 7.7.3.1.10; 7.3.4</t>
  </si>
  <si>
    <t xml:space="preserve">.Postes 12m para luminárias P3</t>
  </si>
  <si>
    <t xml:space="preserve">Poste de 12 m a 570,65 € sem maciço de fundação</t>
  </si>
  <si>
    <t xml:space="preserve">7.7.3.1.9 '.Postes 12m para luminárias P3' 4 UN × 570,65 € = 2.282,60 €, sem maciço. Para comparação, 7.7.3.1.10 '.Tipo E1 (incluindo poste de 3,5m)' custa 604,55 €/un com luminária incluída</t>
  </si>
  <si>
    <t xml:space="preserve">Coluna troncocónica de 12 m em aço galvanizado ≈ 360 kg (ficha Thorn 'COL 12M STEEL TAPER') ≈ 1.000–1.400 € só a coluna; maciço em betão armado com chumbadouros M20–M22 ≈ 300–700 €; montagem com grua ≈ 200–400 €. Total ≈ 1.500–2.500 €/un</t>
  </si>
  <si>
    <t xml:space="preserve">Um poste de 12 m sai mais barato do que um balizador de 3,5 m com luminária (604,55 €). (1.500 − 570,65) × 4 = 3.717,40 €; (2.500 − 570,65) × 4 = 7.717,40 €. Fonte: thornlighting.co.uk (Steel Tapered Columns, 12 m, ~360 kg).</t>
  </si>
  <si>
    <t xml:space="preserve">Rever o PU e criar um artigo para o maciço de fundação, com dimensionamento ao vento (EN 40).</t>
  </si>
  <si>
    <t xml:space="preserve">Valores conferidos (4 × 570,65 = 2.282,60; E1 604,55). Pesquisa por 'maciço' no MQT só encontra artigos de estruturas (2.x), águas e cobertura — nenhum maciço de poste. Aritmética do impacto correta. A fonte Thorn (peso) não foi verificável offline, mas a ordem de grandeza é plausível.</t>
  </si>
  <si>
    <t xml:space="preserve">13</t>
  </si>
  <si>
    <t xml:space="preserve">13 (OMISSÃO)</t>
  </si>
  <si>
    <t xml:space="preserve">4.3.10, 4.5.2, 13.6.3, 13.5.1, 13.5.2, 13.3.1–13.3.8</t>
  </si>
  <si>
    <t xml:space="preserve">Rede de rega (~3.550 m2 de áreas plantadas)</t>
  </si>
  <si>
    <t xml:space="preserve">Rede de rega inexistente apesar de contador e ramal de rega</t>
  </si>
  <si>
    <t xml:space="preserve">Não há nenhum artigo de rede de rega em todo o MQT: a pesquisa por «rega», «aspers» e «gota» só devolve 4.3.10 «CONTADOR REDE DE REGA» (1 × 900,00 €) e 4.5.2 «LIGAÇÃO À REDE REGA» (1 × 700,00 €). Áreas: 13.5.1 prado em hidrossementeira 622 m2; 13.5.2 prado florido 2.568 m2; arbustos ≈368 m2 (13.6.4 manta); 80 árvores (13.3); 13.1.4 = 3.552 m2. 13.6.3 diz que os drenos servem «para facilitar o fornecimento directo da água de rega».</t>
  </si>
  <si>
    <t xml:space="preserve">Rega automática, mercado PT: aspersão em prados 4–7 €/m2; gota-a-gota em canteiros 6–10 €/m2; anel/borbulhador por árvore 25–40 €/un; programador, eletroválvulas, caixas e sensor de chuva 1.500–3.000 €.</t>
  </si>
  <si>
    <t xml:space="preserve">Máximo: 3.190 m2 × 7 + 368 × 10 + 80 × 40 + 3.000 ≈ 32.000 €. Mínimo (prado florido P2 de sequeiro): 622 × 4 + 368 × 6 + 80 × 25 + 1.500 ≈ 8.200 €. Ter contador e ramal de rega sem rede a jusante é incoerente. A «primeira rega» incluída nas plantações não substitui a instalação.</t>
  </si>
  <si>
    <t xml:space="preserve">Incluir um subcapítulo de rede de rega (tubagens PEAD, aspersores/pulverizadores, gota-a-gota, eletroválvulas, programador e sensor de chuva) de acordo com o projeto de paisagismo.</t>
  </si>
  <si>
    <t xml:space="preserve">Pesquisei todo o dump: «rega» só aparece em 4.3.10 (900 €), 4.5.2 (700 €), na «primeira rega» de 13.3.x e em 13.6.3; «aspers» e «gota» não dão resultados. As áreas estão certas (622 + 2.568 + 368 ≈ 3.558 m2, coerente com 13.1.4 = 3.552 m2 e com 13.2.1 = 888 m3 / 0,25 m). Cálculos: 32.210 € (máx.) e 8.196 € (mín.).</t>
  </si>
  <si>
    <t xml:space="preserve">14</t>
  </si>
  <si>
    <t xml:space="preserve">14.4.4</t>
  </si>
  <si>
    <t xml:space="preserve">14.4.2, 14.4.3</t>
  </si>
  <si>
    <t xml:space="preserve">LIHCH 6x2x0.75</t>
  </si>
  <si>
    <t xml:space="preserve">Cabo LIHCH 6x2x0,75 a 120,76 €/m (≈50× o mercado)</t>
  </si>
  <si>
    <t xml:space="preserve">14.4.4 «LIHCH 6x2x0.75» – Un m, Qtd 110, PU 120,76 €/m, Total 13.283,60 € (84 % do subcapítulo 14.4 = 15.725,96 €).</t>
  </si>
  <si>
    <t xml:space="preserve">Pela progressão interna (14.4.2 LIHCH 2x2x0.75 a 1,86 €/m; 14.4.3 LIHCH 4x2x0.75 a 2,12 €/m) o 6x2x0.75 ficaria a ≈2,38 €/m; mercado PT 2025-26 (fornecimento e enfiamento): 2,40–3,50 €/m.</t>
  </si>
  <si>
    <t xml:space="preserve">Cada 2 pares adicionais acrescentam ≈0,26 €/m (1,86 → 2,12); 120,76 €/m é ≈50 vezes a referência, o que indica erro de digitação ou de unidade. Impacto = (PU_ref − PU_mqt) × Qtd: (3,50 − 120,76) × 110 = −12.898,60 €; (2,40 − 120,76) × 110 = −13.019,60 €.</t>
  </si>
  <si>
    <t xml:space="preserve">Corrigir o PU para ≈2,4–3,5 €/m e rever o subtotal 14.4 e o total do capítulo 14.</t>
  </si>
  <si>
    <t xml:space="preserve">Confirmado no rows.json: 14.4.4 m, 110 × 120,76 = 13.283,60 €; 14.4 = 15.725,96 € (84,5 %); 14.4.2 a 1,86 €/m e 14.4.3 a 2,12 €/m. O total geral é 4.499.642 €. Os cálculos de impacto estão certos (−12.898,60 / −13.019,60). A convenção de sinal (mín. = menor redução) é a mesma dos outros achados de redução.</t>
  </si>
  <si>
    <t xml:space="preserve">82 artigos (ver folha VERIF. ARITMÉTICA do MQT anotado)</t>
  </si>
  <si>
    <t xml:space="preserve">Aritmética</t>
  </si>
  <si>
    <t xml:space="preserve">Total de custo ≠ Qtd × PU em 82 artigos; venda &lt; custo em 49</t>
  </si>
  <si>
    <t xml:space="preserve">Diferenças até 6,35 € por artigo (ex.: 3.9.2.8: 2.538 × 50,18 = 127.356,84 € mas o total de custo é 127.363,19 €).</t>
  </si>
  <si>
    <t xml:space="preserve">Total = Qtd × PU arredondado a 2 casas, igual nas duas colunas.</t>
  </si>
  <si>
    <t xml:space="preserve">PU de custo com mais casas decimais na origem, colados como valores.</t>
  </si>
  <si>
    <t xml:space="preserve">Arredondar PU e recalcular.</t>
  </si>
  <si>
    <t xml:space="preserve">Capítulo 3 (121 de 236 artigos)</t>
  </si>
  <si>
    <t xml:space="preserve">Medições</t>
  </si>
  <si>
    <t xml:space="preserve">Quantidades redondas: estimativas e não medições</t>
  </si>
  <si>
    <t xml:space="preserve">121 de 236 quantidades da Arquitetura são números inteiros redondos (9.000 m3, 1.000 m2, 2.500 m3, 1.550 m2, 850 m2…); na Estabilidade só 3 de 69.</t>
  </si>
  <si>
    <t xml:space="preserve">Medições com memória de cálculo a partir das peças desenhadas.</t>
  </si>
  <si>
    <t xml:space="preserve">Contagem por script das quantidades inteiras (excl. UN/VG).</t>
  </si>
  <si>
    <t xml:space="preserve">Pedir memória de medições e conferir os 20 maiores artigos (39,3% do custo).</t>
  </si>
  <si>
    <t xml:space="preserve">1</t>
  </si>
  <si>
    <t xml:space="preserve">1.2</t>
  </si>
  <si>
    <t xml:space="preserve">1.1</t>
  </si>
  <si>
    <t xml:space="preserve">IMPLEMENTAÇÃO DO PLANO DE QUALIDADE, PLANEAMENTO E GESTÃO DE OBRA</t>
  </si>
  <si>
    <t xml:space="preserve">Faseamento com pavilhão em funcionamento por 2.000 €</t>
  </si>
  <si>
    <t xml:space="preserve">1 UN × 2.000,00 € = 2.000,00 €. Inclui as 'fases de obra de modo a garantir que o Pavilhão Existente se possa manter em funcionamento', o acesso à obra e a circulação na escola 'através da implementação limites físicos devidamente sinalizados'. 1.1 já inclui 'delimitações/vedações' e 'Todos os trabalhos necessários à implementação do Plano de Qualidade, Planeamento e Gestão de Obra'.</t>
  </si>
  <si>
    <t xml:space="preserve">7.000–17.000 € para um faseamento em 2 fases (separações físicas móveis, percursos protegidos e sinalização durante toda a obra), descontando o que 1.1 já paga (vedações e Plano de Qualidade). Ou 0 € se 1.1 declarar expressamente que inclui as vedações de faseamento.</t>
  </si>
  <si>
    <t xml:space="preserve">Só a mudança de separações entre fases (cerca de 150–250 ml de tapume a 15–25 €/ml ≈ 2.250–6.250 € por fase), mais percursos protegidos e sinalização, ultrapassa os 2.000 €. Mas 1.1 (265.185 €) já inclui 'delimitações/vedações' e 'sinalização', por isso as separações físicas podem já estar pagas: o impacto líquido vai de 0 a 15.000 €.</t>
  </si>
  <si>
    <t xml:space="preserve">Rever o PU para 7–17 k€, ou indicar em 1.1 que as vedações de faseamento estão lá incluídas e limitar 1.2 ao plano de faseamento.</t>
  </si>
  <si>
    <t xml:space="preserve">Textos de 1.1 e 1.2 confirmados. O próprio achado admite uma solução sem custo (declarar em 1.1 a inclusão das vedações de faseamento), por isso o mínimo de 5.000 € não é sustentado: impacto_min corrigido de 5.000 para 0. O máximo (15.000 €) foi mantido.</t>
  </si>
  <si>
    <t xml:space="preserve">1.5</t>
  </si>
  <si>
    <t xml:space="preserve">2.2.1; 2.3.1; 2.2.13</t>
  </si>
  <si>
    <t xml:space="preserve">IMPLANTAÇÃO DE OBRA</t>
  </si>
  <si>
    <t xml:space="preserve">Implantação e apoio topográfico de toda a obra por 3.000 €</t>
  </si>
  <si>
    <t xml:space="preserve">1 UN × 3.000,00 € = 3.000,00 €: 'implantação e piquetagem de toda a obra, incluindo apoio topográfico'.</t>
  </si>
  <si>
    <t xml:space="preserve">5.000–8.000 € para implantação e apoio topográfico contínuo numa obra com cerca de 160 microestacas, 900 ml de perfis selados, 13 ancoragens e duas fases.</t>
  </si>
  <si>
    <t xml:space="preserve">2.2.1: 599,85 ml / 8,5 m ≈ 71 un. 2.3.1: 1.080,33 ml / 12,15 m ≈ 89 un. Perfis 2.2.3–2.2.5: 899,98 ml. A diferença para a referência é de 2.000–5.000 €.</t>
  </si>
  <si>
    <t xml:space="preserve">Rever o PU para 5–8 k€.</t>
  </si>
  <si>
    <t xml:space="preserve">Valor e texto confirmados. 'topogr' só aparece em 1.5 em todo o MQT. Contagens recomputadas: 70,6 un, 88,9 un e 291,50 + 333,20 + 275,28 = 899,98 ml. A referência é plausível (10–15 dias de topógrafo ao longo da obra).</t>
  </si>
  <si>
    <t xml:space="preserve">1.7</t>
  </si>
  <si>
    <t xml:space="preserve">3.1.3; 5.4.3; 6.3.3</t>
  </si>
  <si>
    <t xml:space="preserve">DESATIVAÇÕES</t>
  </si>
  <si>
    <t xml:space="preserve">Verba global sem âmbito e sobreposta a 3.1.3</t>
  </si>
  <si>
    <t xml:space="preserve">1 UN × 2.000,00 € = 2.000,00 €: 'Fornecimento e execução de desativação demolição e remoção de infraestruturas existentes.' 3.1.3 inclui '.Demolição e desativação de infraestruturas existentes' (pago em 3.1.3.1–3.1.3.3, 47.520 €).</t>
  </si>
  <si>
    <t xml:space="preserve">Um artigo com âmbito definido (que redes e onde), sem sobreposição: ou 1.7 com a lista de infraestruturas e sem a menção em 3.1.3, ou eliminar 1.7.</t>
  </si>
  <si>
    <t xml:space="preserve">Os mesmos trabalhos estão descritos em 1.7 e em 3.1.3. Há também desativações de desvios de rede em 5.4.3 e 6.3.3. Se houver duplicação, o artigo a eliminar vale 2.000 €.</t>
  </si>
  <si>
    <t xml:space="preserve">Definir o âmbito de 1.7 ou eliminá-lo.</t>
  </si>
  <si>
    <t xml:space="preserve">Conferido: 3.1.3 (linha Excel 206) inclui '.Demolição e desativação de infraestruturas existentes'; 3.1.3.1–3.1.3.3 = 20.480 + 26.000 + 1.040 = 47.520 €. 5.4.3 e 6.3.3 (750 € cada) são desativações do desvio provisório da rede, que é outro âmbito, como o achado indica. Impacto coerente.</t>
  </si>
  <si>
    <t xml:space="preserve">2.1.1</t>
  </si>
  <si>
    <t xml:space="preserve">2.1.5</t>
  </si>
  <si>
    <t xml:space="preserve">ESCAVAÇÃO GERAL</t>
  </si>
  <si>
    <t xml:space="preserve">'Carga e transporte' pagos em 2.1.1 e outra vez em 2.1.5</t>
  </si>
  <si>
    <t xml:space="preserve">9.861,90 m3 × 5,50 € = 54.240,45 €: 'Escavação em terreno de qualquer natureza ... incluindo carga e transporte de material'. 2.1.5: 8.171,56 m3 × 5,50 € = 44.943,58 €: 'Carga, transporte, descarga e colocação de terras ... à distância média de 20km'.</t>
  </si>
  <si>
    <t xml:space="preserve">A carga e o transporte das terras sobrantes devem ser pagos uma só vez (em 2.1.5). 2.1.1 deve ficar limitado à escavação e à movimentação interna para depósito provisório. 'Terreno de qualquer natureza' obriga o PU a incluir rocha: 5,50 €/m3 só chega para solos escaváveis com meios correntes (a escavação em rocha com martelo custa normalmente mais de 15 €/m3).</t>
  </si>
  <si>
    <t xml:space="preserve">Os dois artigos descrevem a 'carga e transporte' do mesmo volume (2.1.5 = 2.1.1 + 2.1.2 − 2.1.3). Uma carga mecânica custa cerca de 1 €/m3, por isso até 8.171,56 € podem estar pagos duas vezes. O MQT não caracteriza o terreno nem tem artigo de rocha.</t>
  </si>
  <si>
    <t xml:space="preserve">Retirar 'carga e transporte' de 2.1.1 e confirmar a natureza do terreno com o estudo geotécnico. Se houver rocha, criar um subartigo próprio.</t>
  </si>
  <si>
    <t xml:space="preserve">Textos e valores confirmados (linhas Excel 24 e 33). A sobreposição textual é real. É coerente com o achado 2.1.5 (a referência de 7–9 €/m3 de 2.1.5 inclui a carga que sairia de 2.1.1), por isso não há dupla contagem. Impacto até −8.171,56 € a 1 €/m3, plausível.</t>
  </si>
  <si>
    <t xml:space="preserve">2.1.1; 2.1.2; 2.1.3; 3.2.1</t>
  </si>
  <si>
    <t xml:space="preserve">TRANSPORTE A VAZADOURO</t>
  </si>
  <si>
    <t xml:space="preserve">Vazadouro a 20 km com taxa de depósito a 5,50 €/m3; 3.2.1 sem destino</t>
  </si>
  <si>
    <t xml:space="preserve">8.171,56 m3 × 5,50 € = 44.943,58 €. A quantidade é 2.1.1 (9.861,90) + 2.1.2 (698,28) − 2.1.3 (2.388,61) = 8.171,57 m3. Texto: 'à distância média de 20km ... e eventual indemnização por depósito'. 3.2.1: 2.500 m3 × 5,50 € = 13.750 €, só com 'carga e transporte de material', sem vazadouro.</t>
  </si>
  <si>
    <t xml:space="preserve">7–9 €/m3 (medido no perfil) para carga, transporte a 20 km e taxa de deposição de solos (LER 17 05 04) em operador licenciado. O empolamento (20–30%) entra no PU, porque a medição é feita no perfil. Os 2.500 m3 de 3.2.1 precisam de destino (vazadouro ou reutilização).</t>
  </si>
  <si>
    <t xml:space="preserve">(7−5,5)×8.171,56 = 12.257,34 €; (9−5,5)×8.171,56 = 28.600,46 €. Se os 2.500 m3 de 3.2.1 forem também a vazadouro ao PU atual: +13.750 €, máximo 42.350,46 €. A quantidade está correta pelo critério de medição no perfil; o problema é o PU.</t>
  </si>
  <si>
    <t xml:space="preserve">Rever o PU para 7–9 €/m3 e acrescentar o destino final dos 2.500 m3 de 3.2.1 (vazadouro ou reutilização declarada).</t>
  </si>
  <si>
    <t xml:space="preserve">Conferido: 2.1.5 q=8.171,56, PU 5,50, total 44.943,58; 9.861,90 + 698,28 − 2.388,61 = 8.171,57. 3.2.1: 2.500 m3 × 5,50 = 13.750, texto 'incluindo carga e transporte de material', sem vazadouro, e nenhum outro artigo de terras a vazadouro no cap. 3 (os 3.1.x são demolições). Cálculos recomputados. É coerente com o achado 2.1.1: a referência de 7–9 €/m3 já inclui a carga, que sairia de 2.1.1. [Consolidação: máximo reduzido para 28.600,46 € porque o destino dos 2.500 m3 de 3.2.1 está quantificado no achado 3.2.1.]</t>
  </si>
  <si>
    <t xml:space="preserve">2.2.3</t>
  </si>
  <si>
    <t xml:space="preserve">2.2.1; 2.2.4</t>
  </si>
  <si>
    <t xml:space="preserve">PERFIS SELADOS HEA120</t>
  </si>
  <si>
    <t xml:space="preserve">Perfil HEA com selagem 'pelo interior da armadura' (texto copiado)</t>
  </si>
  <si>
    <t xml:space="preserve">291,50 ml × 88,89 € = 25.912,71 €. Texto: 'perfis selados, 200 mm de diâmetro nominal, ... perfis classe S275, e leitada ... derramada pelo interior da armadura através de sistema de injecção repetitiva seletiva (IRS)'.</t>
  </si>
  <si>
    <t xml:space="preserve">Perfil HEA120 S275 colocado em furo Ø200 mm e selado com calda de cimento injetada pelo fundo do furo, com o comprimento de selagem e as cotas definidos no projeto.</t>
  </si>
  <si>
    <t xml:space="preserve">Um perfil H não tem interior: o texto foi copiado da microestaca tubular (2.2.1). O diâmetro do furo (200 mm) está indicado; faltam o comprimento e a cota de selagem.</t>
  </si>
  <si>
    <t xml:space="preserve">Reescrever a descrição do método de selagem e indicar o comprimento.</t>
  </si>
  <si>
    <t xml:space="preserve">Texto confirmado na linha Excel 41. q=291,50, PU 88,89, total CUSTO 25.912,71 (Qtd × PU = 25.911,44; a diferença de arredondamento é tratada no achado global de totais).</t>
  </si>
  <si>
    <t xml:space="preserve">2.2.4</t>
  </si>
  <si>
    <t xml:space="preserve">2.2.3; 2.2.1</t>
  </si>
  <si>
    <t xml:space="preserve">PERFIS SELADOS HEB140</t>
  </si>
  <si>
    <t xml:space="preserve">Perfil HEB com selagem 'pelo interior da armadura' (texto copiado)</t>
  </si>
  <si>
    <t xml:space="preserve">333,20 ml × 100,61 € = 33.521,71 €. Texto igual ao de 2.2.3: '...leitada ... derramada pelo interior da armadura através de sistema de injecção repetitiva seletiva (IRS)'.</t>
  </si>
  <si>
    <t xml:space="preserve">Perfil HEB140 S275 em furo Ø200 mm selado com calda injetada pelo fundo do furo, com o comprimento de selagem definido.</t>
  </si>
  <si>
    <t xml:space="preserve">O mesmo erro de cópia de 2.2.3: um perfil HEB não tem interior para injeção IRS.</t>
  </si>
  <si>
    <t xml:space="preserve">Reescrever a descrição, como em 2.2.3.</t>
  </si>
  <si>
    <t xml:space="preserve">Texto confirmado igual ao de 2.2.3 (linha Excel 43). q=333,20, PU 100,61, total CUSTO 33.521,71.</t>
  </si>
  <si>
    <t xml:space="preserve">2.2.10</t>
  </si>
  <si>
    <t xml:space="preserve">2.2.11</t>
  </si>
  <si>
    <t xml:space="preserve">ESCORAS</t>
  </si>
  <si>
    <t xml:space="preserve">Escoras provisórias sem desmontagem e mais caras que o aço definitivo</t>
  </si>
  <si>
    <t xml:space="preserve">2.2.10.1 HEA160: 2.842,40 kg × 3,12 € = 8.868,29 €. 2.2.10.2 HEA140: 1.004,20 kg × 3,12 € = 3.133,10 €. Total 12.001,39 €. Texto: só 'Fornecimento e colocação'. PU de 3,12 €/kg, acima dos perfis de 2.2.11 (2,84–2,95 €/kg).</t>
  </si>
  <si>
    <t xml:space="preserve">Incluir desmontagem, corte de ligações e remoção das escoras provisórias (0,40–1,00 €/kg). Se o aço for recuperado, o PU deve ser de aluguer/valor residual, abaixo do aço definitivo.</t>
  </si>
  <si>
    <t xml:space="preserve">3.846,60 kg × 0,40–1,00 €/kg = 1.538,64–3.846,60 €. Uma escora provisória com PU acima do aço definitivo (2.2.11) não é coerente se o aço for recuperado.</t>
  </si>
  <si>
    <t xml:space="preserve">Acrescentar ao texto a desmontagem e remoção e rever o PU conforme o aço seja recuperável ou perdido.</t>
  </si>
  <si>
    <t xml:space="preserve">Conferido: 2.842,40 + 1.004,20 = 3.846,60 kg; totais 8.868,29 + 3.133,10 = 12.001,39 €. PU de 2.2.11 entre 2,84 e 2,95 €/kg, confirmado. 'Destensio' e 'desmont' de escoras não aparecem noutro artigo. Cálculo correto.</t>
  </si>
  <si>
    <t xml:space="preserve">PERFIS METÁLICOS</t>
  </si>
  <si>
    <t xml:space="preserve">Perfis da contenção sem função (provisória ou definitiva) nem proteção</t>
  </si>
  <si>
    <t xml:space="preserve">2.2.11.1 HEA220: 4.568,43 kg. 2.2.11.2 UNP100: 24,49 kg. 2.2.11.3 HEA180: 168,31 kg. 2.2.11.4 IPE220: 618,96 kg. 2.2.11.5 IPE270: 3.316,58 kg. Total 8.696,77 kg a 2,84–2,95 €/kg = 25.564,51 €. O texto é igual ao de 2.2.10 e não diz se os perfis são provisórios ou definitivos nem que proteção anticorrosiva levam.</t>
  </si>
  <si>
    <t xml:space="preserve">Indicar a função (longarinas ou vigas de distribuição, provisórias ou definitivas). Se forem definitivas: esquema de proteção (galvanização ou pintura segundo a EN ISO 12944), cerca de +0,6–1,0 €/kg. Se forem provisórias: desmontagem.</t>
  </si>
  <si>
    <t xml:space="preserve">O texto é copiado de 2.2.10 e não é possível quantificar sem desenhos.</t>
  </si>
  <si>
    <t xml:space="preserve">Completar a descrição com a função, a proteção e a desmontagem.</t>
  </si>
  <si>
    <t xml:space="preserve">Conferido: soma 8.696,77 kg e total 25.564,51 € (13.476,87 + 69,55 + 493,15 + 1.807,36 + 9.717,58). O texto de 2.2.11 é idêntico ao de 2.2.10. Fica como verificação, sem impacto.</t>
  </si>
  <si>
    <t xml:space="preserve">2.3.7</t>
  </si>
  <si>
    <t xml:space="preserve">2.3.8; 2.2.6</t>
  </si>
  <si>
    <t xml:space="preserve">MURO DE SUPORTE</t>
  </si>
  <si>
    <t xml:space="preserve">Classe de exposição 'XC' incompleta no maior artigo de betão</t>
  </si>
  <si>
    <t xml:space="preserve">262,53 m3 × 657,49 € = 172.610,32 € (10,45% do cap. 2). Texto: 'C30/37, XC, Cl 0.40, S4, Dinf 2mm, Dsup 20mm'.</t>
  </si>
  <si>
    <t xml:space="preserve">Classe de exposição completa segundo a NP EN 206 e a LNEC E 464 (muro em contacto com o terreno: XC2, ou XC4 na face exposta). Os outros elementos usam XC2 (2.2.x) e XC4 (2.3.8). Validar a medição.</t>
  </si>
  <si>
    <t xml:space="preserve">'XC' sem algarismo não é uma classe válida e define o recobrimento e a durabilidade de 172,6 k€ de betão.</t>
  </si>
  <si>
    <t xml:space="preserve">Completar a classe de exposição e validar a quantidade com os desenhos.</t>
  </si>
  <si>
    <t xml:space="preserve">Texto 'XC,' confirmado (linha Excel 103). 172.610,32/1.651.924,53 = 10,45%, confirmado. 2.3.8 com XC4 e 2.2.x com XC2, confirmado.</t>
  </si>
  <si>
    <t xml:space="preserve">2.3.12</t>
  </si>
  <si>
    <t xml:space="preserve">2.3.13</t>
  </si>
  <si>
    <t xml:space="preserve">LAJE MACIÇA</t>
  </si>
  <si>
    <t xml:space="preserve">Escoramento limitado a 4,0 m e betão C25/30 diferente do resto</t>
  </si>
  <si>
    <t xml:space="preserve">243,09 m3 × 435,21 € = 105.794,23 €. Texto: 'C25/30, XC1, Cl 0.40, S3, Dmáx 20 mm ... escoramento até 4.0 m'. 2.3.13 também é C25/30; os outros elementos são C30/37.</t>
  </si>
  <si>
    <t xml:space="preserve">Escoramento para a altura real das lajes (se houver pés-direitos acima de 4 m, por exemplo em bancadas ou átrios, prever um subartigo próprio) e classe de betão confirmada no projeto (C25/30 é o mínimo admissível para XC1 na LNEC E 464).</t>
  </si>
  <si>
    <t xml:space="preserve">O MQT não indica os pés-direitos. Sem desenhos não é possível quantificar escoramento acima de 4 m.</t>
  </si>
  <si>
    <t xml:space="preserve">Confirmar no projeto as alturas de escoramento e a classe do betão.</t>
  </si>
  <si>
    <t xml:space="preserve">Texto e valores confirmados (linhas Excel 114 e 116). Qtd × PU = 105.795,20 e total CUSTO 105.794,23 (citado corretamente). Está bem classificado como verificação, sem impacto.</t>
  </si>
  <si>
    <t xml:space="preserve">2.3.14</t>
  </si>
  <si>
    <t xml:space="preserve">2.3.14.1; 2.3.14.2; 2.3.14.3</t>
  </si>
  <si>
    <t xml:space="preserve">PAVIMENTO TÉRREO</t>
  </si>
  <si>
    <t xml:space="preserve">Título diz '15 cm' mas as camadas não coincidem</t>
  </si>
  <si>
    <t xml:space="preserve">Título: 'PAVIMENTO TÉRREO com 15 cm de espessura'. 2.3.14.1 P.T.1 brita 0,22 m: 419,56 m2 × 51,52 €. 2.3.14.2 P.T.2 brita 0,15 m: 1.602,90 m2 × 48,91 €. 2.3.14.3 P.T.3 brita 0,17 m: 262,82 m2 × 49,66 €. Laje de 0,12 m e regularização de 0,05 m.</t>
  </si>
  <si>
    <t xml:space="preserve">Retirar os '15 cm' do título ou indicar as espessuras por tipo (brita 0,22/0,15/0,17 m; regularização 0,05 m; laje 0,12 m).</t>
  </si>
  <si>
    <t xml:space="preserve">Os 15 cm não correspondem à laje (0,12 m), nem à laje com regularização (0,17 m), nem a 2 das 3 caixas de brita. Os PU são coerentes entre si (cerca de 37 €/m3 de brita adicional).</t>
  </si>
  <si>
    <t xml:space="preserve">Corrigir o título.</t>
  </si>
  <si>
    <t xml:space="preserve">Texto e valores confirmados (linhas Excel 118–125). (51,52−48,91)/0,07 = 37,3 €/m3 e (49,66−48,91)/0,02 = 37,5 €/m3. Os 15 cm coincidem só com a brita de P.T.2, como o achado diz.</t>
  </si>
  <si>
    <t xml:space="preserve">2.4.2</t>
  </si>
  <si>
    <t xml:space="preserve">2.4.1; 2.2.11.2</t>
  </si>
  <si>
    <t xml:space="preserve">ESTRUTURA METÁLICA INTERIOR</t>
  </si>
  <si>
    <t xml:space="preserve">Aço com C3 + intumescente R60 mais barato que aço exterior só com C3</t>
  </si>
  <si>
    <t xml:space="preserve">Texto: 'pintura anticorrosiva da classe C3 e proteção intumescente para 60''. 2.4.2.1 IPE 80: 103,95 kg × 6,94 €. 2.4.2.2 LNP35x4: 53,55 kg × 2,84 €. 2.4.2.3 SHS120x6,3: 78,79 kg × 4,84 €. 2.4.2.4 SHS100x4: 869,65 kg × 3,13 €. Total 3.976,83 €. No exterior (2.4.1, só C3) o PU é 3,91–4,31 €/kg.</t>
  </si>
  <si>
    <t xml:space="preserve">4,50–5,50 €/kg para aço S275 montado com C3 e intumescente R60 em perfis leves (fator de massividade alto). Nunca abaixo do PU do aço exterior sem intumescente.</t>
  </si>
  <si>
    <t xml:space="preserve">A 4,50 €/kg: (4,50−3,13)×869,65 + (4,50−2,84)×53,55 = 1.280,31 €. A 5,50 €/kg: 2.203,51 €. O LNP35x4 com C3 e R60 tem o mesmo PU (2,84 €/kg) que o UNP100 da contenção sem pintura (2.2.11.2).</t>
  </si>
  <si>
    <t xml:space="preserve">Rever os PU de 2.4.2.2 e 2.4.2.4 e uniformizar dentro do artigo.</t>
  </si>
  <si>
    <t xml:space="preserve">Quantidades, PU e total (3.976,83 €) conferidos. 2.4.1.1 a 3,91 €/kg e 2.4.1.2 a 4,31 €/kg; 2.2.11.2 UNP100 a 2,84 €/kg. Impactos recomputados: 1.280,31 € e 2.203,51 €. O IPE 80 a 6,94 €/kg mostra que o PU com intumescente foi aplicado só nalgumas linhas.</t>
  </si>
  <si>
    <t xml:space="preserve">2.4.4</t>
  </si>
  <si>
    <t xml:space="preserve">GRADIL</t>
  </si>
  <si>
    <t xml:space="preserve">Gradil com '0.30 m' de espessura e aço 'ST 37.2'</t>
  </si>
  <si>
    <t xml:space="preserve">17,18 m2 × 156,22 € = 2.683,86 €. Texto: 'gradil para pavimento com 0.30 [m] de espessura, com dimensões 0.030x0.030 [m x m] com 27 kg/m2 ... ST 37.2'.</t>
  </si>
  <si>
    <t xml:space="preserve">Altura de 0,030 m (30 mm), coerente com 27 kg/m2 e malha 30×30. Aço S235JR (NP EN 10025-2). Galvanização por imersão a quente (EN ISO 1461) se for exterior.</t>
  </si>
  <si>
    <t xml:space="preserve">Um gradil de 300 mm pesaria muito mais que 27 kg/m2. ST 37-2 é a designação DIN 17100, já anulada.</t>
  </si>
  <si>
    <t xml:space="preserve">Corrigir a espessura e a designação do aço e indicar o acabamento.</t>
  </si>
  <si>
    <t xml:space="preserve">Texto confirmado na linha Excel 147. 17,18 × 156,22 = 2.683,86. A designação ST 37-2 (DIN 17100) foi substituída pela S235JR.</t>
  </si>
  <si>
    <t xml:space="preserve">2.5.1.8</t>
  </si>
  <si>
    <t xml:space="preserve">2.5.1.2; 2.5.1.6; 2.5.1.9</t>
  </si>
  <si>
    <t xml:space="preserve">PM 0.20x0.20</t>
  </si>
  <si>
    <t xml:space="preserve">PM 0,20×0,20 com o PU da secção 0,15×0,20</t>
  </si>
  <si>
    <t xml:space="preserve">98,64 ml × 69,73 € = 6.878,45 € (1.743 €/m3). VM 0.15x0.20 (2.5.1.2) também a 69,73 €/ml. VM 0.20x0.20 (2.5.1.6) a 93,70 €/ml (2.342 €/m3). PM 0.20x0.40 e VM 0.20x0.40 têm ambos 184,36 €/ml.</t>
  </si>
  <si>
    <t xml:space="preserve">93,70 €/ml, o PU de VM 0.20x0.20 (mesma secção).</t>
  </si>
  <si>
    <t xml:space="preserve">(93,70−69,73)×98,64 = 2.364,40 €. O par PM/VM 0.20x0.40 tem o mesmo PU, o que confirma que o PU de PM 0.20x0.20 foi copiado da linha errada.</t>
  </si>
  <si>
    <t xml:space="preserve">Corrigir o PU para 93,70 €/ml.</t>
  </si>
  <si>
    <t xml:space="preserve">Conferido: 2.5.1.8 q=98,64, PU 69,73, total CUSTO 6.878,45; 69,73/0,04 = 1.743,2 €/m3; 2.5.1.6 93,70/0,04 = 2.342,5 €/m3; 2.5.1.7 e 2.5.1.9 ambos a 184,36. Impacto 2.364,40 € recomputado.</t>
  </si>
  <si>
    <t xml:space="preserve">2.6.1</t>
  </si>
  <si>
    <t xml:space="preserve">2.6.6; 3.4.4; 3.4.2</t>
  </si>
  <si>
    <t xml:space="preserve">IMPERMEABILIZAÇÃO COM PINTURA DE BASE BETUMINOSA</t>
  </si>
  <si>
    <t xml:space="preserve">Pintura betuminosa em 2.017 m2 pode sobrepor-se ao sistema de 2.6.6</t>
  </si>
  <si>
    <t xml:space="preserve">2.017,13 m2 × 2,64 € = 5.329,66 € ('elementos em contacto com o terreno', duas camadas cruzadas, primários). 2.6.6: 1.085,80 m2 × 17,65 € (sistema completo no tardoz, com primário). 3.4.4: 464 m2 × 2,64 € (emulsão betuminosa em paredes exteriores). 3.4.2: 637 m2 de XPS em muros.</t>
  </si>
  <si>
    <t xml:space="preserve">Um mapa de superfícies que separe fundações (2.6.1), tardoz de muros e contenções (2.6.6) e paredes exteriores (3.4.4), sem áreas repetidas. Para uma pintura betuminosa de 2 demãos, cerca de 3,5–4,5 €/m2.</t>
  </si>
  <si>
    <t xml:space="preserve">Se os 1.085,80 m2 de 2.6.6 estiverem também em 2.6.1: 1.085,80 × 2,64 = −2.866,51 €. As fundações enterradas (2.2.2, 2.2.8, 2.3.3–2.3.6) somam cerca de 385 m3 (401 m3 com a viga de coroamento 2.2.7). Com esse volume, 2.017 m2 de superfície parece elevado para fundações apenas, o que sugere que 2.6.1 inclui paramentos de muros. Esta é uma estimativa indicativa e não substitui o mapa de superfícies. Em sentido contrário, o PU de 2,64 €/m2 é baixo: +1.734,73 a +3.751,86 € (valor não somado ao impacto).</t>
  </si>
  <si>
    <t xml:space="preserve">Pedir o mapa de superfícies, eliminar as áreas repetidas e rever o PU.</t>
  </si>
  <si>
    <t xml:space="preserve">Valores conferidos: 2.6.1 total CUSTO 5.329,66 (Qtd × PU = 5.325,22); 3.4.4 464 × 2,64 = 1.225,98; 3.4.2 637 m2. O volume de 'cerca de 415 m3 de fundações' não se reproduz: a soma de 2.2.2 + 2.2.8 + 2.3.3 + 2.3.4 + 2.3.5 + 2.3.6 dá 385,34 m3 (401,34 com 2.2.7), e a fundamentação foi corrigida. Os dados não provam a duplicação, por isso o tipo passa a VERIFICAR e o estado a AJUSTADO. Impactos recomputados corretamente.</t>
  </si>
  <si>
    <t xml:space="preserve">2.6.3</t>
  </si>
  <si>
    <t xml:space="preserve">2.3.14.1; 3.9.1.2</t>
  </si>
  <si>
    <t xml:space="preserve">ENDURECEDOR DE SUPERFÍCIE</t>
  </si>
  <si>
    <t xml:space="preserve">Endurecedor na área de P.T.1 que pode levar também Unipiso</t>
  </si>
  <si>
    <t xml:space="preserve">419,56 m2 × 4,31 € = 1.806,63 € (igual à área de P.T.1, 2.3.14.1). 3.9.1.2 PAV I 02 Unipiso 10 cm: Piso 01 com 280 m2 × 35 € e Piso 02 com 339 m2 × 35 €.</t>
  </si>
  <si>
    <t xml:space="preserve">Endurecedor só onde a laje térrea fica à vista, sem Unipiso nem outro revestimento.</t>
  </si>
  <si>
    <t xml:space="preserve">Se os 280 m2 de Unipiso do Piso 01 assentarem sobre P.T.1: 280 × 4,31 = −1.206,80 €.</t>
  </si>
  <si>
    <t xml:space="preserve">Confirmar no mapa de acabamentos.</t>
  </si>
  <si>
    <t xml:space="preserve">Conferido: 2.6.3 q=419,56 = 2.3.14.1 q=419,56; total CUSTO 1.806,63 (Qtd × PU = 1.808,30). 3.9.1.2.1 Piso 01 280 m2 × 35 e 3.9.1.2.2 Piso 02 339 m2 × 35, confirmado. 280 × 4,31 = 1.206,80.</t>
  </si>
  <si>
    <t xml:space="preserve">2.6.4.3</t>
  </si>
  <si>
    <t xml:space="preserve">3.9.1.5; 3.9.2.2; 3.9.1.4.1; 3.9.2.1.1</t>
  </si>
  <si>
    <t xml:space="preserve">Degraus (BANCADAS)</t>
  </si>
  <si>
    <t xml:space="preserve">Degraus de bancada em 3 artigos com PU diferentes</t>
  </si>
  <si>
    <t xml:space="preserve">2.6.4.3 Degraus: 92 UN × 106,00 € = 9.752,00 €. 3.9.1.5 Degraus de escada de bancada int. (pré-fabricados 110×30×19 cm): 14 UN × 100,00 € = 1.400 €. 3.9.2.2 Degraus de escada de bancada ext.: 6 UN × 100,00 € = 600 €. Há ainda 3.9.1.4.1 e 3.9.2.1.1 'degrau de remate em bancadas' (20 + 18 m2 × 145 €).</t>
  </si>
  <si>
    <t xml:space="preserve">Um só artigo por elemento. Se for o mesmo degrau pré-fabricado, um só PU.</t>
  </si>
  <si>
    <t xml:space="preserve">O mesmo tipo de peça (degrau de bancada) aparece em 3 artigos, a 106 € e a 100 €, e há ainda os remates de degrau em 3.9.1.4.1 e 3.9.2.1.1. Se 3.9.1.5 e 3.9.2.2 estiverem contidos nos 92 de 2.6.4.3, há −2.000 €. Também pode tratar-se de elementos distintos (degraus estruturais pré-fabricados da bancada em 2.6.4 e degraus das escadas de acesso em 3.9).</t>
  </si>
  <si>
    <t xml:space="preserve">Confirmar nas peças desenhadas e eliminar ou uniformizar.</t>
  </si>
  <si>
    <t xml:space="preserve">Valores confirmados. A pesquisa de 'degrau' encontrou também 3.9.1.4.1 e 3.9.2.1.1 (degrau de remate em bancadas, m2 a 145 €), que foram acrescentados aos artigos relacionados e ao no_mqt. Ficou registada a hipótese de serem elementos diferentes. O impacto (0 a −2.000 €) mantém-se.</t>
  </si>
  <si>
    <t xml:space="preserve">2.6.5</t>
  </si>
  <si>
    <t xml:space="preserve">6.2.8.2</t>
  </si>
  <si>
    <t xml:space="preserve">DRENO TARDOZ PAREDES DE CONTENÇÃO E MUROS DE SUPORTE</t>
  </si>
  <si>
    <t xml:space="preserve">O mesmo dreno DN160 a 20,32 €/ml (2.6.5) e a 7,65 €/m (6.2.8.2)</t>
  </si>
  <si>
    <t xml:space="preserve">2.6.5: PVC corrugado perfurado de dupla parede Ø160, brita 25/40 envolvida em geotêxtil (secção 0,40×0,40), 244,57 ml × 20,32 € = 4.969,17 €. 6.2.8.2 GEODRENO DN 160: PVC corrugado perfurado de dupla parede, brita 25/40 em geotêxtil, 'incluindo levantamento e reposição de pavimentos, abertura e tapamento de vala', 420,00 m × 7,65 € = 3.213,00 €.</t>
  </si>
  <si>
    <t xml:space="preserve">Um PU coerente para o mesmo produto (cerca de 15–22 €/ml com secção drenante de 0,40×0,40) e a confirmação de que os 420 m de 6.2.8.2 não incluem os 244,57 ml do tardoz.</t>
  </si>
  <si>
    <t xml:space="preserve">20,32 / 7,65 = 2,66 vezes (+165,6%) para o mesmo tubo e o mesmo material drenante, e 6.2.8.2 ainda inclui vala e reposição. Se o dreno de tardoz também estiver medido em 6.2.8.2, 2.6.5 duplica-o (−4.969,17 €). Se não estiver, o PU de 6.2.8.2 está subavaliado (a tratar no cap. 6).</t>
  </si>
  <si>
    <t xml:space="preserve">Confirmar a separação das medições entre 2.6.5 e 6.2.8.2 e uniformizar o critério de preço.</t>
  </si>
  <si>
    <t xml:space="preserve">Conferido em rows.json: 6.2.8 (linha Excel 1260), texto com PVC corrugado de dupla parede EN 13476-1, brita 25/40 em geotêxtil, vala e reposição; 6.2.8.2 DN 160 com 420 m × 7,65 = 3.213. Também 6.2.9.1 (geodreno bancos DN160, 78,75 m a 7,65). Razão 20,32/7,65 = 2,656. A incoerência de PU é factual, por isso o achado fica apesar de ser NOVO. A hipótese de duplicação mantém-se só como verificação (mínimo 0).</t>
  </si>
  <si>
    <t xml:space="preserve">3 (OMISSÃO)</t>
  </si>
  <si>
    <t xml:space="preserve">3.5.1; 3.7; 3.9.1.1</t>
  </si>
  <si>
    <t xml:space="preserve">Proteções anti-impacto de paredes nas salas desportivas (omisso)</t>
  </si>
  <si>
    <t xml:space="preserve">Sem proteção de paredes junto a zonas de jogo</t>
  </si>
  <si>
    <t xml:space="preserve">Não há nenhum artigo de proteção almofadada ou anti-impacto. As paredes interiores do pavilhão são de painel sandwich com chapa interior microperfurada (3.5.1) e de bloco face à vista (3.7).</t>
  </si>
  <si>
    <t xml:space="preserve">Proteção almofadada ou anti-impacto até ≈2 m atrás das balizas e tabelas e junto a obstáculos, quando as zonas livres das normas de equipamento (NP EN 749 / EN 1270) e dos regulamentos federativos não são garantidas. Chapa microperfurada sem proteção fica exposta a bolas.</t>
  </si>
  <si>
    <t xml:space="preserve">Só zonas de topo: ≈80 m² × 40–60 €/m² ≈ 3–5 k€. Perímetro parcial: até ≈10 k€. A necessidade depende do mapa de acabamentos e das zonas de segurança, pelo que o mínimo é 0 € e a gravidade baixa para MÉDIA.</t>
  </si>
  <si>
    <t xml:space="preserve">Verificar o mapa de acabamentos e as zonas de segurança e incluir a proteção onde for necessária.</t>
  </si>
  <si>
    <t xml:space="preserve">Pesquisa confirma que não há artigo de proteção de paredes ('almofad' só aparece nos cap. 4 e 5, noutro contexto). Como o próprio achado diz que a exigência depende do projeto e não é obrigatória em todos os casos, o impacto mínimo passa de 3 000 € para 0 €.</t>
  </si>
  <si>
    <t xml:space="preserve">3.2.1</t>
  </si>
  <si>
    <t xml:space="preserve">2.1.1; 2.1.5</t>
  </si>
  <si>
    <t xml:space="preserve">ESCAVAÇÃO COTAS DE PAV. EXTERIORES E/OU SOLO VEGETAL</t>
  </si>
  <si>
    <t xml:space="preserve">2 500 m3 de escavação sem artigo de transporte a vazadouro</t>
  </si>
  <si>
    <t xml:space="preserve">3.2.1 | m3 | Qtd 2 500 | PU 5,50 € | Total 13 750,00 €. Texto: «... incluindo carga e transporte de material». Sem destino nem distância definidos. O 2.1.1 (escavação geral, 5,50 €/m³) tem a mesma frase e o transporte a vazadouro é pago à parte no 2.1.5 (8 171,56 m³ a 5,50 €/m³, 20 km).</t>
  </si>
  <si>
    <t xml:space="preserve">Critério igual ao do cap. 2: escavação com 'carga e transporte de material' a 5,50 €/m³ (2.1.1) mais transporte a vazadouro a 20 km a 5,50 €/m³ (2.1.5). Para os 2 500 m³ do 3.2.1 não há artigo equivalente ao 2.1.5. Quantidade a justificar pela área e profundidade das caixas.</t>
  </si>
  <si>
    <t xml:space="preserve">O texto e o PU do 3.2.1 são iguais aos do 2.1.1, que também diz «incluindo carga e transporte de material». O que muda é que, no cap. 2, o destino final a vazadouro é pago no 2.1.5, cuja quantidade (8 171,56 m³) é inferior à do 2.1.1 (9 861,9 m³) e não abrange o cap. 3. Se as terras do 3.2.1 não forem reutilizadas em obra, falta o vazadouro: 2 500 × 5,50 = 13 750 €. Mínimo de 0 € se forem reutilizadas. A quantidade de 2 500 m³ é redonda e não tem medição justificativa.</t>
  </si>
  <si>
    <t xml:space="preserve">Definir o destino (reutilização em obra ou vazadouro) e a distância. Se for vazadouro, acrescentar o transporte (como no 2.1.5) e justificar a medição.</t>
  </si>
  <si>
    <t xml:space="preserve">Números confirmados (2 500 × 5,50 = 13 750 €). A fundamentação estava errada: o 2.1.1 NÃO é 'escavação sem transporte' e o seu texto inclui «carga e transporte de material», igual ao do 3.2.1. O que está pago à parte no cap. 2 é o transporte a vazadouro a 20 km (2.1.5), que não tem correspondente no cap. 3. Tipo devolvido a FALHA/OMISSÃO. Título, referência e fundamentação reescritos. O impacto de 0–13 750 € mantém-se.</t>
  </si>
  <si>
    <t xml:space="preserve">3.3.1</t>
  </si>
  <si>
    <t xml:space="preserve">3.3.1.1; 3.3.1.2; nota 02; 6.2.18; 11.11</t>
  </si>
  <si>
    <t xml:space="preserve">COB. TIPO 01 (painel sandwich FTB PC 1000 acústico 100 mm)</t>
  </si>
  <si>
    <t xml:space="preserve">Painel sem núcleo nem classe de fogo; caleiras também em 6.2.18</t>
  </si>
  <si>
    <t xml:space="preserve">3.3.1.1 | m2 | 1 230 | 71,83 € | 88 348,00 €; 3.3.1.2 | m2 | 454 | 71,83 € | 32 609,75 €. Texto: «painel sandwich tipo FTB PC 1000 acústico com 100mm ... Rufos, chapas de remate com a platibanda, caleira de drenagem de A.P.s». A nota 02 inclui também «caleiros». O art. 6.2.18.1 mede à parte uma caleira de zinco 200x100: m | 196,6 | 40,00 € | 7 864,00 €.</t>
  </si>
  <si>
    <t xml:space="preserve">Especificar o núcleo (lã de rocha ou PIR) e a classe de reação ao fogo e de comportamento ao fogo exterior exigidas pelo RT-SCIE (Portaria 1532/2008, na redação da Portaria 135/2020). Referir os remates dos exutores do art. 11.11 (8 RD2 em cobertura). Caleiras orçadas num só artigo.</t>
  </si>
  <si>
    <t xml:space="preserve">As caleiras de A.P. estão incluídas no 3.3.1, no 3.3.2 e na nota 02 e são medidas de novo no 6.2.18 (196,6 m). O impacto de −7 864 € corresponde à duplicação total. Sem núcleo definido, o preço não é comparável (painel PIR ≠ painel em lã de rocha). A linha de vida é tratada no achado 3.3 (OMISSÃO).</t>
  </si>
  <si>
    <t xml:space="preserve">Completar a descrição com o núcleo, a classe de fogo e os remates dos exutores. Retirar as caleiras de 3.3.x/nota 02 ou anular o 6.2.18.</t>
  </si>
  <si>
    <t xml:space="preserve">Valores confirmados na coluna de custo (88 348,00 € e 32 609,75 €; Qtd × PU visível dá 88 350,90 € e 32 610,82 €, por causa do arredondamento tratado no achado '3'). O texto inclui caleira de A.P. e a nota 02 inclui caleiros. O 6.2.18 mede 196,6 m de caleira de zinco a 40 €. Os materiais são diferentes (sistema FTB vs zinco), o que justifica o intervalo até 0 €. Os 8 RD2 do 11.11 (6 + 2) foram confirmados. [Consolidação: impacto contabilizado em 6.2.18 para não contar duas vezes.]</t>
  </si>
  <si>
    <t xml:space="preserve">3.3.3</t>
  </si>
  <si>
    <t xml:space="preserve">3.3.4; 3.9.2.4</t>
  </si>
  <si>
    <t xml:space="preserve">COB. TIPO 03 (cobertura plana com lajetas sobre apoios)</t>
  </si>
  <si>
    <t xml:space="preserve">Cobertura plana completa com lajetas sobre plots a 63,44 €/m2</t>
  </si>
  <si>
    <t xml:space="preserve">3.3.3 | m2 | 256 | 63,44 € | 16 240,08 €. Inclui emulsão, barreira pára-vapor, XPS 80, Impersep, betão leve de 21 a 5 cm, sistema bicapa Imperalum, lajetas 60x40 com suportes reguláveis e maciços para equipamentos.</t>
  </si>
  <si>
    <t xml:space="preserve">85–95 €/m², pela composição do próprio MQT: o 3.3.4 (70,13 €, com Unipiso 12 cm ≈27 €) dá ≈43 € para betão leve, bicapa, XPS e Impersep. Somam-se ≈3–5 € de pára-vapor e emulsão e ≈38–45 € de lajetas (30,50 € no 3.9.2.4) sobre apoios reguláveis.</t>
  </si>
  <si>
    <t xml:space="preserve">(85−63,44)×256 = 5 519,36 €; (95−63,44)×256 = 8 079,36 €. A cobertura tipo 03 tem mais camadas do que a tipo 04 e custa menos.</t>
  </si>
  <si>
    <t xml:space="preserve">Rever o PU com uma decomposição por camadas.</t>
  </si>
  <si>
    <t xml:space="preserve">Texto e valores confirmados (256 m² a 63,44 €; 16 240,08 € de custo). O 3.3.4 (265 m² a 70,13 €) tem as mesmas camadas base com Unipiso em vez de pára-vapor, emulsão e lajetas sobre apoios. Incoerência interna real. Cálculo correto.</t>
  </si>
  <si>
    <t xml:space="preserve">3.6.1.1</t>
  </si>
  <si>
    <t xml:space="preserve">3.6.1; 3.10.5</t>
  </si>
  <si>
    <t xml:space="preserve">Chapa ondulada 0,7 mm tipo FTB (fachada)</t>
  </si>
  <si>
    <t xml:space="preserve">Título diz alumínio, subartigo aponta chapa de aço tipo FTB</t>
  </si>
  <si>
    <t xml:space="preserve">3.6.1 «Fornecimento de fachada de alumínio ondulada»; 3.6.1.1 «chapa ondulada de 0.7mm de espessura tipo FTB ou equiv.» | m2 | 1 550 | 25,44 € | 39 432,00 €.</t>
  </si>
  <si>
    <t xml:space="preserve">Definir o material (alumínio lacado ou aço pré-lacado). Em alumínio 0,7 mm lacado, montado, a referência é 28–35 €/m². O PU de 25,44 €/m² só é compatível com aço pré-lacado.</t>
  </si>
  <si>
    <t xml:space="preserve">Se for alumínio: (28−25,44)×1 550 = 3 968 € a (35−25,44)×1 550 = 14 818 €. Se for aço, o impacto é 0 € e só há que corrigir o título.</t>
  </si>
  <si>
    <t xml:space="preserve">Uniformizar o material no título e no subartigo e ajustar o PU em conformidade.</t>
  </si>
  <si>
    <t xml:space="preserve">Confirmado: o título do 3.6.1 diz «alumínio ondulada» e o 3.6.1.1 diz «chapa ondulada de 0.7mm ... tipo FTB». Valores 1 550 × 25,44 = 39 432 € corretos. Cálculo de impacto correto (14 818 €).</t>
  </si>
  <si>
    <t xml:space="preserve">3.6.1.2</t>
  </si>
  <si>
    <t xml:space="preserve">3.6.1.1; 3.10.5; 3.5.1</t>
  </si>
  <si>
    <t xml:space="preserve">Sub-estrutura em perfis de aço galvanizado para a chapa ondulada</t>
  </si>
  <si>
    <t xml:space="preserve">Subestrutura de 320 m2 para 1 550 m2 de chapa ondulada</t>
  </si>
  <si>
    <t xml:space="preserve">3.6.1.2 | m2 | 320 | 12,50 € | 4 000,00 € contra 3.6.1.1 chapa | m2 | 1 550. Em 3.10.5 (teto em chapa ondulada) o PU de 93,32 € = 25,44 (chapa) + 12,50 (subestrutura) + 55,38 (painel 3.5.1), ou seja, subestrutura em 100 % da área.</t>
  </si>
  <si>
    <t xml:space="preserve">Subestrutura medida na mesma área da chapa (1 550 m²), como o próprio MQT faz em 3.10.5, ou justificação das zonas onde a chapa não a precisa (por exemplo, sobre o painel sandwich do 3.5.1, que já inclui subestrutura).</t>
  </si>
  <si>
    <t xml:space="preserve">(1 550−320)×12,50 = 15 375 €. A decomposição exata do PU do 3.10.5 mostra que o orçamentista considera chapa + subestrutura + painel na mesma área. Na fachada a subestrutura cobre apenas 20,6 % da chapa. Mínimo de 0 € se a chapa for fixada sobre o painel sandwich (1 309 m² no 3.5.1, com subestrutura própria) e só os 320 m² sobre alvenaria ou betão precisarem de perfis.</t>
  </si>
  <si>
    <t xml:space="preserve">Rever a medição da subestrutura com base nos alçados ou justificar a diferença.</t>
  </si>
  <si>
    <t xml:space="preserve">Números confirmados (320 m² × 12,50 = 4 000 €; chapa 1 550 m²; 25,44 + 12,50 + 55,38 = 93,32 exatos). Não se prova que seja um erro: o 3.5.1 (1 309 m²) já inclui «sub-estrutura em aço galvanizado», e a chapa pode estar sobreposta ao painel, precisando de perfis próprios só noutras zonas. Tipo passa de ERRO para INCOERÊNCIA e gravidade de ALTA para MÉDIA. O intervalo 0–15 375 € mantém-se.</t>
  </si>
  <si>
    <t xml:space="preserve">3.8.3</t>
  </si>
  <si>
    <t xml:space="preserve">3.10.1; 3.4.3</t>
  </si>
  <si>
    <t xml:space="preserve">REV. ACU EM ZONAS TÉCNICAS PA I.09 (lã de vidro 40 mm)</t>
  </si>
  <si>
    <t xml:space="preserve">Painel de lã mineral 40 mm a 54,05 €/m2</t>
  </si>
  <si>
    <t xml:space="preserve">3.8.3 | m2 | 76 | 54,05 € | 4 107,80 €; 3.10.1 | m2 | 42 | 54,05 € | 2 270,10 €. Só o painel ISOVER TECH Slab 40 mm com véu preto; o acabamento e a subestrutura são pagos à parte (3.8.5 / 3.10.2).</t>
  </si>
  <si>
    <t xml:space="preserve">20–30 €/m², colocado. No próprio MQT, a lã de rocha de 80 mm a 75 kg/m³ custa 10,66 €/m² (3.4.3).</t>
  </si>
  <si>
    <t xml:space="preserve">(20−54,05)×118 = −4 017,90 €; (30−54,05)×118 = −2 837,90 €. Um painel com metade da espessura custa cinco vezes mais do que o isolamento de 80 mm.</t>
  </si>
  <si>
    <t xml:space="preserve">Rever o PU ou justificar o que inclui.</t>
  </si>
  <si>
    <t xml:space="preserve">Confirmados os textos (apenas painel TECH Slab 3.0 40 mm) e os valores (76 + 42 = 118 m² a 54,05 €; 3.4.3 a 10,66 €). As mesmas áreas (76 e 42 m²) estão no 3.8.5 e no 3.10.2, o que confirma que o acabamento é pago à parte. Cálculo correto (ambos negativos, min ≤ max).</t>
  </si>
  <si>
    <t xml:space="preserve">3.9.1.2</t>
  </si>
  <si>
    <t xml:space="preserve">3.9.1.2.1; 3.9.1.2.2; 3.9.2.5; 3.3.4</t>
  </si>
  <si>
    <t xml:space="preserve">PAV I 02 – Betão armado tipo SECIL UNIPISO (10 cm)</t>
  </si>
  <si>
    <t xml:space="preserve">Unipiso interior 10 cm mais caro que exterior 12 cm com brita</t>
  </si>
  <si>
    <t xml:space="preserve">3.9.1.2.1 | m2 | 280 | 35,00 € | 9 800,00 €; 3.9.1.2.2 | m2 | 339 | 35,00 € | 11 865,00 € (Unipiso 10 cm + betão leve). 3.9.2.5 | m2 | 1 086 | 34,13 € (Unipiso 12 cm + brita 20 cm + manta).</t>
  </si>
  <si>
    <t xml:space="preserve">O sistema exterior (12 cm + caixa de brita 20 cm + manta) deve ser mais caro do que o interior (10 cm + betão leve), com uma referência de 39–46 €/m².</t>
  </si>
  <si>
    <t xml:space="preserve">Incoerência entre PU confirmada. A correção recai sobre o PU exterior e está quantificada no achado 3.9.2.5, para não contar o impacto duas vezes.</t>
  </si>
  <si>
    <t xml:space="preserve">Rever em conjunto os PU de 3.9.1.2 e 3.9.2.5, decompondo betão, malha, acabamento e camadas.</t>
  </si>
  <si>
    <t xml:space="preserve">Valores confirmados nas três linhas. O interior de 10 cm (com betão leve) a 35,00 € contra o exterior de 12 cm (com brita e manta) a 34,13 € é incoerente. Impacto a 0 € para não duplicar.</t>
  </si>
  <si>
    <t xml:space="preserve">3.9.2.5</t>
  </si>
  <si>
    <t xml:space="preserve">3.9.1.2; 3.3.4</t>
  </si>
  <si>
    <t xml:space="preserve">PAV E 01 – Unipiso 12 cm s/ caixa de brita 20 cm e manta</t>
  </si>
  <si>
    <t xml:space="preserve">Unipiso 12 cm com brita e manta a 34,13 €/m2</t>
  </si>
  <si>
    <t xml:space="preserve">3.9.2.5 | m2 | 1 086 | 34,13 € | 37 070,00 € (Qtd × PU visível = 37 065,18 €).</t>
  </si>
  <si>
    <t xml:space="preserve">39–46 €/m²: betão 12 cm com malha e acabamento afagado ≈27–31 €, caixa de brita 20 cm ≈5–8 € e manta separadora ≈1,5–2 €.</t>
  </si>
  <si>
    <t xml:space="preserve">(39−34,13)×1 086 = 5 288,82 €; (46−34,13)×1 086 = 12 890,82 €. O PU é inferior ao do Unipiso interior de 10 cm (35 €) e ao do 3.3.4 (70,13 € com impermeabilização e XPS).</t>
  </si>
  <si>
    <t xml:space="preserve">Qtd, PU e total de custo confirmados (37 070,00 €). O cálculo de impacto usava 39,13 € e 46,13 € em vez do intervalo de referência declarado (39–46 €/m²). Recalculado: (39−34,13)×1 086 = 5 288,82 € e (46−34,13)×1 086 = 12 890,82 €.</t>
  </si>
  <si>
    <t xml:space="preserve">3.9.2.6</t>
  </si>
  <si>
    <t xml:space="preserve">3.9.2.7</t>
  </si>
  <si>
    <t xml:space="preserve">GUIA E 01 (chapa corten 10 mm, h=20 cm)</t>
  </si>
  <si>
    <t xml:space="preserve">Guia corten 10 mm a 46,44 €/ml; caldeira igual a 75 €/ml</t>
  </si>
  <si>
    <t xml:space="preserve">3.9.2.6 | ml | 210 | 46,44 € | 9 752,40 €. O 3.9.2.7 (caldeira com a mesma chapa corten de 10 mm, h=20 cm e fundação incluída) custa 75,00 €/ml.</t>
  </si>
  <si>
    <t xml:space="preserve">65–80 €/ml: chapa de 15,7 kg/ml × ≈3 €/kg transformada ≈47 €, mais fundação ≈9 € e montagem ≈10 €.</t>
  </si>
  <si>
    <t xml:space="preserve">0,010×0,20×7 850 = 15,7 kg/ml. Só o aço transformado já esgota o PU. (65−46,44)×210 = 3 897,60 €; (80−46,44)×210 = 7 047,60 €.</t>
  </si>
  <si>
    <t xml:space="preserve">Rever o PU e harmonizá-lo com o 3.9.2.7.</t>
  </si>
  <si>
    <t xml:space="preserve">Textos do 3.9.2.6 e do 3.9.2.7 confirmados como equivalentes (corten 10 mm, h 20 cm, fundação incluída), a 46,44 € e 75,00 €. Peso de 15,7 kg/ml e cálculos corretos.</t>
  </si>
  <si>
    <t xml:space="preserve">3.9.2.8</t>
  </si>
  <si>
    <t xml:space="preserve">3.15.9 (OMISSÃO); 3.17 (OMISSÃO); 3.1.3.1</t>
  </si>
  <si>
    <t xml:space="preserve">PAV E 02 – Pavimento desportivo betuminoso c/ Sikafloor Colorsport</t>
  </si>
  <si>
    <t xml:space="preserve">Campo exterior de 2 538 m2 sem marcações nem equipamento</t>
  </si>
  <si>
    <t xml:space="preserve">3.9.2.8 | m2 | 2 538 | 50,18 € | 127 363,19 €. Texto: base e desgaste betuminosos com agregado calcário, resina Sikafloor Colorsport e caixa de brita 20 cm. Sem linhas de jogo nem equipamento.</t>
  </si>
  <si>
    <t xml:space="preserve">Campo desportivo com marcações (NP EN 14877 / regulamentos federativos) e balizas e tabelas conformes com o DL 100/2003.</t>
  </si>
  <si>
    <t xml:space="preserve">Omissão confirmada. O impacto está quantificado nos achados 3.15.9 (OMISSÃO), para as marcações, e 3.17 (OMISSÃO), para o equipamento, e aqui fica a 0 € para não contar duas vezes.</t>
  </si>
  <si>
    <t xml:space="preserve">Acrescentar marcações e equipamento do campo exterior (ver achados relacionados).</t>
  </si>
  <si>
    <t xml:space="preserve">Valores confirmados (custo de 127 363,19 €). Pesquisa em todo o MQT: 'marcaç' só aparece no 3.15.9 (interior), e 'baliza', 'tabela' e 'basquet' não dão resultados. Impacto a 0 € correto para evitar dupla contagem.</t>
  </si>
  <si>
    <t xml:space="preserve">3.9.2.11</t>
  </si>
  <si>
    <t xml:space="preserve">3.9.2.4; 3.9.2.13</t>
  </si>
  <si>
    <t xml:space="preserve">PAV E 05 (elementos pré-fabricados em betão armado ou GRC)</t>
  </si>
  <si>
    <t xml:space="preserve">Peças GRC por medida a 35 €/m2, quase o preço de lajeta</t>
  </si>
  <si>
    <t xml:space="preserve">3.9.2.11 | m2 | 210 | 35,00 € | 7 350,00 €. Texto: «elementos préfabricados de dimensões variadas de betão armado ou reforçado com fibras GRC ... Não se considera possível a sua pré-fabricação em obra». A lajeta corrente 60x40 custa 30,50 € (3.9.2.4).</t>
  </si>
  <si>
    <t xml:space="preserve">60–90 €/m² para peças pré-fabricadas por medida em betão armado ou GRC, assentes.</t>
  </si>
  <si>
    <t xml:space="preserve">(60−35)×210 = 5 250 €; (90−35)×210 = 11 550 €. Peças por medida em GRC não podem custar quase o mesmo que lajetas de série.</t>
  </si>
  <si>
    <t xml:space="preserve">Rever o PU e definir as dimensões e espessuras das peças.</t>
  </si>
  <si>
    <t xml:space="preserve">Texto e valores confirmados (210 m² × 35 € = 7 350 €; 3.9.2.4 a 30,50 €). Cálculo correto. Intervalo de mercado plausível.</t>
  </si>
  <si>
    <t xml:space="preserve">3.10.5</t>
  </si>
  <si>
    <t xml:space="preserve">3.5.1; 3.6.1.1; 3.6.1.2</t>
  </si>
  <si>
    <t xml:space="preserve">TETOS EXT. EM CHAPA ONDULADA</t>
  </si>
  <si>
    <t xml:space="preserve">Teto exterior junta chapa, subestrutura e painel; PU é soma exata</t>
  </si>
  <si>
    <t xml:space="preserve">3.10.5 | m2 | 105 | 93,32 € | 9 798,54 €. Texto: «Fornecimento de teto em fachada de alumínio ondulada ... sub-estrutura ... em paredes exteriores ... painel sandwich em fachada». 93,32 = 25,44 (3.6.1.1) + 12,50 (3.6.1.2) + 55,38 (3.5.1).</t>
  </si>
  <si>
    <t xml:space="preserve">Descrição própria de teto exterior (soffit), sem remissões a 'fachada' e 'paredes', e garantia de que estas áreas não estão também medidas em 3.5.1 e 3.6.1.</t>
  </si>
  <si>
    <t xml:space="preserve">O PU é exatamente a soma dos três artigos de fachada, o que prova que o artigo é uma composição dos mesmos trabalhos. Se os 105 m² também estiverem nas medições de fachada (1 309 m² e 1 550 m²), há duplicação até −9 798,54 €.</t>
  </si>
  <si>
    <t xml:space="preserve">Reescrever a descrição e confirmar nas medições que as áreas não se sobrepõem.</t>
  </si>
  <si>
    <t xml:space="preserve">Confirmado: 25,44 + 12,50 + 55,38 = 93,32 €. O texto copia as descrições de fachada («paredes exteriores», «painel sandwich em fachada»). Total de 9 798,54 € (custo) confirmado. O intervalo até 0 € reconhece que a duplicação não está provada.</t>
  </si>
  <si>
    <t xml:space="preserve">3.11.2.9.1</t>
  </si>
  <si>
    <t xml:space="preserve">3.11.2.8; 3.11.2.7</t>
  </si>
  <si>
    <t xml:space="preserve">VE.2.03 com 5,33x2,40 (3 folhas fixas)</t>
  </si>
  <si>
    <t xml:space="preserve">Vão só com fixos mais caro que vãos iguais com basculante</t>
  </si>
  <si>
    <t xml:space="preserve">3.11.2.9.1 VE.2.03 (3 folhas fixas, mesmo vidro) | UN | 3 | 7 024,85 € | 21 074,55 €. 3.11.2.8 VE.2.02 (3 fixas + 1 basculante) | 5 547,92 €. 3.11.2.7 VE.2.01 (correr elevável + fixa + basculante) | 6 007,90 €. Todos com 5,33x2,40.</t>
  </si>
  <si>
    <t xml:space="preserve">Um vão só com folhas fixas não deve custar mais do que vãos iguais com folhas móveis. Referência: ≤5 547,92 € (VE.2.02).</t>
  </si>
  <si>
    <t xml:space="preserve">(5 547,92−7 024,85)×3 = −4 430,79 €. VE.2.03 sai a 549 €/m², contra 434 €/m² do VE.2.02, que tem mais funcionalidade e o mesmo vidro.</t>
  </si>
  <si>
    <t xml:space="preserve">Rever a composição de preço do VE.2.03.</t>
  </si>
  <si>
    <t xml:space="preserve">Confirmado: mesmo vidro (SunGuard SN 70S HT 8 + 12 mm + 66.4), mesma série 15200 e mesma dimensão. 7 024,85/12,792 = 549,2 €/m²; 5 547,92/12,792 = 433,7 €/m². Cálculo de −4 430,79 € correto.</t>
  </si>
  <si>
    <t xml:space="preserve">3.11.2.18</t>
  </si>
  <si>
    <t xml:space="preserve">3.11.2.18.1; 3.11.2.18.2; 3.11.2.13</t>
  </si>
  <si>
    <t xml:space="preserve">Porta CF metálica 2 folhas TRIA SISAF ES2</t>
  </si>
  <si>
    <t xml:space="preserve">Porta CF de 2 folhas sem classe EI/C nem seletor</t>
  </si>
  <si>
    <t xml:space="preserve">3.11.2.18.1 VI.CF.1.01 | UN | 1 | 2 297,60 €; 3.11.2.18.2 VI.CF.1.06 | UN | 1 | 2 302,40 €. Texto: «porta CF metálica de 2 folhas ... Folha lateral com contrafechadura ... mola embutida». Sem classe de resistência e sem seletor de fecho (a porta não CF 3.11.2.13 tem «selector de fecho»).</t>
  </si>
  <si>
    <t xml:space="preserve">Classe EI 30/EI 60 com 'C' (fecho automático), conforme o RT-SCIE (Portaria 1532/2008) e o projeto SCIE. Seletor ou coordenador de fecho EN 1158, obrigatório em portas CF de 2 folhas com batente sobreposto.</t>
  </si>
  <si>
    <t xml:space="preserve">Sem classe não é verificável a conformidade com o projeto SCIE. Sem coordenador de fecho, a folha ativa pode fechar antes da passiva e a porta deixa de garantir a compartimentação. Seletor ≈100–250 €/porta × 2 portas.</t>
  </si>
  <si>
    <t xml:space="preserve">Indicar a classe (EI xx C) por vão e acrescentar o seletor de fecho EN 1158.</t>
  </si>
  <si>
    <t xml:space="preserve">Texto e valores confirmados (2 297,60 € e 2 302,40 €). Não há referência à classe EI nem ao seletor. O 3.11.2.13 tem «selector de fecho». Pesquisa por 'seletor' em todo o MQT sem resultados. O impacto de 200–500 € é plausível.</t>
  </si>
  <si>
    <t xml:space="preserve">3.11.2.20</t>
  </si>
  <si>
    <t xml:space="preserve">VI.CF.2.01 – Caixilharia CF TRIA FogoFil E30</t>
  </si>
  <si>
    <t xml:space="preserve">Envidraçado E30 onde a compartimentação exige normalmente EI</t>
  </si>
  <si>
    <t xml:space="preserve">3.11.2.20 | UN | 2 | 3 232,80 € | 6 465,60 €. Texto: «classificação de resistência ao fogo E30 (PYROGUARD-FIRESAFE-T-E30-8mm)».</t>
  </si>
  <si>
    <t xml:space="preserve">Envidraçados integrados em paredes de compartimentação ou de proteção de vias exigem em regra classe EI (EI 30/EI 60) segundo o RT-SCIE (Portaria 1532/2008). A classe E só é aceitável onde o projeto SCIE o admita.</t>
  </si>
  <si>
    <t xml:space="preserve">Área: 1,45×2,40×2 = 6,96 m². O sobrecusto de vidro e caixilho EI face a E é ≈600–900 €/m², ou seja ≈4 176–6 264 €. Impacto 0 € se o projeto SCIE admitir E30.</t>
  </si>
  <si>
    <t xml:space="preserve">Confirmar a classe no projeto SCIE e, se for EI, corrigir a especificação e o PU.</t>
  </si>
  <si>
    <t xml:space="preserve">Texto E30 e valores (2 × 3 232,80 = 6 465,60 €) confirmados. O cálculo de área e de impacto está correto. Sem o projeto SCIE não se pode afirmar que haja não conformidade (o próprio achado admite 0 €), por isso a gravidade passa de ALTA para MÉDIA.</t>
  </si>
  <si>
    <t xml:space="preserve">3.11.2.21</t>
  </si>
  <si>
    <t xml:space="preserve">3.11.2.21.1</t>
  </si>
  <si>
    <t xml:space="preserve">Cortina CF TRIA Megafire (VI.CF.2.02)</t>
  </si>
  <si>
    <t xml:space="preserve">Cortina corta-fogo sem classe nem duração</t>
  </si>
  <si>
    <t xml:space="preserve">3.11.2.21.1 VI.CF.2.02 3,60x2,40 | UN | 1 | 7 493,60 € | 7 493,60 €. Texto sem classificação (E/EW/EI) nem tempo.</t>
  </si>
  <si>
    <t xml:space="preserve">Classe e duração exigidas pelo projeto SCIE (ex.: E 60 / EW 60 / EI 60), conforme a EN 13501-2 e a EN 1634-1.</t>
  </si>
  <si>
    <t xml:space="preserve">Sem classe definida não é possível verificar a conformidade nem comparar propostas. Impacto não quantificável.</t>
  </si>
  <si>
    <t xml:space="preserve">Indicar a classe e a duração da cortina.</t>
  </si>
  <si>
    <t xml:space="preserve">Texto do 3.11.2.21 verificado: refere acionamento automático ligado à central, mas nenhuma classe nem duração. Valor de 7 493,60 € confirmado.</t>
  </si>
  <si>
    <t xml:space="preserve">3.12.4</t>
  </si>
  <si>
    <t xml:space="preserve">3.12.3</t>
  </si>
  <si>
    <t xml:space="preserve">BANCO PARA VESTIÁRIOS</t>
  </si>
  <si>
    <t xml:space="preserve">Banco de vestiário com a descrição dos cacifos copiada</t>
  </si>
  <si>
    <t xml:space="preserve">3.12.4 | ml | 52 | 144,00 € | 7 488,00 €. Texto: «Fornecimento e colocação de cacifos tipo Kemmlit modelo Ixos L à cor Branco, com 30x50x215cm» (igual ao 3.12.3).</t>
  </si>
  <si>
    <t xml:space="preserve">Descrição de banco de vestiário (estrutura, assento em HPL ou madeira, fixação, eventual cabideiro) medido em ml.</t>
  </si>
  <si>
    <t xml:space="preserve">O texto é idêntico ao do 3.12.3, mas a unidade (ml) e o PU são de banco. É um erro de texto e não é quantificável.</t>
  </si>
  <si>
    <t xml:space="preserve">Substituir a descrição pela do banco.</t>
  </si>
  <si>
    <t xml:space="preserve">Confirmado em rows.json: o texto do 3.12.4 é o dos cacifos Kemmlit Ixos L, com 52 ml × 144 = 7 488 €.</t>
  </si>
  <si>
    <t xml:space="preserve">3.13.1</t>
  </si>
  <si>
    <t xml:space="preserve">3.13.2; 3.13.3</t>
  </si>
  <si>
    <t xml:space="preserve">GUARDA CORPOS TIPO GU 01 INT (malha inox Webnet)</t>
  </si>
  <si>
    <t xml:space="preserve">Guarda com malha inox Webnet custa só mais 5 €/ml</t>
  </si>
  <si>
    <t xml:space="preserve">3.13.1 | ml | 122 | 150,00 € | 18 300,00 €; 3.13.2 | ml | 42 | 150,00 € | 6 300,00 € (tubos de 35 e 20 mm + malha inox Jakob Webnet tensionada). O 3.13.3, guarda de 1,10 m sem malha, custa 145,00 €/ml.</t>
  </si>
  <si>
    <t xml:space="preserve">200–260 €/ml: só a malha inox tensionada custa ≈60–120 €/m², ou seja ≈66–130 €/ml para 1,10 m, e a estrutura ≈100–145 €/ml (o 3.13.3).</t>
  </si>
  <si>
    <t xml:space="preserve">Pela comparação interna, a malha valeria apenas 5 €/ml. (200−150)×164 = 8 200 €; (260−150)×164 = 18 040 €.</t>
  </si>
  <si>
    <t xml:space="preserve">Rever o PU dos art. 3.13.1 e 3.13.2.</t>
  </si>
  <si>
    <t xml:space="preserve">Textos e valores confirmados (122 + 42 = 164 ml a 150 €; 3.13.3 com 21 ml a 145 €, sem malha). Cálculo correto.</t>
  </si>
  <si>
    <t xml:space="preserve">3.13.4</t>
  </si>
  <si>
    <t xml:space="preserve">3.13.3; 3.13.5</t>
  </si>
  <si>
    <t xml:space="preserve">CORRIMÃO EM ESCADAS GU 04</t>
  </si>
  <si>
    <t xml:space="preserve">Corrimão de escada descrito como guarda de 1,10 m</t>
  </si>
  <si>
    <t xml:space="preserve">3.13.4 | ml | 31 | 145,00 € | 4 495,00 €. Texto: «Fornecimento e aplicação de guarda corpos com 1,10m de altura» (igual ao 3.13.3).</t>
  </si>
  <si>
    <t xml:space="preserve">DL 163/2006, anexo, secção 2.4 (escadas): corrimãos em ambos os lados, contínuos, à altura de 0,85–0,90 m (medida no focinho do degrau), com prolongamento de 0,30 m. Corrimão simples ≈60–90 €/ml (o 3.13.5 do MQT custa 60 €).</t>
  </si>
  <si>
    <t xml:space="preserve">Descrição e PU de guarda num artigo de corrimão. Se for só corrimão: (60−145)×31 = −2 635 €. O valor mantém-se se for de facto uma guarda.</t>
  </si>
  <si>
    <t xml:space="preserve">Reescrever a descrição (altura 0,85–0,90 m, Ø, suportes, prolongamentos) e ajustar o PU.</t>
  </si>
  <si>
    <t xml:space="preserve">Texto e valores confirmados (31 × 145 = 4 495 €; cálculo de −2 635 € correto). Problema real. A citação exata dos números 2.4.8/2.4.9 não é verificável nos dados e foi generalizada para «secção 2.4 (escadas)» do anexo ao DL 163/2006, para evitar uma referência errada.</t>
  </si>
  <si>
    <t xml:space="preserve">3.13.5</t>
  </si>
  <si>
    <t xml:space="preserve">CORRIMÃO EM RAMPAS GU 05</t>
  </si>
  <si>
    <t xml:space="preserve">Texto igual ao 3.13.4, mas a 60 €/ml contra 145 €/ml</t>
  </si>
  <si>
    <t xml:space="preserve">3.13.5 | ml | 86 | 60,00 € | 5 160,00 €, com o texto da guarda de 1,10 m. O 3.13.4 tem o mesmo texto a 145,00 €/ml.</t>
  </si>
  <si>
    <t xml:space="preserve">Corrimão de rampa conforme a secção 2.5 do DL 163/2006 (ambos os lados e, quando aplicável, corrimão duplo), com descrição própria e PU coerente.</t>
  </si>
  <si>
    <t xml:space="preserve">Se o artigo for de facto a guarda descrita: (145−60)×86 = 7 310 €. Se for corrimão simples, o PU de 60 € é plausível e só há que corrigir o texto.</t>
  </si>
  <si>
    <t xml:space="preserve">Corrigir a descrição e harmonizar o PU com o 3.13.4.</t>
  </si>
  <si>
    <t xml:space="preserve">Os textos do 3.13.4 e do 3.13.5 são idênticos e os PU são 145 € e 60 €. 86 × 60 = 5 160 € e (145−60)×86 = 7 310 € estão corretos.</t>
  </si>
  <si>
    <t xml:space="preserve">3.13.8</t>
  </si>
  <si>
    <t xml:space="preserve">3.1.5; 3.1.6; 3.13.9</t>
  </si>
  <si>
    <t xml:space="preserve">VEDAÇÃO EXISTENTE - CONSOLIDAÇÃO REFORÇO</t>
  </si>
  <si>
    <t xml:space="preserve">Nova fundação da vedação reaplicada pode não estar orçada</t>
  </si>
  <si>
    <t xml:space="preserve">3.1.5 | ml | 220 | 9,00 € (desmontagem «incluindo a demolição das fundações existentes que se encontrem degradadas»). 3.1.6 refere «trabalhos de consolidação da fundação da vedação existente». 3.13.8 | ml | 220 | 25,00 € | 5 500,00 € (vedação «devidamente consolidada e reforçada»). Só a vedação nova VED 01 (3.13.9, 20 ml) inclui lintel.</t>
  </si>
  <si>
    <t xml:space="preserve">Lintel ou fundação nova em betão armado para os troços demolidos, a ≈30–40 €/ml, explícito na descrição do 3.13.8 ou num artigo próprio.</t>
  </si>
  <si>
    <t xml:space="preserve">O 3.1.5 demole as fundações degradadas e nenhum artigo refere expressamente a nova fundação. A expressão «consolidada e reforçada» do 3.13.8 pode abranger a consolidação da fundação referida no 3.1.6, mas o PU de 25 €/ml dificilmente a cobre além da reaplicação e da pintura. Máximo: 220×40 = 8 800 €; mínimo de 0 € se as fundações estiverem em bom estado ou se o 3.13.8 já as incluir.</t>
  </si>
  <si>
    <t xml:space="preserve">Clarificar se o 3.13.8 inclui a fundação ou lintel dos troços demolidos ou criar um artigo próprio, estimando a extensão.</t>
  </si>
  <si>
    <t xml:space="preserve">Textos e valores confirmados (3.1.5 com 220 ml a 9 €; 3.1.6 com 208 m² a 30 €; 3.13.8 com 220 ml a 25 €; 3.13.9 com lintel). A omissão não está provada, porque «consolidada e reforçada» pode incluir a fundação. Tipo passa de FALHA/OMISSÃO para VERIFICAR e o título e a fundamentação foram ajustados. O intervalo 0–8 800 € mantém-se.</t>
  </si>
  <si>
    <t xml:space="preserve">3.16.1.14</t>
  </si>
  <si>
    <t xml:space="preserve">3.16.1.14.1; 3.16.1.14.2</t>
  </si>
  <si>
    <t xml:space="preserve">KIT MOB. CONDICIONADA</t>
  </si>
  <si>
    <t xml:space="preserve">Kit de barras de apoio a 62,10 €/conjunto</t>
  </si>
  <si>
    <t xml:space="preserve">3.16.1.14.1 | UN | 6 | 62,10 € | 372,60 €; 3.16.1.14.2 | UN | 4 | 62,10 € | 248,40 €.</t>
  </si>
  <si>
    <t xml:space="preserve">Um conjunto conforme o DL 163/2006 (secção 2.9: barra rebatível + barra fixa na sanita; barras horizontal e vertical no duche) em inox tipo JNF custa 250–500 €.</t>
  </si>
  <si>
    <t xml:space="preserve">(250−62,10)×10 = 1 879 €; (500−62,10)×10 = 4 379 €. O PU atual corresponde a uma só barra simples.</t>
  </si>
  <si>
    <t xml:space="preserve">Detalhar a composição do kit por local e rever o PU.</t>
  </si>
  <si>
    <t xml:space="preserve">Valores confirmados (6 + 4 UN a 62,10 €; título «KIT» com «barras de apoio» no plural). Cálculo correto. Mesmo que a UN seja uma barra, o kit por local fica subavaliado.</t>
  </si>
  <si>
    <t xml:space="preserve">3.16.1.18</t>
  </si>
  <si>
    <t xml:space="preserve">DRENAGEM LINEAR EM BALNEÁRIOS</t>
  </si>
  <si>
    <t xml:space="preserve">Drenagem linear dos balneários paga também em 5.3.7</t>
  </si>
  <si>
    <t xml:space="preserve">3.16.1.18 | ml | 28 | 269,61 € | 7 549,08 € (ACO 64 inox). 5.3.7 CANAL COM GRELHA CHUVEIROS | m | 25,6 | 220,00 € | 5 632,00 €.</t>
  </si>
  <si>
    <t xml:space="preserve">Um só artigo para a drenagem de pavimento dos duches, com o material definido (inox em arquitetura, ferro fundido em 5.3.7).</t>
  </si>
  <si>
    <t xml:space="preserve">Mesma função e comprimentos semelhantes (28 vs 25,6 m). Anular o 5.3.7 dá −5 632 €; anular o 3.16.1.18 dá −7 549,08 €.</t>
  </si>
  <si>
    <t xml:space="preserve">Eliminar um dos artigos e uniformizar o material.</t>
  </si>
  <si>
    <t xml:space="preserve">Valores confirmados. O 5.3.7 chama-se «CANAL COM GRELHA CHUVEIROS» (ferro fundido, com sifão) e o 3.16.1.18 é drenagem linear ACO 64 inox nos balneários. Mesma função e comprimentos próximos. O 6.2.16 (ACO 64 inox, 87,4 m) é de águas pluviais e não entra nesta duplicação. [Consolidação: intervalo = retirar 5.3.7 (5.632,00 €) ou 3.16.1.18 (7.549,08 €).]</t>
  </si>
  <si>
    <t xml:space="preserve">3.17.1</t>
  </si>
  <si>
    <t xml:space="preserve">3.17.9</t>
  </si>
  <si>
    <t xml:space="preserve">BANCO PRÉBRICADO EM BETÃO</t>
  </si>
  <si>
    <t xml:space="preserve">Banco pré-fabricado de 38,9 k€ sem qualquer especificação técnica</t>
  </si>
  <si>
    <t xml:space="preserve">3.17.1 | ml | 187 | 208,26 € | 38 943,75 €. Texto completo: «BANCO PRÉBRICADO EM BETÃO / Incluí: Todos os trabalhos e materiais necessários ... caderno de encargos.» Sem secção, dimensões, classe de betão, acabamento, armadura nem fixação. Também o 3.17.9 (CONSOLIDAÇÃO E REPOSIÇÃO DE GRELHA DE DRENAGEM, 65 ml × 50 € = 3 250 €) só tem o título.</t>
  </si>
  <si>
    <t xml:space="preserve">Descrição mínima: secção e comprimento das peças, betão e armadura (ou GRC), acabamento e tratamento de superfície, assentamento e fundação, juntas e remates, referência ao desenho de pormenor.</t>
  </si>
  <si>
    <t xml:space="preserve">Um artigo de 38 943,75 € (2,5 % do cap. 3) sem qualquer especificação não permite comparar propostas nem controlar a execução. Por 208,26 €/ml, a variação entre um banco simples e uma peça por medida com acabamento especial é grande, mas não é quantificável sem desenho.</t>
  </si>
  <si>
    <t xml:space="preserve">Completar a descrição do 3.17.1 (e do 3.17.9) com a especificação técnica e a remissão para o pormenor.</t>
  </si>
  <si>
    <t xml:space="preserve">Texto integral do 3.17.1 e do 3.17.9 lido em rows.json: só têm o título e a cláusula genérica 'Incluí'. Valores confirmados (187 ml × 208,26 € com custo de 38 943,75 € e 38 944,62 € pelo valor visível; 65 × 50 = 3 250 €).</t>
  </si>
  <si>
    <t xml:space="preserve">3.17.7</t>
  </si>
  <si>
    <t xml:space="preserve">3.17.7.1</t>
  </si>
  <si>
    <t xml:space="preserve">CORTINAS ÁREA DE JOGO</t>
  </si>
  <si>
    <t xml:space="preserve">Cortina divisória (PVC 4 m + rede) a 80 €/ml</t>
  </si>
  <si>
    <t xml:space="preserve">3.17.7.1 | ml | 90 | 80,00 € | 7 200,00 €. Inclui tela PVC até 4 m, rede até à asna, sistema de correr e suspensão e planificação.</t>
  </si>
  <si>
    <t xml:space="preserve">140–220 €/ml: ≈7 m² de tela e rede por ml (≈75–120 €), mais calha e suspensão (≈30–50 €) e montagem.</t>
  </si>
  <si>
    <t xml:space="preserve">(140−80)×90 = 5 400 €; (220−80)×90 = 12 600 €. Só os materiais por ml excedem o PU.</t>
  </si>
  <si>
    <t xml:space="preserve">Rever o PU e definir se o acionamento é manual ou motorizado.</t>
  </si>
  <si>
    <t xml:space="preserve">Texto e valores confirmados (90 ml × 80 € = 7 200 €). Cálculo correto. Referência plausível para cortina divisória de pavilhão.</t>
  </si>
  <si>
    <t xml:space="preserve">4</t>
  </si>
  <si>
    <t xml:space="preserve">4.1.3</t>
  </si>
  <si>
    <t xml:space="preserve">5.1.3; 6.1.3; 2.1.3</t>
  </si>
  <si>
    <t xml:space="preserve">ENCHIMENTO DE VALA</t>
  </si>
  <si>
    <t xml:space="preserve">Enchimento de valas com cirandagem a 5,50 €/m3, abaixo do aterro 2.1.3</t>
  </si>
  <si>
    <t xml:space="preserve">4.1.3: 30,61 m3 × 5,50 = 168,36 €; 5.1.3: 394,50 m3 × 5,50 = 2.169,75 €; 6.1.3: 537,682 m3 × 5,50 = 2.957,25 €. Total 962,792 m3 a 5,50 €/m3, 'incluindo cirandagem de terras para o envolvimento das tubagens e compactação'.</t>
  </si>
  <si>
    <t xml:space="preserve">No próprio MQT, 2.1.3 (aterro e compactação de terras, sem cirandagem) = 7,50 €/m3. Mercado para aterro de vala por camadas com cirandagem: 8–12 €/m3.</t>
  </si>
  <si>
    <t xml:space="preserve">(7,50 − 5,50) × 962,792 = 1.925,58 €; (12 − 5,50) × 962,792 = 6.258,15 €. Um trabalho com cirandagem não pode custar menos do que o aterro simples do cap. 2.</t>
  </si>
  <si>
    <t xml:space="preserve">Rever o PU dos três artigos de enchimento (≥ 7,50 €/m3).</t>
  </si>
  <si>
    <t xml:space="preserve">Confirmei as três quantidades e totais e o 2.1.3 a 7,50 €/m3 ('aterro e compactação ... sendo ou não provenientes da escavação'). A soma é 962,792 m3. Corrigi o impacto máximo de 6.258,14 € para 6.258,15 € (6,5 × 962,792 = 6.258,148). A comparação interna sustenta o achado, embora 5,50 €/m3 esteja só no limite inferior do mercado.</t>
  </si>
  <si>
    <t xml:space="preserve">4.2.2.8</t>
  </si>
  <si>
    <t xml:space="preserve">4.2.1.7; 4.2.2.7; 4.2.7.3</t>
  </si>
  <si>
    <t xml:space="preserve">TUBAGEM EM MULTICAMADA PARA ÁGUA FRIA SUSPENSA – DN 90</t>
  </si>
  <si>
    <t xml:space="preserve">Multicamada DN90 a 178,38 €/m em 76,76 m: material pouco económico</t>
  </si>
  <si>
    <t xml:space="preserve">4.2.2.8: 72,98 m × 178,38 €/m = 13.018,17 €; 4.2.1.7 (embutida): 3,78 m × 178,38 €/m = 674,28 €. Total DN90 = 76,76 m / 13.692,45 € (28% do subcap. 4.2, que soma 48.659,68 €). Salto de DN75 para DN90: 104,85 → 178,38 €/m (+70%).</t>
  </si>
  <si>
    <t xml:space="preserve">Num coletor de água fria DN90 à vista, PP-R PN16/20 custa cerca de 60–90 €/m instalado. O inox prensado de 88,9 mm é mais caro (≈ 100–150 €/m) e pouco serve de alternativa económica. A multicamada DN90 (acessórios de grande diâmetro) explica o PU, mas não justifica a escolha. Referência interna, só indicativa por ser enterrada: PEAD DN90 (4.2.7.3) = 30,18 €/m.</t>
  </si>
  <si>
    <t xml:space="preserve">Cenário de troca para PP-R a 90 €/m: (90 − 178,38) × 76,76 = −6.784,05 €. Embutir tubo DN90 em roço (4.2.1.7, 'abertura e tapamento de roço') também é tecnicamente difícil em paredes correntes.</t>
  </si>
  <si>
    <t xml:space="preserve">O projetista deve confirmar o material e o diâmetro dos troços DN75–DN90 (alternativa PP-R) e eliminar a hipótese de DN90 embutida.</t>
  </si>
  <si>
    <t xml:space="preserve">Todos os valores conferem com o dump (linhas 894 e 912). A soma de 4.2 é 48.659,68 € e o DN90 pesa 28,1%. 104,85 → 178,38 corresponde a +70,1%. Corrigi a referência: o inox prensado DN 88,9 não fica em 60–90 €/m instalado, por isso a alternativa económica é o PP-R. Ajustei o impacto máximo ao cêntimo (−6.784,05 €). O achado é de engenharia de valor (VERIFICAR) e não um erro comprovado.</t>
  </si>
  <si>
    <t xml:space="preserve">4.3.10</t>
  </si>
  <si>
    <t xml:space="preserve">4.5.2; 4.2.7.1; cap. 13</t>
  </si>
  <si>
    <t xml:space="preserve">CONTADOR REDE DE REGA</t>
  </si>
  <si>
    <t xml:space="preserve">Contador e ramal de rega sem rede de rega no MQT</t>
  </si>
  <si>
    <t xml:space="preserve">4.3.10 Contador rede de rega: 1 UN × 900 €. 4.5.2 Ligação à rede de rega: 1 UN × 700 €. Total 1.600 €. O cap. 13 (Arquitetura Paisagista, 65.465 €) tem 3.190 m2 de prados (13.5), 80 árvores e cerca de 2.100 arbustos/trepadeiras, mas nenhum aspersor, gotejador, programador ou tubagem de rega (pesquisa 'rega' só devolve 4.3.10, 4.5.2 e textos de plantação).</t>
  </si>
  <si>
    <t xml:space="preserve">Se há rega, é preciso medir a rede (gota-a-gota nas árvores/arbustos e aspersão nos prados): cerca de 3,5 €/m2 × 3.552 m2 (13.1.4) ≈ 12.400 €. Se não há rega, os artigos 4.3.10 e 4.5.2 sobram.</t>
  </si>
  <si>
    <t xml:space="preserve">O contador e o ramal de rega não servem nenhuma rede medida. 3,5 €/m2 × 3.552 m2 = 12.432 €.</t>
  </si>
  <si>
    <t xml:space="preserve">O Dono de Obra e o projetista de paisagismo devem decidir se há rega. Se sim, medir a rede de rega no cap. 13; se não, eliminar 4.3.10 e 4.5.2.</t>
  </si>
  <si>
    <t xml:space="preserve">Confirmei os valores 900 + 700 = 1.600 €. Cap. 13 = 65.465 €; prados 622 + 2.568 = 3.190 m2; árvores 15 + 15 + 1 + 10 + 5 + 13 + 7 + 14 = 80; arbustos e trepadeiras = 2.137; 13.1.4 = 3.552 m2. A pesquisa de 'aspers', 'gota' e 'programador' não devolve nada. 'rega' só aparece em 4.3.10, 4.5.2, 'primeira rega' (13.3.x) e 13.6.3 (drenos de cova 'para ... água de rega'), além de falsos positivos ('entrega'). A omissão é real e o sinal do impacto está coerente (−1.600 a +12.432 €). [Consolidação: impacto contabilizado em 13 (OMISSÃO) – rede de rega para não contar duas vezes.]</t>
  </si>
  <si>
    <t xml:space="preserve">4.3.11</t>
  </si>
  <si>
    <t xml:space="preserve">4.2.6; 4.3.12; 4.3.15; 4.3.5; 4.3.6</t>
  </si>
  <si>
    <t xml:space="preserve">CARRETEL</t>
  </si>
  <si>
    <t xml:space="preserve">10 carretéis sem reservatório nem grupo sobrepressor no MQT</t>
  </si>
  <si>
    <t xml:space="preserve">4.3.11: 10 UN × 499,90 € = 4.999,00 €. RIA em aço galvanizado (4.2.6: 212,05 m, DN50–DN100) alimentada pelo contador próprio 4.3.15 (3.250,00 €). Não há qualquer artigo de reservatório de incêndio ou central de bombagem (pesquisa de 'reservat'/'sobrepress' sem resultados úteis).</t>
  </si>
  <si>
    <t xml:space="preserve">RT-SCIE (Portaria 1532/2008, na redação da Portaria 135/2020), art.os 164.º–165.º: a RIA de carretéis tem de garantir, no carretel mais desfavorável, pressão dinâmica ≥ 250 kPa e 1,5 l/s, com metade dos carretéis (máx. 4) em simultâneo. Se a rede pública não o garantir, é obrigatório um reservatório privativo com grupo sobrepressor (NP EN 12845).</t>
  </si>
  <si>
    <t xml:space="preserve">Os artigos 4.3.5 e 4.3.6 falam de 'reservatório', o que sugere que o projeto chegou a prevê-lo. Se a declaração de pressão/caudal da entidade gestora for insuficiente, um reservatório de 10–20 m3 com eletrobomba, jockey e quadro custa cerca de 20.000–30.000 €.</t>
  </si>
  <si>
    <t xml:space="preserve">Pedir à entidade gestora a declaração de pressão e caudal disponíveis. Se forem insuficientes, medir o reservatório e o grupo sobrepressor de incêndio.</t>
  </si>
  <si>
    <t xml:space="preserve">Confirmei 4.3.11 (10 × 499,90 = 4.999 €), 4.2.6 (70,98 + 75,6 + 34,44 + 31,03 = 212,05 m, DN50–100) e 4.3.15 (3.250 €). Pesquisei o MQT completo: 'sobrepress' e 'hidropress' sem ocorrências, 'bombag' só nos desvios provisórios 5.4.2/5.4.3/6.3.2/6.3.3, 'reservat' só em 4.3.5/4.3.6. Ligar a RIA diretamente à rede pública é admissível se a pressão e o caudal chegarem, por isso o achado é condicional (VERIFICAR, mínimo 0 €), o que está corretamente refletido.</t>
  </si>
  <si>
    <t xml:space="preserve">4.5.1</t>
  </si>
  <si>
    <t xml:space="preserve">4.5.1.1; 4.5.2; 4.3.9; 4.3.15; 4.3.16</t>
  </si>
  <si>
    <t xml:space="preserve">LIGAÇÃO À REDE PÚBLICA – DN 110</t>
  </si>
  <si>
    <t xml:space="preserve">Ramal DN110 com reposição de pavimentos a 750 €/un, sem taxas</t>
  </si>
  <si>
    <t xml:space="preserve">4.5.1.1 DN110: 3 UN × 750,00 € = 2.250,00 €. Inclui tubagem PEAD, levantamento e reposição de pavimentos, vala e transporte a vazadouro. Não refere taxas nem orçamento da entidade gestora.</t>
  </si>
  <si>
    <t xml:space="preserve">Ramal DN110 em via pública com reposição de pavimento: 1.500–3.000 €/un. A estes valores juntam-se as tarifas de ligação da entidade gestora, que em muitos municípios executa ela própria o ramal.</t>
  </si>
  <si>
    <t xml:space="preserve">(1.500 − 750) × 3 = 2.250 €; (3.000 − 750) × 3 = 6.750 €.</t>
  </si>
  <si>
    <t xml:space="preserve">Obter o orçamento ou tarifário da entidade gestora para os 3 ramais e ajustar o PU, ou passar as taxas para encargo do Dono de Obra.</t>
  </si>
  <si>
    <t xml:space="preserve">Confirmei 3 × 750 = 2.250 € e que o texto inclui pavimentos, vala e vazadouro, sem taxas. Os 3 ramais correspondem aos 3 contadores (4.3.9, 4.3.15 e 4.3.16). Os cálculos estão certos. A referência é plausível, embora dependa do comprimento dos ramais, que o MQT não indica.</t>
  </si>
  <si>
    <t xml:space="preserve">5.1.1</t>
  </si>
  <si>
    <t xml:space="preserve">5.1.3; 2.1.2; 2.1.5</t>
  </si>
  <si>
    <t xml:space="preserve">Vala com escoramento a 5,50 €/m3; diz 'incluindo enchimento' pago à parte</t>
  </si>
  <si>
    <t xml:space="preserve">5.1.1: 448,52 m3 × 5,50 €/m3 = 2.466,86 €. Texto: 'com recurso a escoramento incluindo enchimento incluindo baldeação ...'. 5.1.3 (enchimento de vala): 394,50 m3 × 5,50 = 2.169,75 €, medido à parte.</t>
  </si>
  <si>
    <t xml:space="preserve">12–18 €/m3 (no próprio MQT, 2.1.2 + 2.1.5 = 16,50 €/m3 sem escoramento). Retirar 'incluindo enchimento' de 5.1.1, porque o enchimento está em 5.1.3.</t>
  </si>
  <si>
    <t xml:space="preserve">(12 − 5,50) × 448,52 = 2.915,38 €; (18 − 5,50) × 448,52 = 5.606,50 €. O texto cria ambiguidade de pagamento em duplicado com 5.1.3.</t>
  </si>
  <si>
    <t xml:space="preserve">Rever o PU e corrigir a descrição de 5.1.1.</t>
  </si>
  <si>
    <t xml:space="preserve">Confirmei no dump (linha 1070) 448,52 × 5,50 = 2.466,86 €, o texto 'incluindo enchimento' e 5.1.3 (394,5 × 5,5 = 2.169,75 €). O cálculo está certo. Nota: a regularização 5.1.2 está a 46,66 €/m3 (66,61 m3), o que compensa em parte o PU baixo, mas não chega para o justificar.</t>
  </si>
  <si>
    <t xml:space="preserve">5.2.2</t>
  </si>
  <si>
    <t xml:space="preserve">5.2.3; 6.2.1; 6.2.4; 6.2.15; 5.2.4</t>
  </si>
  <si>
    <t xml:space="preserve">RAMAIS DE DESCARGA SUSPENSOS</t>
  </si>
  <si>
    <t xml:space="preserve">Descrições copiadas de habitação: isolamento acústico ambíguo e não orçado</t>
  </si>
  <si>
    <t xml:space="preserve">5.2.2, 5.2.3, 6.2.1 e 6.2.4: 'As tubagens suspensas nos pisos habitacionais e comércio/serviço deverão ser envolvidas ... em lã de rocha [e=30mm] ... folha de alumínio ... duas camadas de membrana ... TECSOUND SY50' (em 6.2.4 aparece 'RECSOUND'). O 6.2.15 (bocas de limpeza) exige o mesmo envolvimento sem condição. PU de 13,50 a 33,18 €/m, iguais aos dos ramais embutidos (5.2.1.3 DN75 = 13,50 €/m) e não suspensos. Comprimento suspenso total: 202,66 m (5.255,98 €). O 5.2.3 e o 6.2.4 atribuem 'pressão nominal de 6 bar' a tubo EN 1329; o 5.2.4 'SN4/PN6' a tubo EN 1401, ambos de drenagem sem pressão.</t>
  </si>
  <si>
    <t xml:space="preserve">Um pavilhão escolar não tem pisos habitacionais nem de comércio/serviço. Ou se retira a exigência, ou se diz onde se aplica e se orça: o envolvimento acústico (lã de rocha + 2 × TECSOUND) custa cerca de 15–25 €/m.</t>
  </si>
  <si>
    <t xml:space="preserve">Se o envolvimento for exigido: 25 €/m × 202,66 m = 5.066,50 € não incluídos nos PU atuais (o PU do suspenso é igual ao do embutido). Se não for, o custo não muda, mas o texto dá azo a reclamação.</t>
  </si>
  <si>
    <t xml:space="preserve">Rever as descrições: retirar a referência a habitação/comércio ou definir os troços com isolamento acústico e orçá-los. Corrigir 'RECSOUND' e a referência a PN em tubos de drenagem.</t>
  </si>
  <si>
    <t xml:space="preserve">Confirmei a frase 'pisos habitacionais e comércio/serviço' em 5.2.2, 5.2.3, 6.2.1 e 6.2.4. Corrigi o no_mqt, porque o 6.2.15 não tem essa frase: exige o envolvimento em lã de rocha + TECSOUND sem condição. Confirmei 'RECSOUND' em 6.2.4, '6 bar' em 5.2.3/6.2.4 e 'SN4/PN6' em 5.2.4. Comprimentos: 9,98 + 18,48 + 25,41 + 148,79 = 202,66 m; custo 5.255,98 €. As igualdades de PU com os embutidos também conferem (13,50 e 16,32).</t>
  </si>
  <si>
    <t xml:space="preserve">5.3.6.1</t>
  </si>
  <si>
    <t xml:space="preserve">6.2.12.1; 6.2.12.2; 6.2.12.3</t>
  </si>
  <si>
    <t xml:space="preserve">CÂMARA DE VISITA CIRCULAR – DN1,00; 1,40&lt;h&lt;2,50</t>
  </si>
  <si>
    <t xml:space="preserve">CV DN1000 até 2,5 m com escavação e D400 a 520,82 €</t>
  </si>
  <si>
    <t xml:space="preserve">5.3.6.1: 5 UN × 520,82 € = 2.604,11 €. Inclui escavação, transporte, juntas, degraus e tampa FFD D400. O 6.2.12.1 (DN1,00, 1,00&lt;h&lt;1,50, sem escavação) custa o mesmo, 520,82 €; o 6.2.12.2 (DN1,00, 1,50&lt;h&lt;2,50) custa 570,42 €.</t>
  </si>
  <si>
    <t xml:space="preserve">Mínimo coerente com o próprio MQT: 570,42 € (6.2.12.2) mais escavação. Mercado PT para CV DN1000 com h ≈ 2 m e tampa D400 instalada: 820–1.220 €/un.</t>
  </si>
  <si>
    <t xml:space="preserve">(820 − 520,82) × 5 = 1.495,90 €; (1.220 − 520,82) × 5 = 3.495,90 €. Uma câmara mais alta, com escavação e D400, não pode custar o mesmo que uma de 1,0–1,5 m sem escavação.</t>
  </si>
  <si>
    <t xml:space="preserve">Rever o PU (≥ 820 €/un) e escalonar por altura, como em 6.2.12.</t>
  </si>
  <si>
    <t xml:space="preserve">Confirmei 5 × 520,82 €, com o total de custo de 2.604,11 € no MQT (o de venda é 2.604,10 €). O texto de 5.3.6 inclui escavação, vazadouro e D400. O 6.2.12 não inclui escavação nem fixa a classe D400, e os PU (520,82 € e 570,42 €) conferem. As contas estão certas.</t>
  </si>
  <si>
    <t xml:space="preserve">6.2.5.7</t>
  </si>
  <si>
    <t xml:space="preserve">6.2.5.4; 6.2.5.5; 6.2.5.6</t>
  </si>
  <si>
    <t xml:space="preserve">COLETORES ENTERRADOS EM PVC – DN 400</t>
  </si>
  <si>
    <t xml:space="preserve">PVC DN400 a 45,24 €/m, mais barato que DN315 (63,38 €/m)</t>
  </si>
  <si>
    <t xml:space="preserve">6.2.5.7 DN400: 48,30 m × 45,24 €/m = 2.185,09 €. 6.2.5.6 DN315: 185,97 m × 63,38 €/m = 11.786,78 €; 6.2.5.5 DN250: 39,75 €/m; 6.2.5.4 DN200: 25,32 €/m.</t>
  </si>
  <si>
    <t xml:space="preserve">A progressão do próprio artigo (+57% a +59% por escalão: 25,32 → 39,75 → 63,38) aponta para DN400 ≈ 101 €/m. O mínimo lógico é o PU do DN315 (63,38 €/m).</t>
  </si>
  <si>
    <t xml:space="preserve">(63,38 − 45,24) × 48,30 = 876,16 €; (63,38 × 1,6 − 45,24) × 48,30 = (101,408 − 45,24) × 48,30 = 2.712,91 €.</t>
  </si>
  <si>
    <t xml:space="preserve">Corrigir o PU do DN400 (≈ 90–100 €/m).</t>
  </si>
  <si>
    <t xml:space="preserve">Confirmei todos os PU e totais. Os rácios são 39,75 / 25,32 = 1,570 e 63,38 / 39,75 = 1,594. Recalculado, o impacto máximo dá 2.712,91 € e não 2.712,90 € (diferença de arredondamento). A incoerência é real.</t>
  </si>
  <si>
    <t xml:space="preserve">6.2.9</t>
  </si>
  <si>
    <t xml:space="preserve">6.2.9.1; 6.2.8.2; 2.6.5</t>
  </si>
  <si>
    <t xml:space="preserve">GEODRENO BANCOS – DN 160</t>
  </si>
  <si>
    <t xml:space="preserve">Geodreno bancos DN160 a 7,65 €/m com brita, vala e pavimentos</t>
  </si>
  <si>
    <t xml:space="preserve">6.2.9.1 DN160: 78,75 m × 7,65 €/m = 602,44 €. A descrição é a mesma de 6.2.8.</t>
  </si>
  <si>
    <t xml:space="preserve">20,32 €/m (2.6.5, sem vala) a 32 €/m (mercado com vala e reposição).</t>
  </si>
  <si>
    <t xml:space="preserve">(20,32 − 7,65) × 78,75 = 997,76 €; (32 − 7,65) × 78,75 = 1.917,56 €. O impacto anterior (2.794–4.913 €) implicaria 43–70 €/m, o que não é coerente com 78,75 m.</t>
  </si>
  <si>
    <t xml:space="preserve">Rever o PU, alinhado com 6.2.8 e 2.6.5.</t>
  </si>
  <si>
    <t xml:space="preserve">Confirmei 78,75 × 7,65 = 602,44 € e que o texto é idêntico ao de 6.2.8. As contas de impacto estão certas. Com menos de 2 k€, a gravidade MÉDIA é aceitável.</t>
  </si>
  <si>
    <t xml:space="preserve">7.8.3</t>
  </si>
  <si>
    <t xml:space="preserve">Sonorização do pavilhão</t>
  </si>
  <si>
    <t xml:space="preserve">Pavilhão sem qualquer sistema de sonorização</t>
  </si>
  <si>
    <t xml:space="preserve">Nenhum artigo de amplificação, altifalantes ou microfones em todo o MQT. 7.8.3 'Audiovisuais Sala Multiusos' só tem tomadas HDMI/USB e cabos (470,12 €)</t>
  </si>
  <si>
    <t xml:space="preserve">Sonorização de pavilhão (amplificação 240–480 W, 8–16 projetores de som, microfones, mesa): ≈ 6.000–15.000 €. Requisito funcional habitual, não regulamentar</t>
  </si>
  <si>
    <t xml:space="preserve">Pesquisa por sonorização, altifalante, amplificador e áudio sem resultados (só isolamento acústico em 3.8.3 e 3.10.1).</t>
  </si>
  <si>
    <t xml:space="preserve">O Dono de Obra deve decidir a inclusão. Se a incluir, pedir projeto e artigos.</t>
  </si>
  <si>
    <t xml:space="preserve">Pesquisa refeita: 'sonoriz', 'altifal', 'amplific', 'áudio' com 0 resultados; 'audio' só em 7.8.3. Total 7.8.3 = 80,74 + 80,74 + 56,54 + 252,10 = 470,12 € (correto). Decisão de âmbito do Dono de Obra; impacto plausível se incluído.</t>
  </si>
  <si>
    <t xml:space="preserve">7.1.1</t>
  </si>
  <si>
    <t xml:space="preserve">7.1.2.1; 7.3.7.1; 11.15; 11.16; 11.17</t>
  </si>
  <si>
    <t xml:space="preserve">Intervenção no QG Existente</t>
  </si>
  <si>
    <t xml:space="preserve">Intervenção no QG existente em verba global de conteúdo indefinido</t>
  </si>
  <si>
    <t xml:space="preserve">7.1.1 'Intervenção no QG Existente' UN 1 × 1.313,81 € = 1.313,81 €. Nova entrada 7.1.2.1 'XV(0,6-1kV) - R4x1x185+G95' 165 m × 167,12 € = 27.574,80 €</t>
  </si>
  <si>
    <t xml:space="preserve">Uma saída 4×185 mm² Cu (Iz ≈ 300 A) obriga a instalar no QG existente um disjuntor de caixa moldada de 250–315 A, a fazer a adaptação do barramento e a verificar a potência disponível. Valor de referência: ≈ 1.500–3.300 €. O eventual aumento da potência requisitada (E-Redes) é encargo do Dono de Obra e não está orçamentado</t>
  </si>
  <si>
    <t xml:space="preserve">O artigo não diz o que inclui. O PU 1.313,81 € aparece igual em 7.3.7.1 (melhoria da rede de terra) e em 11.15/11.16/11.17 (AVAC), o que mostra um valor de verba e não uma estimativa. A potência do novo pavilhão (AVAC QEAC 8.989,77 €, ascensor 12.1, UPAC de cerca de 86–106 kWp) tem de ser confirmada face ao QG/PT existente. Impacto: (3.300 − 1.313,81) = 1.986,19 €.</t>
  </si>
  <si>
    <t xml:space="preserve">Fazer o balanço de potências e confirmar a potência disponível no QG/PT existente. Pedir à E-Redes aumento de potência, se necessário. Detalhar o âmbito de 7.1.1 (aparelho de saída, barramentos, adaptação).</t>
  </si>
  <si>
    <t xml:space="preserve">Valores confirmados (7.1.1 1 × 1.313,81; 7.1.2.1 165 m × 167,12 = 27.574,80). PU 1.313,81 confirmado em exatamente 5 artigos (7.1.1, 7.3.7.1, 11.15, 11.16, 11.17). Pesquisa por 'E-Redes', 'EDP', 'potência' sem artigo de aumento de potência. Cálculo do impacto correto.</t>
  </si>
  <si>
    <t xml:space="preserve">7.2.3.1</t>
  </si>
  <si>
    <t xml:space="preserve">7.2.3.2; 7.2.3.3; 7.2.1.2; 7.2.1.3; 7.2.1.4; 7.2.2.1; 7.2.4.1</t>
  </si>
  <si>
    <t xml:space="preserve">Caminho de cabos chapa aço macio (correntes fracas) 300/200/100x60</t>
  </si>
  <si>
    <t xml:space="preserve">Caminho de cabos igual com preço 57–63 % mais caro</t>
  </si>
  <si>
    <t xml:space="preserve">Correntes fracas 7.2.3 (sem tampa): 300x60 5 m × 37,29 €; 200x60 110 m × 28,49 €; 100x60 200 m × 24,68 € (total 8.256,35 €). Elétricas 7.2.1 (mesmo material, sem tampa): 300x60 22,96 €; 200x60 18,18 €; 100x60 15,13 €. Com tampa (7.2.2.1/7.2.4.1): 200x60 29,20 €</t>
  </si>
  <si>
    <t xml:space="preserve">Mesmo produto, mesmo PU: alinhar 7.2.3 com 7.2.1 (mercado PT ≈ 12–25 €/m instalado para 100–200x60 galvanizado sendzimir)</t>
  </si>
  <si>
    <t xml:space="preserve">Diferenças: +62,4 % (300x60), +56,7 % (200x60), +63,1 % (100x60). O 200x60 sem tampa de 7.2.3.2 (28,49 €) custa quase o mesmo que o 200x60 com tampa (29,20 €). Impacto: (22,96 − 37,29) × 5 + (18,18 − 28,49) × 110 + (15,13 − 24,68) × 200 = −3.115,75 €.</t>
  </si>
  <si>
    <t xml:space="preserve">Uniformizar os PU de 7.2.3 com 7.2.1, ou justificar a diferença na descrição (ex.: chapa com separador ou tampa).</t>
  </si>
  <si>
    <t xml:space="preserve">Todos os PU e quantidades conferidos no rows.json; total 7.2.3 = 186,45 + 3.133,90 + 4.936,00 = 8.256,35 €. Percentagens recalculadas (1,624; 1,567; 1,631). Impacto −71,65 − 1.134,10 − 1.910,00 = −3.115,75 € correto. As designações de 7.2.1 e 7.2.3 diferem só no uso (elétricas vs correntes fracas); a incoerência é objetiva.</t>
  </si>
  <si>
    <t xml:space="preserve">7.3 (OMISSÃO)</t>
  </si>
  <si>
    <t xml:space="preserve">7.3.1–7.3.7.1; 7.3.4</t>
  </si>
  <si>
    <t xml:space="preserve">REDE TERRA – elétrodo de terra</t>
  </si>
  <si>
    <t xml:space="preserve">Rede de terra sem elétrodo próprio do novo edifício</t>
  </si>
  <si>
    <t xml:space="preserve">7.3 (5.271,03 €) tem barras, caixas, cabos isolados e 7.3.4 'Piquet de terra, ligação equipotencial dos postes de iluminação' 16 UN × 46,45 € (= 4 postes P3 + 12 E1). Não há anel de fundação, cabo de cobre nu nem elétrodos para o edifício. 7.3.7.1 'Trabalhos de melhoria da rede de terra, medições, e outros se verifiquem necessários para um bom sistema terra…' é uma verba de 1.313,81 €</t>
  </si>
  <si>
    <t xml:space="preserve">RTIEBT secção 542: elétrodo de terra da instalação. Num edifício novo com fundações em betão armado, anel de fundação em cobre nu 35 mm² ou fita de aço, com ligações exotérmicas, ≈ 2.000–3.000 €</t>
  </si>
  <si>
    <t xml:space="preserve">Os 16 piquets correspondem exatamente aos postes (4 + 12), pelo que o edifício (demolido e reconstruído, a 165 m do QG existente) não tem elétrodo medido. Mínimo 0 se o elétrodo couber em 7.3.7.1 ou no capítulo de estruturas.</t>
  </si>
  <si>
    <t xml:space="preserve">Confirmar com o projetista o tipo de elétrodo e criar o artigo medido. Coordenar com estruturas a execução antes da betonagem.</t>
  </si>
  <si>
    <t xml:space="preserve">Pesquisa refeita em todo o rows.json: 'cobre' só em 8.4.1/8.5 (pares de cobre ITED); 'elétrodo/eléctrodo/electrodo', 'cobre nu', 'equipoten' (só 7.3.4), 'ligação à terra' sem artigo de elétrodo. Correspondência 16 = 4 + 12 postes confirmada. O texto de 7.3.7.1 é genérico e pode cobrir parte, o que justifica o mínimo 0.</t>
  </si>
  <si>
    <t xml:space="preserve">7.4.1</t>
  </si>
  <si>
    <t xml:space="preserve">7.4.2; 7.4.3; 7.1.2.1</t>
  </si>
  <si>
    <t xml:space="preserve">Q.G.P.</t>
  </si>
  <si>
    <t xml:space="preserve">QGP orçamentado abaixo de um dos quadros parciais que alimenta</t>
  </si>
  <si>
    <t xml:space="preserve">7.4.1 'Q.G.P.' 1 UN × 2.648,86 €; 7.4.2 'Q.P.C.I.G.' 9.541,74 €; 7.4.3 'Q.P.Pav.' 2.733,80 €; 7.4.4 'Q.P.C.I.P.' 756,44 €; 7.4.5 'Q.PV.AC' 2.683,37 €; entrada 7.1.2.1 R4x1x185+G95</t>
  </si>
  <si>
    <t xml:space="preserve">QGP de 250–315 A com corte geral em caixa moldada, ~5–8 saídas (4 quadros parciais + reservas), descarregadores de sobretensões e analisador de energia, invólucro metálico: ≈ 4.000–7.000 € instalado</t>
  </si>
  <si>
    <t xml:space="preserve">O QGP recebe 4×185 mm² e alimenta os 4 quadros parciais de 7.4, mas custa menos do que o Q.P.Pav. (2.733,80 €) e 27,8 % do Q.P.C.I.G. (9.541,74 €). Só o disjuntor de caixa moldada de 250 A com SPD e analisador ronda 1.500–2.500 €. Impacto: (4.000 − 2.648,86) = 1.351,14 €; (7.000 − 2.648,86) = 4.351,14 €.</t>
  </si>
  <si>
    <t xml:space="preserve">Pedir uma consulta a um quadrista com o esquema unifilar do QGP e rever o PU.</t>
  </si>
  <si>
    <t xml:space="preserve">Valores do MQT conferidos (2.648,86 / 9.541,74 / 2.733,80; 2.648,86/9.541,74 = 27,8 %). O problema é plausível, mas a referência original (7.650–12.650 €, 'cerca de 30 saídas') não tem suporte nos dados: o QGP alimenta apenas 4 quadros parciais (7.4.2–7.4.5) e 4 colunas (7.6.1.1–7.6.1.4). Referência baixada para 4.000–7.000 €, impacto corrigido de 5.000–10.000 € para 1.351–4.351 € e gravidade de ALTA para MÉDIA.</t>
  </si>
  <si>
    <t xml:space="preserve">7.5.1</t>
  </si>
  <si>
    <t xml:space="preserve">7.5.3; 7.4.5; 7.6.1.5</t>
  </si>
  <si>
    <t xml:space="preserve">Inversor Solar</t>
  </si>
  <si>
    <t xml:space="preserve">Potência dos 3 inversores por definir face a 192 painéis</t>
  </si>
  <si>
    <t xml:space="preserve">7.5.1 'Inversor Solar' 3 UN × 1.699,55 € = 5.098,65 €; 7.5.3 'Paineis Solares' 192 UN × 132,84 € = 25.505,28 €. Potências não indicadas</t>
  </si>
  <si>
    <t xml:space="preserve">192 módulos de 450–550 Wp dão 86,4–105,6 kWp. Com rácio DC/AC de 1,1–1,3 são precisos ≈ 66–96 kW AC, ou seja, 3 inversores trifásicos de 25–30 kW. Preços de mercado 2025-2026 para inversores string de 25–30 kW: ≈ 1.700–2.500 €/un</t>
  </si>
  <si>
    <t xml:space="preserve">Com a descida de preços dos inversores string, 1.699,55 € é compatível com um inversor de 20–25 kW, mas fica no limite inferior para 25–30 kW. Sem potências definidas não é possível concluir. Impacto: 0 se o PU corresponder a 3 × 25 kW (rácio ≈ 1,15–1,4); máximo (2.500 − 1.699,55) × 3 = 2.401,35 €. Os 710 m de cabo solar (7.6.1.5) confirmam um gerador DC relevante.</t>
  </si>
  <si>
    <t xml:space="preserve">Pedir ao projetista as potências (kWp e kW AC) e o esquema de strings. Rever o PU dos inversores se forem de 30 kW ou mais.</t>
  </si>
  <si>
    <t xml:space="preserve">Quantidades e PU conferidos. A afirmação de que ~1.700 € só compra 10–20 kW (rácio 1,4–3,5) é exagerada para o mercado 2025-2026 (inversores string trifásicos de 20–25 kW encontram-se a ~1.500–2.000 €). Não há incompatibilidade provada, só falta de definição. Tipo mudado para VERIFICAR, gravidade ALTA→MÉDIA, impacto 2.401–5.401 € → 0–2.401 €.</t>
  </si>
  <si>
    <t xml:space="preserve">7.7.3.1.7</t>
  </si>
  <si>
    <t xml:space="preserve">7.7.3.1.6; 7.7.3.2.3 (OMISSÃO 7.7)</t>
  </si>
  <si>
    <t xml:space="preserve">.Tipo P2</t>
  </si>
  <si>
    <t xml:space="preserve">Luminárias do pavilhão sem resistência a impacto nem classe EN 12193</t>
  </si>
  <si>
    <t xml:space="preserve">7.7.3.1.7 '.Tipo P2' 20 UN × 1.156,58 € = 23.131,60 €; 7.7.3.1.6 '.Tipo P1' 8 UN × 944,22 € = 7.553,76 €. Sem qualquer texto técnico</t>
  </si>
  <si>
    <t xml:space="preserve">Luminárias de recinto desportivo resistentes ao impacto de bola (DIN 18032-3 / IK ≥ 08) e projeto luminotécnico segundo a EN 12193 (andebol/basquetebol/voleibol interior: classe III 200 lx, Uo 0,5; classe II 500 lx, Uo 0,7; classe I 750 lx, Uo 0,7)</t>
  </si>
  <si>
    <t xml:space="preserve">Estes são os artigos de iluminação de maior valor do capítulo e não têm especificação de impacto nem de nível de iluminação. O custo das proteções está quantificado no achado 7.7.3.2.3 (OMISSÃO 7.7), por isso não é somado aqui.</t>
  </si>
  <si>
    <t xml:space="preserve">Incluir na descrição o requisito de resistência a impacto de bola e a classe EN 12193, e pedir o cálculo luminotécnico.</t>
  </si>
  <si>
    <t xml:space="preserve">Valores conferidos (20 × 1.156,58 = 23.131,60; 8 × 944,22 = 7.553,76). Problema real. Corrigidos os valores da EN 12193 citados na referência: para andebol/basquetebol interior a classe III é 200 lx com Uo 0,5 e a classe II é 500 lx com Uo 0,7 (o texto original indicava 300 lx/0,5 e 500 lx/0,6).</t>
  </si>
  <si>
    <t xml:space="preserve">7.7.3.2.3</t>
  </si>
  <si>
    <t xml:space="preserve">7.7.3.1.7; 7.7.4.1; 10.1.6; 10.1.7; 10.3.4; 7.7 (OMISSÃO)</t>
  </si>
  <si>
    <t xml:space="preserve">Proteções anti-impacto (7.7 OMISSÃO)</t>
  </si>
  <si>
    <t xml:space="preserve">Só os blocos S2 têm proteção anti-impacto no pavilhão</t>
  </si>
  <si>
    <t xml:space="preserve">Única proteção prevista: 7.7.3.2.3 '. Grelhas de proteção para blocos S2' 17 UN × 38,99 € = 662,83 €. Sem proteção para P2 (20 un), detetores de movimento 7.7.4.1 (27), botões 10.1.6 (9), sinalizadores 10.1.7 (7) nem volumétricos 10.3.4 (12)</t>
  </si>
  <si>
    <t xml:space="preserve">Equipamentos na área de jogo resistentes a impacto de bola (DIN 18032-3) ou com grelha: ≈ 40–150 €/un</t>
  </si>
  <si>
    <t xml:space="preserve">Achado existente '7.7 (OMISSÃO)'. Mínimo: só os cerca de 15 dispositivos de segurança na área de jogo × 40 € = 600 €. Máximo: grelhas para as 20 P2 × 80–150 € (1.600–3.000 €) + ~15 dispositivos × 60 € (900 €) = 3.900 €.</t>
  </si>
  <si>
    <t xml:space="preserve">Identificar nas plantas os equipamentos dentro do recinto de jogo e prever grelhas ou modelos ball-proof.</t>
  </si>
  <si>
    <t xml:space="preserve">Quantidades conferidas (17 × 38,99 = 662,83; P2 20; 7.7.4.1 27; 10.1.6 9; 10.1.7 7; 10.3.4 12). Pesquisa 'grelha'/'proteç' só encontra 7.7.3.2.3 nas especialidades elétricas. Nota: se as P2 (1.156,58 €/un) já forem luminárias desportivas ball-proof, a parte das grelhas P2 cai, o que está coberto pelo mínimo de 600 €.</t>
  </si>
  <si>
    <t xml:space="preserve">7.9.7</t>
  </si>
  <si>
    <t xml:space="preserve">7.9.5; 7.9.1; 10.2.4; 14.1.10; 14.2.3</t>
  </si>
  <si>
    <t xml:space="preserve">Servidor / Switch dedicado (Sistema de chamada de emergência)</t>
  </si>
  <si>
    <t xml:space="preserve">Chamada de emergência para 6 WC com servidor e switch dedicados</t>
  </si>
  <si>
    <t xml:space="preserve">7.9 = 8.121,36 € para 6 WC tipo IO (1.353,56 €/WC): 7.9.7 'Servidor' 2.682,04 €; 7.9.5 'Switch dedicado' 773,69 €; 7.9.1 'Consola' 1.670,80 €. No mesmo MQT: 10.2.4 'Switch 24 portas PoE' 315,85 €; 14.1.10 switch 8 portas 83,47 €; 14.2.3 computador GTC 2.504,21 €</t>
  </si>
  <si>
    <t xml:space="preserve">Sistema de alarme para instalação sanitária acessível (DL 163/2006): kit cordão + botão de cancelamento + sinalizador + central simples ≈ 250–450 €/WC. Total ≈ 3.300 € com cablagem</t>
  </si>
  <si>
    <t xml:space="preserve">Um switch 'dedicado' para 6 pontos custa 2,4 vezes um switch PoE de 24 portas do próprio MQT. O servidor sai mais caro do que o PC da GTC (14.2.3, 2.504,21 €). Redução mínima: alinhar o switch, 315,85 − 773,69 = −457,84 €. Redução máxima: solução convencional, 3.300 − 8.121,36 = −4.821,36 €.</t>
  </si>
  <si>
    <t xml:space="preserve">Confirmar com o projetista a necessidade de uma arquitetura IP com servidor e, se não for necessária, substituí-la por um sistema convencional.</t>
  </si>
  <si>
    <t xml:space="preserve">Valores conferidos (7.9 = 8.121,36; /6 = 1.353,56; 773,69/315,85 = 2,45; PC GTC = 14.2.3 2.504,21). Problema plausível. Corrigida a ordem do impacto (min −4.821,36 ≤ max −457,84; o original estava invertido) e acrescentado 14.2.3 aos artigos relacionados.</t>
  </si>
  <si>
    <t xml:space="preserve">7.12 (OMISSÃO)</t>
  </si>
  <si>
    <t xml:space="preserve">7.12.1; 7.12.2; 7.5; 8; 10.5.2; 12.2</t>
  </si>
  <si>
    <t xml:space="preserve">Certificações e inspeções</t>
  </si>
  <si>
    <t xml:space="preserve">Faltam inspeções e certificações necessárias à licença de utilização</t>
  </si>
  <si>
    <t xml:space="preserve">Só existem verbas internas de verificações/ensaios (7.12 = 200 €; 10.5.2 = 200 €; 12.2 = 1.000 € para o ascensor). Nenhum artigo de inspeção EIIEL, certificado de exploração da UPAC, certificado SCE nem ensaios acústicos RRAE</t>
  </si>
  <si>
    <t xml:space="preserve">Inspeção elétrica por EIIEL (DL 96/2017) ≈ 300–800 €; inspeção/certificado de exploração da UPAC (DL 15/2022) ≈ 300–700 €; certificado energético SCE ≈ 1.000–2.500 €; ensaios acústicos RRAE ≈ 1.500–3.000 €</t>
  </si>
  <si>
    <t xml:space="preserve">Soma das referências: 300 + 300 + 1.000 + 1.500 = 3.100 €; 800 + 700 + 2.500 + 3.000 = 7.000 €. O ascensor (12.2) e a certificação ITED (achado 8) ficam de fora para não somar duas vezes. O certificado SCE e os ensaios RRAE são normalmente contratados pelo Dono de Obra (perito qualificado / laboratório) e não pelo empreiteiro.</t>
  </si>
  <si>
    <t xml:space="preserve">O Dono de Obra deve decidir se estes encargos entram na empreitada (criar artigos) ou se os contrata diretamente; confirmar no C.E.</t>
  </si>
  <si>
    <t xml:space="preserve">Valores conferidos (7.12 = 200; 10.5.2.1+10.5.2.2 = 200; 12.2.1+12.2.2 = 1.000). Pesquisa 'inspe' 0 resultados; 'certific' só em estruturas. Soma correta. Responsável corrigido de Empreiteiro para Dono de Obra: SCE e RRAE são habitualmente encargo direto do Dono de Obra e a inclusão na empreitada é decisão sua.</t>
  </si>
  <si>
    <t xml:space="preserve">7.12.1</t>
  </si>
  <si>
    <t xml:space="preserve">7.12.2; 7.12 (OMISSÃO)</t>
  </si>
  <si>
    <t xml:space="preserve">Verificações Conforme especificado em C.E.</t>
  </si>
  <si>
    <t xml:space="preserve">Verificações e ensaios elétricos orçamentados por 200 € no total</t>
  </si>
  <si>
    <t xml:space="preserve">7.12.1 'Verificações Conforme especificado em C.E.' 1 UN × 100,00 €; 7.12.2 'Ensaios Conforme especificado em C.E.' 1 UN × 100,00 €; total 7.12 = 200,00 €</t>
  </si>
  <si>
    <t xml:space="preserve">Verificações e ensaios de uma instalação de ~266 k€ segundo a RTIEBT parte 6 (continuidade, isolamento, resistência de terra, diferenciais, autonomia da iluminação de segurança, luximetria, relatório): ≈ 1.500–3.500 €</t>
  </si>
  <si>
    <t xml:space="preserve">200 € não chegam a um dia de técnico com equipamento de medição. (1.500 − 200) = 1.300 €; (3.500 − 200) = 3.300 €. A inspeção pela entidade inspetora (EIIEL, DL 96/2017) está quantificada em 7.12 (OMISSÃO).</t>
  </si>
  <si>
    <t xml:space="preserve">Rever o PU com base no plano de ensaios do C.E.</t>
  </si>
  <si>
    <t xml:space="preserve">Valores conferidos (100 + 100 = 200 €). Comparação interna reforça: AVAC 11.15 = 1.313,81 € e ascensor 12.2 = 1.000 € para verificações/ensaios. Os testes da UPAC já estão em 7.5.5, mas não os do resto da instalação. Aritmética correta.</t>
  </si>
  <si>
    <t xml:space="preserve">8</t>
  </si>
  <si>
    <t xml:space="preserve">8.5; 8 (OMISSÃO); 7.12 (OMISSÃO)</t>
  </si>
  <si>
    <t xml:space="preserve">INSTALAÇÕES DE TELECOMUNICAÇÕES</t>
  </si>
  <si>
    <t xml:space="preserve">Capítulo ITED sem ensaios, certificação nem telas finais</t>
  </si>
  <si>
    <t xml:space="preserve">Cap. 8 = 9.863,68 € (0,22 % de 4.499.642,08 €). Não há artigo de ensaios/relatório ITED nem de telas finais. 8.5 'Conetores, tomadas e Ativos' = 667,48 € só com tomadas</t>
  </si>
  <si>
    <t xml:space="preserve">DL 123/2009 (red. DL 92/2017) e Manual ITED 4.ª ed.: ensaios de todas as ligações e termo de responsabilidade de execução pelo instalador ITED, ≈ 400–900 €</t>
  </si>
  <si>
    <t xml:space="preserve">Os Caps. 7, 10 e 12 têm artigos de verificações/ensaios e telas finais; o Cap. 8 não tem nenhum. A parte dos ativos é quantificada em 8 (OMISSÃO).</t>
  </si>
  <si>
    <t xml:space="preserve">Criar artigos de ensaios/certificação ITED e de telas finais.</t>
  </si>
  <si>
    <t xml:space="preserve">Total do Cap. 8 e total geral (4.499.642,08 € = soma dos 14 capítulos) recalculados; 0,219 %. Lista de artigos do Cap. 8 revista: não existe nenhum artigo de ensaios, certificação ou telas finais (pesquisa 'ensaio'/'telas finais' só encontra Caps. 4–7, 10, 12). Ressalva: 8.3 remete para o C.E. ('Equipado de acordo com o descrito no Caderno de Encargos'), que pode incluir parte disto.</t>
  </si>
  <si>
    <t xml:space="preserve">8 (OMISSÃO)</t>
  </si>
  <si>
    <t xml:space="preserve">8.5; 8.4.1; 8.4.2; 10.2.4</t>
  </si>
  <si>
    <t xml:space="preserve">Ativos de rede / Wi-Fi</t>
  </si>
  <si>
    <t xml:space="preserve">Sem switch nem pontos de acesso Wi-Fi apesar do título</t>
  </si>
  <si>
    <t xml:space="preserve">8.5 'Conetores, tomadas e Ativos' = 667,48 €, só tomadas: 28 T3 simples, 6 T3 duplas e 2 T4 duplas = 44 portas RJ45. Cablagem: 8.4.1 Cat.6a 1.615 m e 8.4.2 OM4 170 m. Nenhum ativo</t>
  </si>
  <si>
    <t xml:space="preserve">Switch de 48 portas PoE+ gerível (≈ 900–1.800 €) + 4–6 AP Wi-Fi 6 (≈ 250–500 € cada, instalados) + configuração (≈ 300–600 €) ≈ 2.200–5.400 €. O ITED é infraestrutura passiva: os ativos são decisão do Dono de Obra</t>
  </si>
  <si>
    <t xml:space="preserve">O título de 8.5 anuncia 'Ativos' mas nenhum artigo os inclui. Sem switch, as 44 tomadas e a fibra ficam sem serviço.</t>
  </si>
  <si>
    <t xml:space="preserve">O Dono de Obra deve decidir se os ativos e o Wi-Fi entram na empreitada ou são fornecidos pela escola/ministério. Em qualquer caso, corrigir o título.</t>
  </si>
  <si>
    <t xml:space="preserve">Contagem de portas conferida: 28 + 6×2 + 2×2 = 44. Totais 8.5 = 424,76 + 182,04 + 60,68 = 667,48 €. Pesquisa 'switch', 'wi-fi', 'access point' em todo o MQT: só 7.9.5 (chamada de emergência), 10.2.4 (CCTV) e 14.1.10 (GTC) — nenhum para a rede ITED. Título de 8.5 confirmado.</t>
  </si>
  <si>
    <t xml:space="preserve">9</t>
  </si>
  <si>
    <t xml:space="preserve">9.1.2.1; 9.1.1.1; 9 (OMISSÃO)</t>
  </si>
  <si>
    <t xml:space="preserve">SEGURANÇA CONTRA INCÊNDIO</t>
  </si>
  <si>
    <t xml:space="preserve">Sem plantas de emergência e só um extintor CO2</t>
  </si>
  <si>
    <t xml:space="preserve">9.1.2.1 '5 Kg' (CO2) 1 UN × 70,34 €; 9.1.1.1 '6 L' (água AFFF) 21 UN × 41,14 € = 863,94 €. Nenhum artigo de plantas de emergência. Quadros/equipamentos elétricos: 7.4.1–7.4.5 (5), 11.14.1.1 QEAC, 11.14.1.2 Q. Informação RCF, 8.3.1.1 PD Pav, 3 inversores</t>
  </si>
  <si>
    <t xml:space="preserve">RT-SCIE (Portaria 1532/2008, red. Portaria 135/2020): extintores adequados ao risco elétrico junto aos quadros e locais de risco C; plantas de emergência (art. 205.º)</t>
  </si>
  <si>
    <t xml:space="preserve">Um só CO2 para pelo menos 8 quadros/armários técnicos distribuídos pelo edifício, e nenhuma planta de emergência no MQT.</t>
  </si>
  <si>
    <t xml:space="preserve">Ver 9 (OMISSÃO).</t>
  </si>
  <si>
    <t xml:space="preserve">Valores conferidos. Pesquisa 'planta' em todo o MQT: só implantação e jardinagem; nenhuma planta de emergência. Contagem de quadros 5 + 2 + 1 = 8 confirmada. Ressalva: extintores de água AFFF com ensaio dielétrico (35 kV) são aptos para fogos em equipamentos elétricos até 1.000 V, pelo que a necessidade de mais CO2 depende do modelo especificado e da localização dos quadros (podem estar agrupados num só local técnico).</t>
  </si>
  <si>
    <t xml:space="preserve">9 (OMISSÃO)</t>
  </si>
  <si>
    <t xml:space="preserve">9; 9.1.2.1</t>
  </si>
  <si>
    <t xml:space="preserve">Plantas de emergência + extintores CO2 junto aos quadros</t>
  </si>
  <si>
    <t xml:space="preserve">Acrescentar plantas de emergência e extintores CO2 nos quadros</t>
  </si>
  <si>
    <t xml:space="preserve">Sem artigo de plantas de emergência; 1 extintor CO2 (9.1.2.1, 70,34 €)</t>
  </si>
  <si>
    <t xml:space="preserve">6–10 plantas de emergência (art. 205.º RT-SCIE) × 60–120 € e +4–6 extintores CO2 × 70,34 € (PU do próprio MQT)</t>
  </si>
  <si>
    <t xml:space="preserve">Plantas: 6 × 60 = 360 € a 10 × 120 = 1.200 €. CO2: 4 × 70,34 € = 281,36 € a 6 × 70,34 € = 422,04 €. Total 641,36–1.622,04 €.</t>
  </si>
  <si>
    <t xml:space="preserve">Criar os artigos de plantas de emergência e reforçar o 9.1.2.1 de acordo com a localização dos quadros.</t>
  </si>
  <si>
    <t xml:space="preserve">Aritmética conferida: 360 + 281,36 = 641,36; 1.200 + 422,04 = 1.622,04. PU 70,34 € confirmado em 9.1.2.1. Ausência de plantas de emergência confirmada em todo o MQT. Mesma ressalva do achado 9 sobre os AFFF dielétricos (pode reduzir a parte CO2).</t>
  </si>
  <si>
    <t xml:space="preserve">10</t>
  </si>
  <si>
    <t xml:space="preserve">10.1.5</t>
  </si>
  <si>
    <t xml:space="preserve">10.1.1</t>
  </si>
  <si>
    <t xml:space="preserve">Detector Linear de Fumos (Conjunto Emissor-Receptor)</t>
  </si>
  <si>
    <t xml:space="preserve">Detetor linear de fumos abaixo do preço de mercado</t>
  </si>
  <si>
    <t xml:space="preserve">10.1.5 'Detector Linear de Fumos (Conjunto Emissor-Receptor)' 6 UN × 236,22 € = 1.417,32 €</t>
  </si>
  <si>
    <t xml:space="preserve">Detetor linear de feixe (emissor + recetor, ou refletivo motorizado) de gama convencional, com suporte e alinhamento: ≈ 400–900 €/conjunto instalado em Portugal</t>
  </si>
  <si>
    <t xml:space="preserve">(400 − 236,22) × 6 = 982,68 €; (900 − 236,22) × 6 = 3.982,68 €. Os preços de retalho citados pelo analista (Notifier FS-OSI-RI ≈ 1.334 USD; Fireray 5000 ≈ 1.021 USD; Urmet 1043/210 1.026,50 €) referem-se a modelos de gama alta e não foram verificáveis; mesmo os modelos refletivos básicos raramente ficam abaixo de 350–400 € instalados.</t>
  </si>
  <si>
    <t xml:space="preserve">Rever o PU com proposta de fornecedor.</t>
  </si>
  <si>
    <t xml:space="preserve">Valores conferidos (6 × 236,22 = 1.417,32). As fontes web citadas não puderam ser verificadas e são de gama alta/retalho EUA. Limite inferior da referência baixado de 500 para 400 €/conjunto; impacto_min corrigido de 1.582,68 para 982,68 €.</t>
  </si>
  <si>
    <t xml:space="preserve">10.1.7</t>
  </si>
  <si>
    <t xml:space="preserve">10.1.6</t>
  </si>
  <si>
    <t xml:space="preserve">Sinalizador Acústico</t>
  </si>
  <si>
    <t xml:space="preserve">Sete sinalizadores acústicos podem não cobrir pavilhão, ginásio e pisos</t>
  </si>
  <si>
    <t xml:space="preserve">10.1.7 'Sinalizador Acústico' 7 UN × 41,27 € = 288,89 €. Só acústicos, sem sinalização ótica</t>
  </si>
  <si>
    <t xml:space="preserve">NP EN 54-3 / CEN/TS 54-14 e RT-SCIE: ≥ 65 dB(A) e ≥ 5 dB acima do ruído ambiente (pavilhão em jogo ≈ 80–90 dB(A)). Sinalizadores óticos (EN 54-23) recomendados em locais ruidosos</t>
  </si>
  <si>
    <t xml:space="preserve">7 sinalizadores para 2 salas desportivas, balneários, administração e 2 pisos é um número reduzido. Faltam ou passam a óptico-acústicos 4–6 un × ~100 € = até 600 €.</t>
  </si>
  <si>
    <t xml:space="preserve">Pedir o cálculo de audibilidade e confirmar a quantidade e o tipo.</t>
  </si>
  <si>
    <t xml:space="preserve">Valores conferidos (7 × 41,27 = 288,89). Não existe sinalizador ótico no SADI (o único óptico-acústico é 10.3.6, da intrusão). Classificado corretamente como verificação; impacto modesto e plausível.</t>
  </si>
  <si>
    <t xml:space="preserve">10.2 (OMISSÃO)</t>
  </si>
  <si>
    <t xml:space="preserve">102.2.1; 10.2.4; 8.4.1; 10.1.11.1; 10.3.7</t>
  </si>
  <si>
    <t xml:space="preserve">CIRCUITO FECHADO DE TELEVISÃO - CCTV</t>
  </si>
  <si>
    <t xml:space="preserve">CCTV sem cablagem para as 14 câmaras IP</t>
  </si>
  <si>
    <t xml:space="preserve">10.2 = 4.492,12 €: NVR, 14 câmaras (102.2.1), PC, monitor, teclado e switch PoE 24p. Nenhum artigo de cabo ou tomadas, ao contrário de 10.1 (10.1.11.1, 800 m) e de 10.3 (10.3.7.1/2, 590 m)</t>
  </si>
  <si>
    <t xml:space="preserve">Cada câmara precisa de um cabo F/UTP Cat.6A (~35 m) desde o switch PoE, ou de ponto ITED dedicado</t>
  </si>
  <si>
    <t xml:space="preserve">Se as câmaras não estiverem incluídas nas 44 portas ITED (8.4.1, 1.615 m, ~36,7 m/porta): 14 × 35 m × 2,32 € (PU 10.3.7.2) = 1.136,80 € + 14 conectores × 15,17 € (PU 8.5.1.1) = 212,38 €. Total 1.349,18 €.</t>
  </si>
  <si>
    <t xml:space="preserve">Confirmar no projeto ITED/CCTV se as câmaras usam a rede estruturada. Se não usarem, medir a cablagem.</t>
  </si>
  <si>
    <t xml:space="preserve">Composição de 10.2 conferida: só equipamentos, nenhum cabo. 1.615/44 = 36,7 m/porta. Aritmética correta (1.136,80 + 212,38 = 1.349,18). As 44 tomadas ITED (28 T3 + 6 T3 duplas + 2 T4 duplas) não parecem dimensionadas para incluir 14 câmaras, o que dá suporte à verificação; min 0 cobre o caso contrário.</t>
  </si>
  <si>
    <t xml:space="preserve">10.5.1</t>
  </si>
  <si>
    <t xml:space="preserve">7.10; 7.10.1.1–7.10.1.3</t>
  </si>
  <si>
    <t xml:space="preserve">Rede de caixas e tubagens dos equipamentos de segurança</t>
  </si>
  <si>
    <t xml:space="preserve">Tubagem de segurança paga no Cap. 10 e no Cap. 7</t>
  </si>
  <si>
    <t xml:space="preserve">10.5.1 'O fornecimento e montagem de toda a rede de caixas e tubagens necessária para a instalação dos equipamentos de segurança são para serem executados pela Empreitada de Instalações Eléctricas.' UN 1 × 1.632,31 €. 7.10 'Infraestruturas eléctricas para instalações de segurança ativa' = 513,70 € (VD20 90 m, VD25 110 m, Inox 5 m)</t>
  </si>
  <si>
    <t xml:space="preserve">Pagar a rede uma só vez, no Cap. 7.10, com medição completa</t>
  </si>
  <si>
    <t xml:space="preserve">O próprio texto de 10.5.1 remete o trabalho para a empreitada elétrica. Atenção: os 205 m de tubo de 7.10 são poucos para cerca de 1.390 m de cabos de segurança (800 + 530 + 60 m). Antes de eliminar 10.5.1, verificar se 7.10 está completo. Redução entre −513,70 € (eliminar 7.10) e −1.632,31 € (eliminar a verba 10.5.1).</t>
  </si>
  <si>
    <t xml:space="preserve">Eliminar 10.5.1 (ou 7.10) e consolidar a medição num único artigo.</t>
  </si>
  <si>
    <t xml:space="preserve">Texto e valores conferidos (10.5.1 1.632,31; 7.10 = 190,80 + 248,60 + 74,30 = 513,70; cabos 10.1.11.1 800 m + 10.3.7.1 530 m + 10.3.7.2 60 m = 1.390 m). Problema real. Corrigida a ordem do impacto: min −1.632,31 ≤ max −513,70 (o original tinha min −513,70 e max −1.632,31).</t>
  </si>
  <si>
    <t xml:space="preserve">11</t>
  </si>
  <si>
    <t xml:space="preserve">11.11.1.2</t>
  </si>
  <si>
    <t xml:space="preserve">11.11.1.2.1, 11.11.1.2.2, 11.11.1.1.1, 11.11.1.1.2, 11.14.4.4, 11.14.4.5</t>
  </si>
  <si>
    <t xml:space="preserve">Admissão Natural de Ar RD1</t>
  </si>
  <si>
    <t xml:space="preserve">Admissão de ar da desenfumagem pode estar na cobertura</t>
  </si>
  <si>
    <t xml:space="preserve">11.11.1 «Ventiladores Estáticos» &gt; 11.11.1.2 «Admissão Natural de Ar RD1»: 11.11.1.2.1 Pavilhão ENERGIMAC SMOKEJET-JA11-1615-PCO-E24-F4, 1.626 × 1.503 (área útil 1,59 m2) – 6 UN × 2.034,97 € = 12.209,82 €; 11.11.1.2.2 Ginásio, igual – 2 UN × 2.034,97 € = 4.069,94 €. Os cabos 11.14.4.4 e 11.14.4.5 descrevem os «Ventiladores Estáticos» como «claraboia de desenfumagem».</t>
  </si>
  <si>
    <t xml:space="preserve">Desenfumagem passiva (RT-SCIE, Portaria 1532/2008 alterada pela Portaria 135/2020, capítulo do controlo de fumo; EN 12101-2): a admissão de ar deve ficar na parte inferior do espaço, na zona livre de fumo (vãos de fachada, portas ou grelhas baixas). Não pode ser feita por exutores ou claraboias de cobertura.</t>
  </si>
  <si>
    <t xml:space="preserve">As unidades de admissão estão no mesmo grupo «Ventiladores Estáticos» que os exutores de evacuação RD2, e a cablagem chama-lhes «claraboia de desenfumagem». Isto pode indicar montagem em cobertura, mas a prova é só indireta: o SMOKEJET existe em versão de fachada, as RD1 usam um modelo e dimensões diferentes das RD2 (JA11-1615 contra JA08-2211) e a descrição dos cabos é genérica para todo o grupo. Só os desenhos confirmam a localização. Se estiverem na cobertura, o sistema não cumpre. A área de admissão (8 × 1,59 m2) é igual à de evacuação. Impacto não quantificável sem projeto.</t>
  </si>
  <si>
    <t xml:space="preserve">Confirmar nos desenhos de SCIE/AVAC onde ficam as RD1. Se estiverem na cobertura, passar a admissão para a fachada ou zona baixa e rever a cablagem 11.14.4.x.</t>
  </si>
  <si>
    <t xml:space="preserve">Os valores estão certos (6 × 2.034,97 = 12.209,82; 2 × 2.034,97 = 4.069,94; RD2 com 6 + 2 UN e 1,59 m2). O texto de 11.14.4.4/11.14.4.5 é o citado. Baixei a gravidade de ALTA para MÉDIA: a indicação de cobertura é só indireta, as RD1 são de outro modelo e dimensão (o que é compatível com montagem em fachada) e o título «Ventiladores Estáticos» também se aplica a lamelas de fachada. Continua a ser um ponto de verificação válido.</t>
  </si>
  <si>
    <t xml:space="preserve">11.15</t>
  </si>
  <si>
    <t xml:space="preserve">11.16, 11.17, 7.1.1, 7.3.7.1, 7.12, 12.2</t>
  </si>
  <si>
    <t xml:space="preserve">Verificações e Ensaios / Conforme especificado em C.E.</t>
  </si>
  <si>
    <t xml:space="preserve">Três VG genéricos de 1.313,81 € sem conteúdo mensurável</t>
  </si>
  <si>
    <t xml:space="preserve">11.15 «Verificações e Ensaios / Conforme especificado em C.E.» UN 1 × 1.313,81 €; 11.16 «Fornecimentos e Trabalhos diversos Conforme especificado em C.E.» UN 1 × 1.313,81 €; 11.17 «Disposições Complementares / Conforme especificado em C.E.» UN 1 × 1.313,81 €. Total 3.941,43 €. O mesmo PU de 1.313,81 € aparece em 7.1.1 «Intervenção no QG Existente» e 7.3.7.1 «Trabalhos de melhoria da rede de terra…».</t>
  </si>
  <si>
    <t xml:space="preserve">Os artigos devem ter conteúdo mensurável (ensaios de estanquidade, equilibragem de caudais, medições de ruído e QAI, comissionamento) ou ser eliminados. Noutros capítulos os ensaios valem 100 + 100 € (7.12) e 500 + 500 € (12.2).</t>
  </si>
  <si>
    <t xml:space="preserve">Cinco artigos de natureza diferente com o mesmo PU de 1.313,81 € apontam para um valor de enchimento e não para uma estimativa. «Fornecimentos e trabalhos diversos» e «Disposições complementares» não descrevem trabalho e não são mensuráveis. Cenário máximo: eliminar 11.16 e 11.17 (2 × 1.313,81 = −2.627,62 €) e manter os ensaios.</t>
  </si>
  <si>
    <t xml:space="preserve">Descrever o conteúdo de 11.15 com base no C.E. e eliminar ou especificar 11.16 e 11.17.</t>
  </si>
  <si>
    <t xml:space="preserve">Confirmado no dump: 11.15, 11.16 e 11.17 a 1.313,81 € cada (3.941,43 €); 7.1.1 e 7.3.7.1 também a 1.313,81 €; 7.12 = 100 + 100 €; 12.2 = 500 + 500 €. O impacto máximo (−2.627,62 €) está certo.</t>
  </si>
  <si>
    <t xml:space="preserve">13.1.4, 13.3.1–13.3.8, 13.4.1–13.4.14, 13.5.1, 13.5.2</t>
  </si>
  <si>
    <t xml:space="preserve">Garantia/manutenção das plantações (1.º ano)</t>
  </si>
  <si>
    <t xml:space="preserve">Falta manutenção/garantia das plantações no primeiro ano</t>
  </si>
  <si>
    <t xml:space="preserve">Não há artigo de manutenção ou garantia de plantações. Árvores e arbustos só incluem «primeira rega». Área plantada/semeada: 13.1.4 = 3.552 m2; 80 árvores.</t>
  </si>
  <si>
    <t xml:space="preserve">Manutenção do 1.º ano ou do período de garantia (regas, retanchas, cortes, mondas, fertilização, reposição de falhas): ≈0,6–1,2 €/m2/ano mais 10–20 €/árvore.</t>
  </si>
  <si>
    <t xml:space="preserve">3.552 × 0,6 + 80 × 10 ≈ 2.930 €; 3.552 × 1,2 + 80 × 20 ≈ 5.860 €. Sem esta prestação, a garantia de pega das plantações não tem preço. O C.E. pode tratá-la como encargo incluído nos preços, por isso a gravidade é MÉDIA.</t>
  </si>
  <si>
    <t xml:space="preserve">Criar um artigo de manutenção dos espaços verdes até à receção definitiva/1.º ano, ou declarar expressamente que está incluída nos PU.</t>
  </si>
  <si>
    <t xml:space="preserve">Pesquisei todo o dump: «manuten» só aparece em 1.1, 2.x, 4.5.7, 5.4.5 e 6.3.4 (condutas e estaleiro), e «garantia» não aparece. 13.1.4 = 3.552 m2 e 80 árvores confirmados. Cálculos 2.931 € e 5.862 € corretos; o intervalo arredondado de 3.000–6.000 € é aceitável.</t>
  </si>
  <si>
    <t xml:space="preserve">13.2.2</t>
  </si>
  <si>
    <t xml:space="preserve">13.2.1, 13.3.1–13.3.8</t>
  </si>
  <si>
    <t xml:space="preserve">TERRA VEGETAL na zona de plantação de árvores (60–90 cm sobre 25 cm de brita n.º 2)</t>
  </si>
  <si>
    <t xml:space="preserve">Brita de 25 cm paga ao preço da terra vegetal</t>
  </si>
  <si>
    <t xml:space="preserve">13.2.2 «TERRA VEGETAL Na zona de plantação de árvores, camada de terra vegetal com 60 a 90cm sobre camada de brita nº2 bem lavada com 25cm de espessura…» – m3 146 × 16,00 € = 2.336,00 €. É o mesmo PU de 13.2.1, que é só terra vegetal (888 m3 × 16,00 € = 14.208,00 €). Os artigos 13.3.1–13.3.8 voltam a incluir em cada árvore «camada drenante com espessura de 0.20m de brita filtrante», composto e «enchimento de covas».</t>
  </si>
  <si>
    <t xml:space="preserve">Brita n.º 2 lavada fornecida e espalhada ≈27–43 €/m3, contra 16 €/m3 da terra. Volume de brita implícito: 146 m3 de terra a 0,60–0,90 m correspondem a 162–243 m2, logo 40,6–60,8 m3 de brita a 0,25 m. A brita deve ter artigo próprio ou o PU deve refletir a composição, e a drenagem/enchimento da zona de árvores deve ser medida uma só vez (13.2.2 ou 13.3.x).</t>
  </si>
  <si>
    <t xml:space="preserve">Mínimo: se os 146 m3 já incluem a brita, a diferença de preço é (27 − 16) × 40,6 m3 ≈ 446 €. Máximo: se a brita não está medida, 60,8 m3 × 43 € ≈ 2.616 €. Além disso, o substrato de 60–90 cm sobre brita (13.2.2) não é compatível com covas de 1,20 m com drenagem própria (13.3.x) nas mesmas árvores: a drenagem e o enchimento estão especificados duas vezes.</t>
  </si>
  <si>
    <t xml:space="preserve">Separar a brita em artigo próprio (m3) com preço de mercado e clarificar se as covas de 13.3.x ficam dentro da zona de 13.2.2, retirando a drenagem/enchimento de um dos artigos.</t>
  </si>
  <si>
    <t xml:space="preserve">Os valores estão certos: 146 × 16 = 2.336 €; 888 × 16 = 14.208 €; o texto de 13.2.2 e de 13.3.x é o citado. Cálculos: 146 / 0,9 × 0,25 = 40,56 m3 → 446 €; 146 / 0,6 × 0,25 = 60,83 m3 × 43 = 2.616 €. Os 146 m3 são da mesma ordem que o volume das 80 covas (80 × 2,12 m3 ≈ 170 m3), o que reforça a sobreposição com o «enchimento de covas» de 13.3.x.</t>
  </si>
  <si>
    <t xml:space="preserve">13.3.1</t>
  </si>
  <si>
    <t xml:space="preserve">13.3.2, 13.3.3, 13.3.4, 13.3.5, 13.3.6, 13.3.7, 13.3.8</t>
  </si>
  <si>
    <t xml:space="preserve">Árvore envazada (Ap – Acer pseudoplatanus), P.A.P. 16/18, 4/4,50 m</t>
  </si>
  <si>
    <t xml:space="preserve">Árvores a 110–150 €/un com cova e plantação incluídas</t>
  </si>
  <si>
    <t xml:space="preserve">13.3.1 Acer pseudoplatanus «P.A.P. d=16/18cm», 4/4,50 m, com cova de Ø1,50 × 1,20 m, camada drenante de 0,20 m, composto e 1.ª rega – 15 UN × 120,00 € = 1.800,00 €. Restantes: 13.3.2 15 × 120 €; 13.3.3 1 × 150 €; 13.3.4 10 × 150 €; 13.3.6 13 × 130 € (todas PAP 16/18); 13.3.8 14 × 110 € (PAP 14/16); 13.3.5 5 × 120 € e 13.3.7 7 × 120 € (PAP 12/14). Total 13.3 = 9.920,00 € para 80 árvores (média 124 €/un).</t>
  </si>
  <si>
    <t xml:space="preserve">Mercado PT 2025-26 (planta em contentor + cova de ≈2,1 m3 + drenagem + composto + plantação + rega): PAP 16/18 ≈200–350 €/un; PAP 14/16 ≈180–300 €/un; PAP 12/14 (2–2,5 m, Ilex/Prunus laurocerasus) ≈120–220 €/un.</t>
  </si>
  <si>
    <t xml:space="preserve">O exemplar PAP 16/18 em contentor custa, por si, ≈120–200 € em viveiro. A cova de ≈2,1 m3 (π × 0,75² × 1,20) com escavação mecânica, remoção de terras, ≈0,35 m3 de brita e composto custa ≈50–90 €/árvore. 110–150 € não chega para planta e cova. Impacto = Σ(PU_ref − PU_mqt) × Qtd: 54 × 200 + 14 × 180 + 12 × 120 − 9.920 = 4.840 € (mín.); 54 × 350 + 14 × 300 + 12 × 220 − 9.920 = 15.820 € (máx.). Há ainda um erro de texto: «P.A.P. d=» mistura perímetro à altura do peito com diâmetro.</t>
  </si>
  <si>
    <t xml:space="preserve">Rever os PU de 13.3.1 a 13.3.8 para valores de mercado e corrigir para «P.A.P. 16/18 cm» (sem «d=»).</t>
  </si>
  <si>
    <t xml:space="preserve">Os números do MQT estão todos certos: 80 árvores (54 PAP 16/18, 14 PAP 14/16, 12 PAP 12/14) e 9.920 €. A conta com os valores do analista também estava certa (7.740 / 21.200). Corrigi a referência, que estava inflacionada: 80–150 €/árvore só para a cova é excessivo (com escavação mecânica de 2,1 m3 andará por 50–90 €), e o PAP 12/14 de 2–2,5 m (azevinho, louro-cerejo) é mais barato. Novo intervalo: 4.840–15.820 €.</t>
  </si>
  <si>
    <t xml:space="preserve">14 (OMISSÃO)</t>
  </si>
  <si>
    <t xml:space="preserve">14.1.1, 14.1.2, 14.1.3, 14.1.7, 14.1.8, 14.1.9, 7.9.9, 7.5.5, 11.14.1.1</t>
  </si>
  <si>
    <t xml:space="preserve">GESTÃO TÉCNICA CENTRALIZADA – engenharia, programação e colocação em serviço</t>
  </si>
  <si>
    <t xml:space="preserve">GTC sem programação, comissionamento nem formação</t>
  </si>
  <si>
    <t xml:space="preserve">O cap. 14 (35.665,70 €) só tem hardware e licenças (14.1–14.2), 3 sondas (14.3) e cabos (14.4). Não há artigo de engenharia/programação, de integração dos 500 pontos licenciados (14.1.7–14.1.9: 9 × 30 + 6 × 15 + 28 × 5), de parametrização, ensaios, colocação em serviço, formação ou telas finais.</t>
  </si>
  <si>
    <t xml:space="preserve">Outros sistemas do MQT têm este artigo: 7.9.9 «Configuração, ensaios, colocação em serviço e formação» 530,83 €; 7.5.5 «…parametrização e configuração do sistema, testes e colocação em serviço» 5.281,80 €; 7.13, 10.5.3 e 12.3 (telas finais). Mercado: programação e comissionamento ≈8–15 €/ponto integrado; formação e documentação 500–1.500 €.</t>
  </si>
  <si>
    <t xml:space="preserve">500 pontos × 8–15 € = 4.000–7.500 €, mais formação e telas 500–1.500 €, dá ≈4.500–9.000 €. Sem programação e integração, o hardware medido não faz uma GTC funcional, e o custo acabará em trabalhos a mais ou será diluído nos preços. O armário para o DDC não entra no impacto, porque pode estar no QEAC (11.14.1.1, UN conforme C.E.).</t>
  </si>
  <si>
    <t xml:space="preserve">Acrescentar ao cap. 14 artigos de engenharia/programação/integração, ensaios e colocação em serviço, formação e telas finais. Confirmar onde fica o DDC (QEAC ou armário próprio).</t>
  </si>
  <si>
    <t xml:space="preserve">Confirmei que o cap. 14 tem só 14.1.1–14.4.4, sem programação nem comissionamento, e que «parametriza», «Configura» e «formação» só aparecem em 7.5.5 (5.281,80 €) e 7.9.9 (530,83 €). Os 500 pontos estão certos (270 + 90 + 140). Retirei o armário DDC (800–2.000 €), porque o controlador pode ir no QEAC 11.14.1.1 (8.989,77 €, conforme C.E.) e não se prova que falte. Impacto revisto: 4.500–9.000 €.</t>
  </si>
  <si>
    <t xml:space="preserve">1 (OMISSÃO)</t>
  </si>
  <si>
    <t xml:space="preserve">3.17.11; 4.5.8; 5.4.6; 6.3.5; 7.13.2; 10.5.3.2; 12.3.2</t>
  </si>
  <si>
    <t xml:space="preserve">Compilação técnica da obra</t>
  </si>
  <si>
    <t xml:space="preserve">Sem artigo para os elementos da compilação técnica (DL 273/2003)</t>
  </si>
  <si>
    <t xml:space="preserve">O cap. 1 (1.1–1.7) não tem artigo para a compilação técnica. Nenhum artigo do MQT usa o termo 'compilação'. Há telas finais em 3.17.11 ('TELAS FINAIS GERAIS', 1.250 €) e nas especialidades (4.5.8, 5.4.6, 6.3.5, 7.13.2, 10.5.3.2, 12.3.2).</t>
  </si>
  <si>
    <t xml:space="preserve">DL 273/2003, art. 16.º: compilação técnica da obra, a cargo do Dono de Obra, com elementos fornecidos pelo executante (telas finais, fichas técnicas, manuais e garantias).</t>
  </si>
  <si>
    <t xml:space="preserve">Juntar e entregar os elementos do executante custa normalmente 1.500–3.000 €. As telas finais já estão pagas em 7 artigos e a entrega de fichas e manuais costuma ser uma obrigação geral do caderno de encargos, sem artigo próprio, por isso o custo adicional pode ser nulo. A obrigação legal é do Dono de Obra.</t>
  </si>
  <si>
    <t xml:space="preserve">Incluir no cap. 1 um artigo para o fornecimento dos elementos da compilação técnica, ou atribuí-lo expressamente no caderno de encargos.</t>
  </si>
  <si>
    <t xml:space="preserve">Pesquisa de 'compila' em todo o MQT: 0 ocorrências, confirmado. Pesquisa de 'telas finais': 3.17.11, 4.5.8, 5.4.6, 6.3.5, 7.13.2, 10.5.3.2 e 12.3.2, e não só 3.17.11, por isso no_mqt e artigos_relacionados foram corrigidos. Como grande parte dos elementos já está paga e o restante pode ser obrigação do caderno de encargos, a gravidade desce de MÉDIA para BAIXA e o impacto_min de 1.500 para 0.</t>
  </si>
  <si>
    <t xml:space="preserve">ESTALEIRO</t>
  </si>
  <si>
    <t xml:space="preserve">Estaleiro em 5,89% e Plano de Qualidade pago também em 1.2</t>
  </si>
  <si>
    <t xml:space="preserve">1 UN × 265.185,00 € = 265.185,00 € (5,89% do custo total de 4.499.642,08 €). O texto inclui 'andaimes com parapeitos, rodapés, redes plásticas' e 'Todos os trabalhos necessários à implementação do Plano de Qualidade, Planeamento e Gestão de Obra'. 1.2 tem como título 'IMPLEMENTAÇÃO DO PLANO DE QUALIDADE, PLANEAMENTO E GESTÃO DE OBRA'.</t>
  </si>
  <si>
    <t xml:space="preserve">Estaleiro entre 3% e 7% do custo, por isso 5,89% está dentro do intervalo. O Plano de Qualidade deve estar num só artigo. Os andaimes já estão em 1.1; confirmar que chegam a trabalhos a cerca de 10 m de altura.</t>
  </si>
  <si>
    <t xml:space="preserve">265.185 / 4.499.642,08 = 5,89%. O texto de 1.1 repete literalmente o título de 1.2.</t>
  </si>
  <si>
    <t xml:space="preserve">Retirar de 1.1 a referência ao Plano de Qualidade (ou fundir com 1.2) e confirmar a altura de trabalho dos andaimes.</t>
  </si>
  <si>
    <t xml:space="preserve">A soma dos 14 capítulos em CUSTO dá 4.499.642,08 €, confirmado. 265.185/4.499.642,08 = 5,894%. Os textos de 1.1 e 1.2 foram confirmados (repetição literal de 'Plano de Qualidade, Planeamento e Gestão de Obra').</t>
  </si>
  <si>
    <t xml:space="preserve">2.6.1; 2.5.1.1; 2.5.1.6; 2.3.14.1; 2.2.4</t>
  </si>
  <si>
    <t xml:space="preserve">ESTABILIDADE (totais de CUSTO)</t>
  </si>
  <si>
    <t xml:space="preserve">Total CUSTO diferente de Qtd × PU apresentado (arredondamentos)</t>
  </si>
  <si>
    <t xml:space="preserve">Em 18 artigos o TOTAL CUSTO difere de Qtd × PU CUSTO em mais de 0,50 €. Exemplos: 2.6.1 com 2.017,13 × 2,64 = 5.325,22 € e total de 5.329,66 €; 2.5.1.1 com 1.158,75 × 53,12 = 61.552,80 € e total de 61.549,16 €; 2.3.14.1 com 21.615,73 € e total de 21.617,37 €. O cap. 2 soma 1.651.924,53 € em CUSTO e 1.651.922,68 € em VENDA, com os mesmos PU.</t>
  </si>
  <si>
    <t xml:space="preserve">Total = Qtd × PU arredondado a 2 casas (o PU que fica contratualizado), calculado da mesma forma no CUSTO e na VENDA.</t>
  </si>
  <si>
    <t xml:space="preserve">Os totais de CUSTO foram calculados com PU com mais casas decimais escondidas. A diferença líquida no cap. 2 é de 1,85 € e a maior diferença individual é de 4,44 € (2.6.1). As colunas VENDA batem certo com Qtd × PU.</t>
  </si>
  <si>
    <t xml:space="preserve">Arredondar o PU (ARRED(...;2)) antes de multiplicar, no CUSTO e na VENDA.</t>
  </si>
  <si>
    <t xml:space="preserve">Recalculado em rows.json para todos os artigos 2.x com quantidade: 18 com |TOTAL CUSTO − Qtd × PU| &gt; 0,50; maior diferença 4,44 € em 2.6.1; soma das diferenças 1,86 € (1,85 € pela diferença dos totais do capítulo, 1.651.924,53 − 1.651.922,68); 0 divergências na coluna VENDA. Exemplos conferidos.</t>
  </si>
  <si>
    <t xml:space="preserve">2.1.4</t>
  </si>
  <si>
    <t xml:space="preserve">ATERRO BASE GRANULAR</t>
  </si>
  <si>
    <t xml:space="preserve">Brita 30/50 colocada e compactada a 25 €/m3</t>
  </si>
  <si>
    <t xml:space="preserve">72,14 m3 × 25,00 € = 1.803,50 € (brita 30/50, camada de 40 cm, cerca de 180,35 m2, compactação a 96% PM).</t>
  </si>
  <si>
    <t xml:space="preserve">30–38 €/m3 de brita 30/50 colocada e compactada (agregado a cerca de 1,8–1,9 t/m3 compactado, mais espalhamento e compactação).</t>
  </si>
  <si>
    <t xml:space="preserve">(30−25)×72,14 = 360,70 €; (38−25)×72,14 = 937,82 €.</t>
  </si>
  <si>
    <t xml:space="preserve">Rever o PU.</t>
  </si>
  <si>
    <t xml:space="preserve">Conferido: 72,14 × 25 = 1.803,50; 72,14/0,40 = 180,35 m2. Cálculos corretos. A referência é plausível: brita entregue a cerca de 15–20 €/t × 1,6–1,9 t/m3, mais espalhamento e compactação. O valor é baixo.</t>
  </si>
  <si>
    <t xml:space="preserve">Controlo por Proctor (LNEC E 197) inaplicável a brita 30/50</t>
  </si>
  <si>
    <t xml:space="preserve">Texto: 'brita 30/50 mm, e compactação a 96% do Proctor Modificado ... numa camada de 40 cm ... ensaio Proctor Modificado, realizado segundo LNEC E 197'.</t>
  </si>
  <si>
    <t xml:space="preserve">O ensaio LNEC E 197 (compactação de solos) aplica-se a material com fração grossa limitada (poucas partículas retidas no peneiro de 19 mm). Uma brita uniforme 30/50 não tem curva Proctor. O controlo deve ser por ensaio de carga em placa (Ev2/Ev1) ou por especificação de método (passagens, camadas de 30 cm no máximo).</t>
  </si>
  <si>
    <t xml:space="preserve">Toda a brita 30/50 fica retida no peneiro de 19 mm, por isso a exigência de '96% do Proctor Modificado' não pode ser verificada em obra.</t>
  </si>
  <si>
    <t xml:space="preserve">Substituir o critério de aceitação por ensaio de placa ou por especificação de método.</t>
  </si>
  <si>
    <t xml:space="preserve">Texto confirmado (linha Excel 31). A LNEC E 197 é o ensaio de compactação de solos, com material até 19 mm (e correção para uma fração grossa limitada). Uma brita 30/50 tem 100% retido no peneiro de 19 mm, por isso o critério não é verificável. Mantido apesar de ser NOVO, porque a incompatibilidade é objetiva.</t>
  </si>
  <si>
    <t xml:space="preserve">2.2.8</t>
  </si>
  <si>
    <t xml:space="preserve">SAPATAS ISOLADAS PROVISÓRIAS</t>
  </si>
  <si>
    <t xml:space="preserve">Sapatas provisórias sem demolição prevista e com hidrófugo desnecessário</t>
  </si>
  <si>
    <t xml:space="preserve">7,78 m3 × 316,04 € = 2.458,75 €. Texto: 'SAPATAS ISOLADAS PROVISÓRIAS ... C30/37, XC2 ... com incorporação de hidrófugo'. Não prevê demolição nem remoção no fim.</t>
  </si>
  <si>
    <t xml:space="preserve">Num elemento provisório, prever demolição e remoção (cerca de 60–120 €/m3 de betão armado, com transporte) ou declarar que fica perdido, e dispensar o hidrófugo.</t>
  </si>
  <si>
    <t xml:space="preserve">7,78 × 60–120 €/m3 = 466,80–933,60 € se for preciso demolir. Se as sapatas ficarem perdidas sob o pavimento, o custo é nulo. Nenhum artigo dos caps. 1–3 trata a demolição destas sapatas (os artigos 3.1.x referem-se a construções existentes).</t>
  </si>
  <si>
    <t xml:space="preserve">Acrescentar ao texto a demolição/remoção (ou declarar que fica perdida) e retirar o hidrófugo.</t>
  </si>
  <si>
    <t xml:space="preserve">Texto confirmado (linha Excel 52): 'PROVISÓRIAS' com hidrófugo e sem demolição. q=7,78, PU 316,04, total CUSTO 2.458,75. A própria ação admite 'declarar que fica perdida', que é comum para sapatas provisórias enterradas, por isso impacto_min passa de 466,80 a 0. Mantido apesar de ser NOVO, porque a lacuna textual é objetiva.</t>
  </si>
  <si>
    <t xml:space="preserve">2.2.9</t>
  </si>
  <si>
    <t xml:space="preserve">PRANCHÕES MADEIRA</t>
  </si>
  <si>
    <t xml:space="preserve">Classe ME-1 (resinosas) aplicada a eucalipto</t>
  </si>
  <si>
    <t xml:space="preserve">334,97 m2 × 52,50 € = 17.585,93 €. Texto: 'PRANCHÕES MADEIRA em Eucalipto com 8cm de espessura, da classe ME-1; D-40'.</t>
  </si>
  <si>
    <t xml:space="preserve">A ME-1 é uma classe visual da UNE 56544, que só se aplica a resinosas. O eucalipto é uma folhosa, com classificação visual por norma própria (por exemplo, UNE 56546), e a classe D40 atribui-se pela EN 1912/EN 338. Especificar 'Eucalyptus globulus, classe resistente D40 (EN 338)'.</t>
  </si>
  <si>
    <t xml:space="preserve">Pesquisa: a UNE 56544 (coníferas) define ME-1 e ME-2; as folhosas têm a UNE 56546. O achado original atribuía a ME-1 à NP 4305, o que está errado (a NP 4305 é para pinho bravo e tem classes próprias). A conclusão mantém-se: a ME-1 não se aplica a eucalipto. Como a classe resistente D40, que é o parâmetro de cálculo, está indicada, a incoerência é apenas formal.</t>
  </si>
  <si>
    <t xml:space="preserve">Corrigir a especificação para D40 (EN 338) com a norma de classificação visual de folhosas.</t>
  </si>
  <si>
    <t xml:space="preserve">Texto e valor confirmados (linha Excel 54). A incoerência normativa é real, mas a classe resistente D40, que é a que interessa ao dimensionamento de pranchões provisórios, está explícita. Gravidade corrigida de MÉDIA para BAIXA.</t>
  </si>
  <si>
    <t xml:space="preserve">2.4.5</t>
  </si>
  <si>
    <t xml:space="preserve">2.4.1; 2.4.2</t>
  </si>
  <si>
    <t xml:space="preserve">MADRES</t>
  </si>
  <si>
    <t xml:space="preserve">Madres 280GD sem tipo e massa de revestimento metálico especificados</t>
  </si>
  <si>
    <t xml:space="preserve">2.4.5.1 C 170x60x20x1.8: 5.672,04 kg × 2,75 €. 2.4.5.2 L40x40x1,5: 236,89 kg × 3,82 €. Total 16.503,03 €. Texto: 'aço ... enformado a frio, de classe de resistência 280GD', sem revestimento indicado (2.4.1 e 2.4.2 especificam pintura C3).</t>
  </si>
  <si>
    <t xml:space="preserve">S280GD+Z275 (ou outra massa e tipo de revestimento adequado à classe de corrosividade, NP EN 10346) ou um esquema de pintura (EN ISO 12944).</t>
  </si>
  <si>
    <t xml:space="preserve">A designação S280GD da NP EN 10346 já corresponde a chapa revestida em contínuo por imersão a quente, por isso o aço é implicitamente revestido. Faltam o tipo e a massa do revestimento (por exemplo +Z275), que definem a durabilidade de perfis de 1,5–1,8 mm. O PU de 2,75 €/kg é compatível com perfil galvanizado de série.</t>
  </si>
  <si>
    <t xml:space="preserve">Completar a designação com o tipo e a massa do revestimento (por exemplo S280GD+Z275).</t>
  </si>
  <si>
    <t xml:space="preserve">Valores conferidos: 5.672,04 × 2,75 = 15.598,11 e 236,89 × 3,82 = 904,92, total 16.503,03. O texto diz '280GD' sem sufixo de revestimento. Foi corrigida a fundamentação: o 'GD' (NP EN 10346) designa um produto revestido por imersão a quente, por isso não é verdade que não haja proteção. Falta apenas a especificação +Z/+ZM e a massa. Título, referência e estado ajustados.</t>
  </si>
  <si>
    <t xml:space="preserve">6.2.11; 6.2.12; 6.3.1</t>
  </si>
  <si>
    <t xml:space="preserve">Descargas do dreno de tardoz: confirmar caixas no cap. 6</t>
  </si>
  <si>
    <t xml:space="preserve">244,57 ml × 20,32 € = 4.969,17 €. O texto não fala de caixas nem de ligação à rede.</t>
  </si>
  <si>
    <t xml:space="preserve">Pontos de descarga ligados à rede pluvial por caixas de visita ou de limpeza. O cap. 6 tem caixas (6.2.11: 24 UN; 6.2.12: 15 UN) e uma ligação a caixa existente (6.3.1); falta confirmar que incluem as descargas deste dreno.</t>
  </si>
  <si>
    <t xml:space="preserve">A omissão não é evidente: as caixas e as ligações existem no cap. 6. Só falta confirmar em desenho que correspondem a este dreno.</t>
  </si>
  <si>
    <t xml:space="preserve">Confirmar a correspondência nos desenhos de drenagem.</t>
  </si>
  <si>
    <t xml:space="preserve">Conferido: 6.2.11.1–6 somam 1 + 1 + 18 + 1 + 2 + 1 = 24 UN; 6.2.12.1–3 somam 10 + 2 + 3 = 15 UN; 6.3.1 1 UN × 700 €. O texto de 2.6.5 não refere caixas. Está bem classificado como verificação.</t>
  </si>
  <si>
    <t xml:space="preserve">2.6.6</t>
  </si>
  <si>
    <t xml:space="preserve">3.4.2; 2.6.1</t>
  </si>
  <si>
    <t xml:space="preserve">SISTEMA DE DRENAGEM E IMPERMEABILIZAÇÃO NO TARDOZ NOS MUROS DE SUPORTE E PAREDES DE CONTENÇÃO</t>
  </si>
  <si>
    <t xml:space="preserve">XPS descrito no sistema de tardoz e pago à parte em 3.4.2</t>
  </si>
  <si>
    <t xml:space="preserve">1.085,80 m2 × 17,65 € = 19.163,28 €. Texto: 'Em zonas que necessitem isolamento térmico, dever-se-ão aplicar placas de poliestireno extrudido entre a membrana ... e a camada drenante'. 3.4.2: XPS 50 mm 'em muros de contenção de terras', 637 m2 × 7,75 € = 4.936,75 €.</t>
  </si>
  <si>
    <t xml:space="preserve">Retirar o XPS do texto de 2.6.6 e remeter para 3.4.2.</t>
  </si>
  <si>
    <t xml:space="preserve">Primário, membrana SBS soldada e membrana drenante HDPE valem cerca de 15–20 €/m2. Os 17,65 €/m2 não comportam também o XPS (7,75 €/m2 em 3.4.2), por isso não há duplicação no CUSTO. Ainda assim, o texto deixa um concorrente cobrar o XPS duas vezes: até −4.936,75 €.</t>
  </si>
  <si>
    <t xml:space="preserve">Corrigir o texto de 2.6.6 com uma remissão para 3.4.2.</t>
  </si>
  <si>
    <t xml:space="preserve">Conferido: 2.6.6 total CUSTO 19.163,28 (Qtd × PU = 19.164,37). Texto com 'poliestireno extrudido' confirmado. 3.4.2 (linha Excel 263): 'XPS de 50mm ... em muros de contenção de terras', 637 × 7,75 = 4.936,75. Não há outro XPS em muros, porque os outros XPS são de cobertura (80 mm) e de paredes exteriores.</t>
  </si>
  <si>
    <t xml:space="preserve">3.3.1.1; 3.9.1.1.1; 3.9.2.5; 3.9.2.8; 3.15.4.5</t>
  </si>
  <si>
    <t xml:space="preserve">ARQUITETURA (totais)</t>
  </si>
  <si>
    <t xml:space="preserve">Totais de custo com PU ocultos; difere da venda</t>
  </si>
  <si>
    <t xml:space="preserve">Total do cap. 3: custo 1 586 732,18 € contra venda 1 586 722,05 € com PU iguais. Exemplos: 3.9.2.8: 2 538 × 50,18 = 127 356,84 €, mas o custo mostra 127 363,19 € (+6,35); 3.9.1.1.1: 100 182,41 € contra 100 177,00 € (+5,41); 3.15.4.5: 5 963,38 € contra 5 967,00 € (−3,62). Há 59 linhas do cap. 3 com Total de custo ≠ Qtd × PU (diferença ≥ 0,01 €), 47 delas com diferença &gt; 0,05 €.</t>
  </si>
  <si>
    <t xml:space="preserve">Total = Qtd × PU tal como apresentado (PU arredondado a 2 casas), igual nas duas colunas.</t>
  </si>
  <si>
    <t xml:space="preserve">Os PU de custo têm decimais ocultos, pelo que o total de custo excede em 10,13 € o resultado de Qtd × PU visível (1 586 722,05 €, igual ao total de venda). Erro aritmético de arredondamento, sem expressão económica relevante.</t>
  </si>
  <si>
    <t xml:space="preserve">Arredondar os PU de custo a 2 casas antes de multiplicar (ROUND) e recalcular os totais.</t>
  </si>
  <si>
    <t xml:space="preserve">Recalculado em rows.json para as 236 linhas com quantidade do cap. 3: soma do custo = 1 586 732,18 €; Σ Qtd × PU = 1 586 722,05 €, igual à venda; diferença de 10,13 €. Os três exemplos foram confirmados. A contagem de linhas estava errada: são 59 linhas com diferença ≥ 0,01 € (56 &gt; 0,01 €; 47 &gt; 0,05 €), não 48.</t>
  </si>
  <si>
    <t xml:space="preserve">3.1.3.3</t>
  </si>
  <si>
    <t xml:space="preserve">3.1.3.1; 3.1.3.2</t>
  </si>
  <si>
    <t xml:space="preserve">Escadas Existentes (demolição)</t>
  </si>
  <si>
    <t xml:space="preserve">Demolir escadas ao mesmo preço que pavimento plano</t>
  </si>
  <si>
    <t xml:space="preserve">3.1.3.3 | m2 | 130 | 8,00 € | 1 040,00 €, o mesmo PU de 3.1.3.1 e 3.1.3.2 (pavimentos), com carga manual, transporte e vazadouro.</t>
  </si>
  <si>
    <t xml:space="preserve">25–50 €/m²: escadas de betão têm ≈0,2–0,3 m³ por m² em planta.</t>
  </si>
  <si>
    <t xml:space="preserve">(25−8)×130 = 2 210 €; (50−8)×130 = 5 460 €.</t>
  </si>
  <si>
    <t xml:space="preserve">Rever o PU ou medir em m³.</t>
  </si>
  <si>
    <t xml:space="preserve">Valores confirmados (130 m² × 8 € = 1 040 €; 3.1.3.1 e 3.1.3.2 também a 8 €). Cálculo correto.</t>
  </si>
  <si>
    <t xml:space="preserve">3.3.2</t>
  </si>
  <si>
    <t xml:space="preserve">3.3.2.1; 3.3.2.2; 3.5.2; 3.3.1; 3.3.5; 11.11; 11.14.4.4</t>
  </si>
  <si>
    <t xml:space="preserve">COB. TIPO 02 (claraboias em painel sandwich)</t>
  </si>
  <si>
    <t xml:space="preserve">'Claraboias' em painel opaco, mais caras 7,10 €/m2 que o 3.3.1</t>
  </si>
  <si>
    <t xml:space="preserve">3.3.2.1 | m2 | 128 | 78,93 € | 10 102,74 €; 3.3.2.2 | m2 | 39 | 78,93 € | 3 078,18 €. Texto: «cobertura em claraboias em painel sandwich tipo FTB PC 1000 acústico com 100mm» (o mesmo painel do 3.3.1, a 71,83 €). O 3.3.5 (COB.05, painel de 100 mm com subestrutura e Imperkote) tem também o PU de 78,93 €. Os exutores do 11.11 (SMOKEJET ...-PCO) e o 11.14.4.4 referem a «claraboia de desenfumagem».</t>
  </si>
  <si>
    <t xml:space="preserve">Descrição que identifique a claraboia como volume em painel opaco onde assentam os exutores de desenfumagem (11.11), com os remates próprios. Se houver outro elemento translúcido, medi-lo. Justificar o sobrecusto face ao 3.3.1 (remates e geometria) ou aplicar o mesmo PU (71,83 €/m²).</t>
  </si>
  <si>
    <t xml:space="preserve">Painel com descrição igual à do 3.3.1, mas com PU superior: (71,83−78,93)×167 m² = −1 185,70 €. O 11.14.4.4 fala em «claraboia de desenfumagem», o que indica que as 'claraboias' são os volumes que recebem os exutores (com elemento PCO no 11.11). A designação não é necessariamente um erro, mas o artigo não o explica. O sobrecusto pode justificar-se pela geometria e pelos remates.</t>
  </si>
  <si>
    <t xml:space="preserve">Esclarecer na descrição a relação com os exutores do 11.11 e justificar ou harmonizar o PU.</t>
  </si>
  <si>
    <t xml:space="preserve">Números confirmados (128 e 39 m² a 78,93 €; 10 102,74 € e 3 078,18 €; ΔPU × 167 = −1 185,70 €). Foi retirada a afirmação de que não há nenhum elemento translúcido ou de claraboia no MQT: os exutores do 11.11 (SMOKEJET-...-PCO, 8 RD2 + 8 RD1) e o 11.14.4.4 («claraboia de desenfumagem») mostram que as claraboias estão associadas à desenfumagem. O 3.3.5 também está a 78,93 €. Gravidade passa de MÉDIA para BAIXA.</t>
  </si>
  <si>
    <t xml:space="preserve">3.4.2</t>
  </si>
  <si>
    <t xml:space="preserve">ISOLAMENTO TÉRMICO XPS 50MM (muros de contenção)</t>
  </si>
  <si>
    <t xml:space="preserve">XPS dos muros de contenção também previsto no sistema 2.6.6</t>
  </si>
  <si>
    <t xml:space="preserve">3.4.2 | m2 | 637 | 7,75 € | 4 936,75 €. O art. 2.6.6 (sistema de drenagem e impermeabilização no tardoz, 1 085,8 m² a 17,65 €) diz «Em zonas que necessitem isolamento térmico, dever-se-ão aplicar placas de poliestireno extrudido entre a membrana de impermeabilização e a camada drenante».</t>
  </si>
  <si>
    <t xml:space="preserve">XPS dos muros enterrados pago num só artigo, com a fronteira explícita entre os capítulos 2 e 3.</t>
  </si>
  <si>
    <t xml:space="preserve">O mesmo material, no mesmo local (tardoz de muros de contenção), é descrito no 2.6.6 e medido no 3.4.2. O PU do 2.6.6 (17,65 €/m² para primário, membrana SBS e camada drenante HDPE) dificilmente inclui o XPS, pelo que a dupla faturação efetiva é pouco provável. O risco é sobretudo contratual (ambiguidade). Duplicação máxima: −4 936,75 €.</t>
  </si>
  <si>
    <t xml:space="preserve">Retirar o XPS da descrição do 2.6.6 ou anular o 3.4.2.</t>
  </si>
  <si>
    <t xml:space="preserve">Os dois textos foram confirmados em rows.json (o 2.6.6 inclui XPS 'em zonas que necessitem'), tal como os valores (637 × 7,75 = 4 936,75 €; 1 085,8 m² a 17,65 €). A sobreposição textual é real, mas o PU do 2.6.6 não parece incluir o XPS. Tipo passa de DUPLICAÇÃO para INCOERÊNCIA e gravidade de MÉDIA para BAIXA. O intervalo mantém-se. [Consolidação: impacto contabilizado em 2.6.6 para não contar duas vezes.]</t>
  </si>
  <si>
    <t xml:space="preserve">3.4.6</t>
  </si>
  <si>
    <t xml:space="preserve">3.4.6.1; 3.9.1.3.1; 3.16.1.8</t>
  </si>
  <si>
    <t xml:space="preserve">IMPERMEBILIZAÇÃO DE ZONAS DE BANHO – Balneários</t>
  </si>
  <si>
    <t xml:space="preserve">60 m2 impermeabilizados para 177 m2 de balneários e 32 duches</t>
  </si>
  <si>
    <t xml:space="preserve">3.4.6.1 Balneários | m2 | 60 | 16,00 € | 960,00 €. O pavimento dos balneários A.1.9 e A.1.10 (3.9.1.3.1) tem 177 m². Há 32 misturadoras de duche (3.16.1.8).</t>
  </si>
  <si>
    <t xml:space="preserve">Impermeabilizar todo o pavimento dos balneários (≈177 m²), com remate em rodapé, por serem zonas totalmente molhadas e drenadas por canal linear.</t>
  </si>
  <si>
    <t xml:space="preserve">(177−60)×16,00 = 1 872 €. 60 m² cobre apenas as zonas de duche (≈1,9 m² por duche).</t>
  </si>
  <si>
    <t xml:space="preserve">Confirmar no pormenor de arquitetura a área a impermeabilizar e corrigir a medição.</t>
  </si>
  <si>
    <t xml:space="preserve">Confirmados os valores 3.4.6.1 (60 m² × 16 = 960 €), 3.9.1.3.1 (177 m², A.1.9; A.1.10) e 3.16.1.8 (32 UN). O cálculo de impacto está correto. Fica bem classificado como VERIFICAR.</t>
  </si>
  <si>
    <t xml:space="preserve">3.5</t>
  </si>
  <si>
    <t xml:space="preserve">3.1.3; 3.1.4; 3.1.4.1; 3.4.6; 3.9.2.8; 3.9.2.9; 3.9.2.13; 3.10.3; 3.10.5; 3.12.3; 3.13.9; 3.16.1.14.1; 3.16.1.16; 3.17.1; 3.17.6.1.1</t>
  </si>
  <si>
    <t xml:space="preserve">PAREDES EXTERIOES (e outros títulos/descrições do cap. 3)</t>
  </si>
  <si>
    <t xml:space="preserve">Erros ortográficos e de texto em títulos e descrições</t>
  </si>
  <si>
    <t xml:space="preserve">«PAREDES EXTERIOES» (3.5); «repetivo» (3.1.3, 3.1.4, 3.1.5, 3.1.7); «Muro de vedação vedação» (3.1.4.1); «IMPERMEBILIZAÇÃO» (3.4.6); «betuiminosa» (3.9.2.8, 3.9.2.9); «EXSITENTES» (3.9.2.13); «CELENIT/CELINIT» (3.10.3); «resultates» (3.10.5); «CAÇIFOS» (3.12.3); «suoporte», «Aragamassa», «Tubularares», «batão» (3.13.9); «instalção» (3.16.1.14.1); «fixado è parede» (3.16.1.16/17); «PRÉBRICADO» (3.17.1); «Gimanodesportivo» (3.17.6.1.1); «epessura» (3.9.1.6, 3.9.2.3).</t>
  </si>
  <si>
    <t xml:space="preserve">Texto revisto (exteriores, respetivo, impermeabilização, betuminosa, existentes, Celenit, resultantes, cacifos, suporte, argamassa, tubulares, betão, instalação, à parede, pré-fabricado, gimnodesportivo, espessura).</t>
  </si>
  <si>
    <t xml:space="preserve">Erros de texto que não afetam o custo mas reduzem a clareza contratual. As marcas mal escritas (Celinit) podem gerar dúvidas na equivalência.</t>
  </si>
  <si>
    <t xml:space="preserve">Fazer uma revisão ortográfica do capítulo 3.</t>
  </si>
  <si>
    <t xml:space="preserve">Todas as ocorrências foram confirmadas por pesquisa exata em rows.json, nos artigos indicados.</t>
  </si>
  <si>
    <t xml:space="preserve">3.8.5</t>
  </si>
  <si>
    <t xml:space="preserve">3.10.2; 3.8.3; 3.10.1</t>
  </si>
  <si>
    <t xml:space="preserve">REV. ACU CHAPA ONDULADA PERFURADA PA I.09</t>
  </si>
  <si>
    <t xml:space="preserve">Mesmo revestimento perfurado a 61,51 €/m2 e a 96,58 €/m2</t>
  </si>
  <si>
    <t xml:space="preserve">3.8.5 | m2 | 76 | 61,51 € | 4 674,76 € e 3.10.2 | m2 | 42 | 96,58 € | 4 056,36 €. Ambos com o texto «paineis de revestimento acústico de paredes em chapa de alumínio lacada microperfurada e de subestrutura de aço galvanizado».</t>
  </si>
  <si>
    <t xml:space="preserve">Mesmo PU para a mesma especificação, ou descrição diferenciada (parede vs teto suspenso) que justifique a diferença de 57 %.</t>
  </si>
  <si>
    <t xml:space="preserve">Se o PU correto for o do teto: (96,58−61,51)×76 = 2 665,32 €. O cenário inverso está quantificado no achado 3.10.2.</t>
  </si>
  <si>
    <t xml:space="preserve">Harmonizar os PU ou diferenciar as descrições.</t>
  </si>
  <si>
    <t xml:space="preserve">Os textos são idênticos e os valores estão confirmados. 96,58/61,51 = 1,57. O cálculo de 2 665,32 € está correto. Não se conta duas vezes, porque o 3.10.2 tem o cenário inverso.</t>
  </si>
  <si>
    <t xml:space="preserve">3.8.7</t>
  </si>
  <si>
    <t xml:space="preserve">3.11.1.1 a 3.11.1.5</t>
  </si>
  <si>
    <t xml:space="preserve">GUARNIÇÕES EM MADEIRA (VÃOS)</t>
  </si>
  <si>
    <t xml:space="preserve">60 ml de guarnições para 18 portas de madeira</t>
  </si>
  <si>
    <t xml:space="preserve">3.8.7 | ml | 60 | 50,00 € | 3 000,00 €. As portas de carpintaria são 2+2+2+6+4+2 = 18 UN (3.11.1), e as descrições das portas não incluem guarnições.</t>
  </si>
  <si>
    <t xml:space="preserve">≈10,4–11 ml por porta (2 faces × (2×2,16 + 0,90)), ou seja ≈185 ml para 18 portas, ou ≈106 ml sem as 8 portas elevadas de I.S.</t>
  </si>
  <si>
    <t xml:space="preserve">(185−60)×50 = 6 250 €. A medição atual cobre apenas ≈6 portas numa face ou ≈3 em ambas.</t>
  </si>
  <si>
    <t xml:space="preserve">Confirmar no mapa de vãos que portas levam guarnição e corrigir a medição.</t>
  </si>
  <si>
    <t xml:space="preserve">Contagem de portas de carpintaria confirmada (2+2+2+6+4+2 = 18) e valores de 60 ml × 50 € confirmados. Cálculo correto. Fica bem classificado como VERIFICAR, com mínimo de 0 €.</t>
  </si>
  <si>
    <t xml:space="preserve">3.9.1.4.1</t>
  </si>
  <si>
    <t xml:space="preserve">3.9.2.1.1; 2.6.4.2; 3.9.2.4</t>
  </si>
  <si>
    <t xml:space="preserve">Piso 02 - degrau de remate em bancadas interiores</t>
  </si>
  <si>
    <t xml:space="preserve">Degrau de remate medido em m2 a 145 €; sobrepõe-se a 2.6.4.2</t>
  </si>
  <si>
    <t xml:space="preserve">3.9.1.4.1 | m2 | 20 | 145,00 € | 2 900,00 €; 3.9.2.1.1 | m2 | 18 | 145,00 € | 2 610,00 €. A mesma família 'lajes préfabricadas ACL' custa 30,50 €/m² em 3.9.2.4. Em 2.6.4.2 há uma «Peça remate 0,40x0,08» | ml | 14 | 99,40 €.</t>
  </si>
  <si>
    <t xml:space="preserve">Elemento linear medido em ml com secção definida. Confirmar se o remate da bancada já está pago em 2.6.4.2 (estrutura).</t>
  </si>
  <si>
    <t xml:space="preserve">Unidade de medida inadequada para um degrau. O PU é 4,75 vezes o de lajetas da mesma família e existe uma peça de remate da bancada no cap. 2. Não quantificável sem desenho.</t>
  </si>
  <si>
    <t xml:space="preserve">Converter para ml com a secção da peça e confirmar a fronteira com o art. 2.6.4.2.</t>
  </si>
  <si>
    <t xml:space="preserve">Valores confirmados (20 m² e 18 m² a 145 €; 3.9.2.4 a 30,50 €, ou seja 4,75×; 2.6.4.2 com 14 ml a 99,40 €). Fica bem classificado como VERIFICAR, sem impacto.</t>
  </si>
  <si>
    <t xml:space="preserve">3.9.1.5</t>
  </si>
  <si>
    <t xml:space="preserve">3.9.2.2; 2.6.4.3</t>
  </si>
  <si>
    <t xml:space="preserve">DEGRAUS DE ESCADA DE BANCADA INT. (e EXT. 3.9.2.2)</t>
  </si>
  <si>
    <t xml:space="preserve">Degraus pré-fabricados das bancadas também no 2.6.4.3?</t>
  </si>
  <si>
    <t xml:space="preserve">3.9.1.5 | UN | 14 | 100,00 € | 1 400,00 €; 3.9.2.2 | UN | 6 | 100,00 € | 600,00 € (degraus pré-fabricados de betão 110x30x19). O 2.6.4 Bancadas inclui o 2.6.4.3 «Degraus» | UN | 92 | 106,00 €.</t>
  </si>
  <si>
    <t xml:space="preserve">Degraus de bancada medidos num só capítulo.</t>
  </si>
  <si>
    <t xml:space="preserve">O mesmo tipo de elemento (degrau pré-fabricado de betão em bancada), com PU quase igual (100 vs 106 €), aparece no cap. 2 e no cap. 3. Se os 20 degraus estiverem incluídos nos 92: −2 000 €. Os 92 degraus do 2.6.4.3 podem corresponder a outros degraus (por exemplo, os patamares das bancadas), pelo que a sobreposição não está provada.</t>
  </si>
  <si>
    <t xml:space="preserve">Confirmar com a estabilidade e a arquitetura a fronteira entre os artigos.</t>
  </si>
  <si>
    <t xml:space="preserve">Valores confirmados (14 e 6 UN a 100 €; 2.6.4.3 com 92 UN a 106 €, no 2.6.4, cuja descrição é de vigas de bancada). A sobreposição é apenas possível, e o próprio analista diz «a confirmar». Tipo passa de DUPLICAÇÃO para VERIFICAR. O intervalo mantém-se. [Consolidação: impacto contabilizado em 2.6.4.3 para não contar duas vezes.]</t>
  </si>
  <si>
    <t xml:space="preserve">3.10.2</t>
  </si>
  <si>
    <t xml:space="preserve">3.8.5; 3.10.1</t>
  </si>
  <si>
    <t xml:space="preserve">REV. ACU CHAPA ONDULADA PERFURADA (tetos)</t>
  </si>
  <si>
    <t xml:space="preserve">Artigo de tetos descreve 'paredes' e custa mais 57%</t>
  </si>
  <si>
    <t xml:space="preserve">3.10.2 | m2 | 42 | 96,58 € | 4 056,36 €. Texto: «paineis de revestimento acústico de paredes em chapa de alumínio lacada microperfurada», no capítulo 3.10 TETOS. A parede equivalente (3.8.5) custa 61,51 €.</t>
  </si>
  <si>
    <t xml:space="preserve">Descrição de teto (suspensão, perfis, alçapões) ou PU igual ao do 3.8.5.</t>
  </si>
  <si>
    <t xml:space="preserve">Se o PU for harmonizado com o da parede: (61,51−96,58)×42 = −1 472,94 €.</t>
  </si>
  <si>
    <t xml:space="preserve">Corrigir a descrição para teto e justificar ou harmonizar o PU.</t>
  </si>
  <si>
    <t xml:space="preserve">Confirmado o texto «de paredes» no artigo de tetos e os valores 42 × 96,58 = 4 056,36 €. Cálculo correto. Um teto suspenso pode justificar parte do sobrecusto, por isso o intervalo até 0 € é adequado.</t>
  </si>
  <si>
    <t xml:space="preserve">3.11.2.1</t>
  </si>
  <si>
    <t xml:space="preserve">3.11.2.15; 3.11.2.8; 3.11.2.12.1</t>
  </si>
  <si>
    <t xml:space="preserve">VE.C.02 (1,63 x 1,10 m)</t>
  </si>
  <si>
    <t xml:space="preserve">Caixilho fixo com corte térmico e vidro laminado a 263 €/m2</t>
  </si>
  <si>
    <t xml:space="preserve">3.11.2.1 | UN | 2 | 471,36 € | 942,72 €: 1,793 m² com Navarra 18200 RPT, vidro duplo SunGuard + laminado e soleira em chapa quinada, ou seja 262,9 €/m².</t>
  </si>
  <si>
    <t xml:space="preserve">≈396–530 €/m², que é o intervalo dos fixos exteriores no próprio MQT (VE.2.07 396,0 €/m²; VE.2.02 433,7 €/m²; VE.1.05 532,1 €/m²). Vãos pequenos tendem a ter custo por m² superior.</t>
  </si>
  <si>
    <t xml:space="preserve">(396×1,793−471,36)×2 = 477,34 €; (530×1,793−471,36)×2 = 957,90 €. É o PU por m² mais baixo de toda a caixilharia exterior.</t>
  </si>
  <si>
    <t xml:space="preserve">Confirmado: 1,63 × 1,10 = 1,793 m² e 471,36/1,793 = 262,9 €/m², o mais baixo da caixilharia exterior. Porém, o VE.2.07 (3.11.2.12.1, 2 fixas + basculante) sai a 396,0 €/m², abaixo do limite inferior de 430 € usado. O intervalo de referência passa a 396–530 €/m² e o impacto mínimo a 477,34 €.</t>
  </si>
  <si>
    <t xml:space="preserve">3.11.2.5.1</t>
  </si>
  <si>
    <t xml:space="preserve">3.11.2.5.2; 3.11.2.5.3</t>
  </si>
  <si>
    <t xml:space="preserve">VE.1.04 com 1,50x2,16 (porta TRIA SISAF ASN1)</t>
  </si>
  <si>
    <t xml:space="preserve">Mesma porta e dimensão com dois preços unitários</t>
  </si>
  <si>
    <t xml:space="preserve">3.11.2.5.1 VE.1.04 1,50x2,16 | UN | 1 | 2 388,80 €; 3.11.2.5.2 VE.1.09 1,50x2,16 | 2 532,00 €; 3.11.2.5.3 VE.1.10 1,50x2,16 | 2 532,00 €. Mesmo artigo-mãe e mesma especificação.</t>
  </si>
  <si>
    <t xml:space="preserve">PU único para portas iguais.</t>
  </si>
  <si>
    <t xml:space="preserve">Harmonizando por baixo: (2 388,80−2 532)×2 = −286,40 €. Por cima: +143,20 €.</t>
  </si>
  <si>
    <t xml:space="preserve">Uniformizar o PU ou diferenciar a descrição.</t>
  </si>
  <si>
    <t xml:space="preserve">Valores confirmados. Os subartigos não têm texto diferenciador. Cálculos corretos.</t>
  </si>
  <si>
    <t xml:space="preserve">3.11.2.16.1</t>
  </si>
  <si>
    <t xml:space="preserve">3.11.2.16.2</t>
  </si>
  <si>
    <t xml:space="preserve">VI.1.01 com 0,98x2,16 (porta TRIA ISN 1)</t>
  </si>
  <si>
    <t xml:space="preserve">Mesma porta interior a 1 204 € e a 1 044,80 €</t>
  </si>
  <si>
    <t xml:space="preserve">3.11.2.16.1 VI.1.01 0,98x2,16 | UN | 3 | 1 204,00 € | 3 612,00 €; 3.11.2.16.2 VI.2.01 0,98x2,16 | UN | 1 | 1 044,80 €. Mesmo artigo-mãe e mesma especificação.</t>
  </si>
  <si>
    <t xml:space="preserve">Harmonizando por baixo: (1 044,80−1 204)×3 = −477,60 €. Por cima: +159,20 €.</t>
  </si>
  <si>
    <t xml:space="preserve">Uniformizar o PU.</t>
  </si>
  <si>
    <t xml:space="preserve">Valores confirmados (3 × 1 204 = 3 612 €; 1 × 1 044,80 €). Mesmo artigo-mãe. Cálculos corretos.</t>
  </si>
  <si>
    <t xml:space="preserve">3.11.2.17.2</t>
  </si>
  <si>
    <t xml:space="preserve">nota 05</t>
  </si>
  <si>
    <t xml:space="preserve">VI.2.03 com 1,06x2,16 (inclui visor de Ø35mm)</t>
  </si>
  <si>
    <t xml:space="preserve">Vão VI.2.03 orçado, mas a nota 05 diz que não existe</t>
  </si>
  <si>
    <t xml:space="preserve">3.11.2.17.2 VI.2.03 | UN | 1 | 1 481,60 € | 1 481,60 €. A nota 05 diz: «não existem os seguintes números: ... VI 2.03 ...».</t>
  </si>
  <si>
    <t xml:space="preserve">Coerência entre o mapa de vãos, a nota 05 e as medições.</t>
  </si>
  <si>
    <t xml:space="preserve">Contradição direta no MQT. Se o vão não existir: −1 481,60 €.</t>
  </si>
  <si>
    <t xml:space="preserve">Confirmar no mapa de vãos e corrigir a nota ou o artigo.</t>
  </si>
  <si>
    <t xml:space="preserve">Confirmado em rows.json: a nota 05 lista «VI 2.03» como inexistente e o 3.11.2.17.2 orça VI.2.03 a 1 481,60 €.</t>
  </si>
  <si>
    <t xml:space="preserve">3.11.2.19</t>
  </si>
  <si>
    <t xml:space="preserve">10.1.9; 10.1.10</t>
  </si>
  <si>
    <t xml:space="preserve">Porta CF metálica 1 folha TRIA SISAF ES1 c/ retentor GEZE</t>
  </si>
  <si>
    <t xml:space="preserve">Retentores GEZE pagos na porta e de novo em 10.1.9</t>
  </si>
  <si>
    <t xml:space="preserve">3.11.2.19 (3 portas: VI.CF.1.02 2 208,00 €; VI.CF.1.07 2 208,00 €; VI.CF.2.04 1 371,20 €): «Inclui ainda Retentor eletromagnético de parede tipo GEZE, modelo 155570 24 vts Dc». 10.1.9 Retentores Electromagnéticos | UN | 2 | 77,63 € | 155,26 €.</t>
  </si>
  <si>
    <t xml:space="preserve">Retentor pago uma só vez: na serralharia ou no SADI, apenas a ligação. Classe EI xx C também por indicar.</t>
  </si>
  <si>
    <t xml:space="preserve">O mesmo equipamento aparece em dois capítulos. As quantidades também não batem: 3 retentores no cap. 3 contra 2 no cap. 10.</t>
  </si>
  <si>
    <t xml:space="preserve">Manter o retentor num só artigo (o 10.1.9 limitado à ligação) e acertar a quantidade.</t>
  </si>
  <si>
    <t xml:space="preserve">Confirmado: o 3.11.2.19 inclui um retentor GEZE para 3 portas e o 10.1.9 (no 10.1 SADI) tem 2 UN a 77,63 € (155,26 €). Valor e sinal corretos. [Consolidação: impacto contabilizado em 10.1.9 para não contar duas vezes.]</t>
  </si>
  <si>
    <t xml:space="preserve">3.15.9.2</t>
  </si>
  <si>
    <t xml:space="preserve">3.9.1.1.2</t>
  </si>
  <si>
    <t xml:space="preserve">Setor A - Ginásio - 380,00m2 (marcações)</t>
  </si>
  <si>
    <t xml:space="preserve">Ginásio com 380 m2 nas marcações e 396 m2 no pavimento</t>
  </si>
  <si>
    <t xml:space="preserve">3.15.9.2 | m2 | 380 | 2,50 € | 950,00 € contra 3.9.1.1.2 A'. Ginásio | m2 | 396 | 91,07 €.</t>
  </si>
  <si>
    <t xml:space="preserve">Mesma área em ambos os artigos (396 m²).</t>
  </si>
  <si>
    <t xml:space="preserve">(396−380)×2,50 = 40 €.</t>
  </si>
  <si>
    <t xml:space="preserve">Uniformizar a medição.</t>
  </si>
  <si>
    <t xml:space="preserve">Valores confirmados (380 m² a 2,50 €; 396 m² a 91,07 €). Cálculo correto.</t>
  </si>
  <si>
    <t xml:space="preserve">3.16.1.2</t>
  </si>
  <si>
    <t xml:space="preserve">3.16.1.1</t>
  </si>
  <si>
    <t xml:space="preserve">SANITA (e SANITA SUSPENSA)</t>
  </si>
  <si>
    <t xml:space="preserve">21 sanitas especificadas sem tampo e sem artigo de assentos</t>
  </si>
  <si>
    <t xml:space="preserve">3.16.1.1 | UN | 6 | 448,23 € («Ref.: 140032004 s/tampo»); 3.16.1.2 | UN | 15 | 336,41 € («Ref.: 137021004 s/tampo»). Não há nenhum artigo de assento ou tampo.</t>
  </si>
  <si>
    <t xml:space="preserve">Assento e tampa compatíveis (≈40–90 €/UN) ou decisão expressa de não os colocar.</t>
  </si>
  <si>
    <t xml:space="preserve">21 × 90 = 1 890 € no máximo. Impacto 0 € se a ausência de assento for intencional.</t>
  </si>
  <si>
    <t xml:space="preserve">Confirmar e, se necessário, acrescentar os assentos.</t>
  </si>
  <si>
    <t xml:space="preserve">Confirmado «s/tampo» nas duas referências (6 + 15 = 21 UN). Pesquisa por 'assento' sem resultados. 'tampa' só aparece em caixas de visita e redes. Impacto plausível.</t>
  </si>
  <si>
    <t xml:space="preserve">3.16.1.3</t>
  </si>
  <si>
    <t xml:space="preserve">5.3.1; 3.16.1.20; 3.16.1.21; 3.16.1.22</t>
  </si>
  <si>
    <t xml:space="preserve">LAVATÓRIO SUSPENSO</t>
  </si>
  <si>
    <t xml:space="preserve">Sifão dos 20 lavatórios pago aqui e em 5.3.1</t>
  </si>
  <si>
    <t xml:space="preserve">3.16.1.3 | UN | 20 | 189,26 € | 3 785,20 €, «incluindo sifão cilíndrico de lavatório Tipo OFA». 5.3.1.1 Sifões lavatórios DN40 | UN | 24 | 35,00 € | 840,00 €.</t>
  </si>
  <si>
    <t xml:space="preserve">Sifão pago uma só vez. 24 = 20 lavatórios + 1 lavatório de tampo + 1 pia do gabinete médico + 2 pias de arrumos, pelo que 5.3.1 cobre os mesmos 20.</t>
  </si>
  <si>
    <t xml:space="preserve">20 sifões × 35,00 € = 700 € duplicados.</t>
  </si>
  <si>
    <t xml:space="preserve">Retirar o sifão do 3.16.1.3 ou reduzir o 5.3.1 para 4 UN.</t>
  </si>
  <si>
    <t xml:space="preserve">Confirmados os valores 3.16.1.3 (20 UN, com sifão OFA), 5.3.1.1 (24 UN × 35 €), 3.16.1.20 (1), 3.16.1.21 (1) e 3.16.1.22 (2). 20+1+1+2 = 24. Impacto de −700 € correto. [Consolidação: impacto contabilizado em 5.3.1 para não contar duas vezes.]</t>
  </si>
  <si>
    <t xml:space="preserve">3.16.1.4</t>
  </si>
  <si>
    <t xml:space="preserve">5.3.2</t>
  </si>
  <si>
    <t xml:space="preserve">URINOL</t>
  </si>
  <si>
    <t xml:space="preserve">Sifão dos urinóis pago duas vezes; 7 sifões para 6</t>
  </si>
  <si>
    <t xml:space="preserve">3.16.1.4 | UN | 6 | 195,03 € | 1 170,18 €, «Sifão para urinol ref. 11150000». 5.3.2.1 Sifões mictórios DN50 | UN | 7 | 35,00 € | 245,00 €.</t>
  </si>
  <si>
    <t xml:space="preserve">Sifão pago uma só vez e quantidade igual à dos urinóis (6).</t>
  </si>
  <si>
    <t xml:space="preserve">Duplicação de 6×35 = 210 €, ou de 245 € se o 5.3.2 for anulado (há também 1 sifão a mais).</t>
  </si>
  <si>
    <t xml:space="preserve">Retirar o sifão de um dos artigos e acertar a quantidade.</t>
  </si>
  <si>
    <t xml:space="preserve">Valores confirmados (6 urinóis com sifão; 7 sifões DN50 a 35 €). Intervalo de −245 a −210 € correto (min ≤ max). [Consolidação: impacto contabilizado em 5.3.2 para não contar duas vezes.]</t>
  </si>
  <si>
    <t xml:space="preserve">3.16.1.6</t>
  </si>
  <si>
    <t xml:space="preserve">3.16.1.7; 3.16.1.3; 3.14.1; 3.16.1.17</t>
  </si>
  <si>
    <t xml:space="preserve">TORNEIRA DE LAVATÓRIO</t>
  </si>
  <si>
    <t xml:space="preserve">22 torneiras para 20 lavatórios</t>
  </si>
  <si>
    <t xml:space="preserve">3.16.1.6 | UN | 16 | 63,10 € | 1 009,60 €; 3.16.1.7 (mob. cond.) | UN | 6 | 69,70 €. Lavatórios 3.16.1.3 = 20; espelhos 3.14.1 = 20; dispensadores de sabão 3.16.1.17 = 20.</t>
  </si>
  <si>
    <t xml:space="preserve">14 torneiras normais + 6 de mobilidade condicionada = 20.</t>
  </si>
  <si>
    <t xml:space="preserve">(14−16)×63,10 = −126,20 €. Os lavatórios de tampo e as pias (3.16.1.20 a 22) já incluem misturadora.</t>
  </si>
  <si>
    <t xml:space="preserve">Corrigir a quantidade do 3.16.1.6 para 14.</t>
  </si>
  <si>
    <t xml:space="preserve">Quantidades confirmadas: 16 + 6 torneiras, 20 lavatórios, 20 espelhos e 20 dispensadores. Os art. 3.16.1.20 a 22 dizem «Lavatório e Misturadora». Impacto correto.</t>
  </si>
  <si>
    <t xml:space="preserve">3.16.1.17</t>
  </si>
  <si>
    <t xml:space="preserve">3.16.1.16</t>
  </si>
  <si>
    <t xml:space="preserve">DISPENSADOR DE SABÃO</t>
  </si>
  <si>
    <t xml:space="preserve">Dispensador de sabão descrito como porta-piaçaba</t>
  </si>
  <si>
    <t xml:space="preserve">3.16.1.17 | UN | 20 | 122,43 € | 2 448,60 €. Texto: «Fornecimento e instalação de porta piaçaba de aço inox tipo JNF IN.60.490.S».</t>
  </si>
  <si>
    <t xml:space="preserve">Descrição de dispensador de sabão (capacidade, tipo de acionamento, ref. JNF).</t>
  </si>
  <si>
    <t xml:space="preserve">Texto copiado do 3.16.1.16. Erro de texto não quantificável.</t>
  </si>
  <si>
    <t xml:space="preserve">Corrigir a descrição.</t>
  </si>
  <si>
    <t xml:space="preserve">Confirmado em rows.json: o título é DISPENSADOR DE SABÃO e o texto é de «porta piaçaba». Valores de 20 × 122,43 = 2 448,60 € corretos.</t>
  </si>
  <si>
    <t xml:space="preserve">3.17.6.1</t>
  </si>
  <si>
    <t xml:space="preserve">9.2</t>
  </si>
  <si>
    <t xml:space="preserve">SINALÉTICA (compartimentos)</t>
  </si>
  <si>
    <t xml:space="preserve">Placa de sinalética em inox laser a 16 €/un</t>
  </si>
  <si>
    <t xml:space="preserve">3.17.6.1.1 a 3.17.6.1.17: 23 UN a 16,00 € = 368,00 € (chapa inox 2 mm cortada a laser com vinil termocolado, tipo JNF IN.26.700). A sinalização de segurança está no 9.2 (1 950,78 €).</t>
  </si>
  <si>
    <t xml:space="preserve">25–45 €/UN, colocada. A sinalética de segurança está corretamente no 9.2.</t>
  </si>
  <si>
    <t xml:space="preserve">(25−16)×23 = 207 €; (45−16)×23 = 667 €. A observação original (falta de sinalética de segurança) não constitui problema, porque o 9.2 a cobre.</t>
  </si>
  <si>
    <t xml:space="preserve">Rever o PU. Confirmar também a sinalética das I.S. de mobilidade condicionada (símbolo de acessibilidade).</t>
  </si>
  <si>
    <t xml:space="preserve">Soma das 17 linhas = 23 UN × 16 € = 368 €. O 9.2 tem 1 950,78 €. Cálculo correto.</t>
  </si>
  <si>
    <t xml:space="preserve">4.1.1</t>
  </si>
  <si>
    <t xml:space="preserve">2.1.2; 2.1.5; 5.1.1; 6.1.1</t>
  </si>
  <si>
    <t xml:space="preserve">ABERTURA DE VALA</t>
  </si>
  <si>
    <t xml:space="preserve">Vala com escoramento e transporte a vazadouro a 5,50 €/m3</t>
  </si>
  <si>
    <t xml:space="preserve">Qtd 39,50 m3 × PU 5,50 €/m3 = 217,25 €. Texto: 'Abertura de vala em terreno de classe C ... com recurso a escoramento ... remoção, transporte e espalhamento em vazadouro'.</t>
  </si>
  <si>
    <t xml:space="preserve">12–18 €/m3 (escavação mecânica em vala + escoramento + carga e transporte). No próprio MQT: 2.1.2 escavação para fundações 11,00 €/m3 + 2.1.5 transporte a vazadouro 5,50 €/m3 = 16,50 €/m3, e isto ainda sem escoramento.</t>
  </si>
  <si>
    <t xml:space="preserve">(12 − 5,50) × 39,50 = 256,75 €; (18 − 5,50) × 39,50 = 493,75 €. O PU é igual ao do transporte isolado (2.1.5) e metade do da escavação em fundações (2.1.2), apesar de incluir escoramento e terreno de classe C. Atenuante: a regularização com areia (4.1.2) está a 46,66 €/m3, o que compensa em parte o PU baixo da escavação.</t>
  </si>
  <si>
    <t xml:space="preserve">Rever o PU para ≥ 12 €/m3 (ou decompor em escavação + escoramento + transporte), alinhando com 2.1.2 e 2.1.5.</t>
  </si>
  <si>
    <t xml:space="preserve">Confirmei no dump (linha 872) Qtd 39,5 m3, PU 5,50 € e total 217,25 €, além do texto (classe C, escoramento, vazadouro). Confirmei 2.1.2 a 11,00 €/m3 e 2.1.5 a 5,50 €/m3 (transporte a 20 km). Os cálculos de impacto estão certos. Desci a gravidade de MÉDIA para BAIXA, porque o impacto máximo fica abaixo de 500 €. Acrescentei a nota sobre o PU elevado da areia (4.1.2: 46,66 €/m3), que compensa parcialmente.</t>
  </si>
  <si>
    <t xml:space="preserve">4.2.7.4</t>
  </si>
  <si>
    <t xml:space="preserve">4.2.7.3; 4.1.1</t>
  </si>
  <si>
    <t xml:space="preserve">TUBAGEM EM PEAD PARA ÁGUA FRIA – DN 110</t>
  </si>
  <si>
    <t xml:space="preserve">PEAD DN110 PN10 a 51,90 €/m, sem vala incluída</t>
  </si>
  <si>
    <t xml:space="preserve">4.2.7.4 DN110: 37,91 m × 51,90 €/m = 1.967,53 €. Série 4.2.7 (PE80 SDR13,6 PN10): DN40 4,89; DN63 17,67; DN90 30,18; DN110 51,90 €/m. A vala é paga em 4.1.</t>
  </si>
  <si>
    <t xml:space="preserve">PEAD DN110 PN10 fornecido e assente com acessórios eletrossoldáveis, sem vala: 25–35 €/m.</t>
  </si>
  <si>
    <t xml:space="preserve">(35 − 51,90) × 37,91 = −640,68 €; (25 − 51,90) × 37,91 = −1.019,78 €. O argumento de salto anómalo entre diâmetros não colhe: o rácio DN90 → DN110 (+72%) é igual ao de DN63 → DN90 (+71%). O achado assenta só na referência de mercado.</t>
  </si>
  <si>
    <t xml:space="preserve">Rever o PU do DN110 para 25–35 €/m.</t>
  </si>
  <si>
    <t xml:space="preserve">Confirmei 37,91 × 51,90 = 1.967,53 € e o texto (PE80 SDR13,6, sem vala). As contas de impacto estão certas. Retirei o argumento do 'salto de preço': 17,67 → 30,18 é +70,8% e 30,18 → 51,90 é +72,0%, uma progressão regular. Mantive o achado com base no mercado (tubo PE80 DN110 a cerca de 10 €/m de material), com gravidade BAIXA.</t>
  </si>
  <si>
    <t xml:space="preserve">4.3.6</t>
  </si>
  <si>
    <t xml:space="preserve">4.3.6.1; 4.3.5; 11.2.1</t>
  </si>
  <si>
    <t xml:space="preserve">VÁLVULA ANTI-POLUIÇÃO</t>
  </si>
  <si>
    <t xml:space="preserve">Válvula anti-poluição ligada a reservatório inexistente; possível duplicação com 11.2.1</t>
  </si>
  <si>
    <t xml:space="preserve">4.3.6.1 DN20: 1 UN × 678,00 € = 678,00 €. Texto: 'a colocar na tubagem de abastecimento do reservatório de água'. O 11.2.1 (BC AQS 1 e 2, 2 UN × 14.538,44 €) inclui 'válvula antipoluição tipo CA'.</t>
  </si>
  <si>
    <t xml:space="preserve">Basta uma válvula anti-poluição por ponto de risco (EN 1717). Se é a do enchimento do circuito das BC/AQS, já está paga em 11.2.1. O PU de 678 € é compatível com uma válvula tipo BA (zona de pressão reduzida) DN20 em ferro fundido, não com a tipo CA de 11.2.1, o que sugere que podem proteger pontos diferentes.</t>
  </si>
  <si>
    <t xml:space="preserve">Pesquisando 'reservat' em todo o MQT só aparecem 4.3.5 e 4.3.6: não há reservatório medido. Se a função for a mesma de 11.2.1, o artigo inteiro está a mais (−678 €). Se for uma BA noutro ponto de risco, o custo mantém-se e só o texto precisa de ser corrigido.</t>
  </si>
  <si>
    <t xml:space="preserve">Clarificar o ponto de instalação e o tipo (BA/CA). Se for o enchimento do circuito AQS, eliminar 4.3.6. Se proteger outra rede, corrigir o texto. Corrigir também a referência a 'reservatório' em 4.3.5.</t>
  </si>
  <si>
    <t xml:space="preserve">Confirmei 4.3.6.1 (1 × 678 €) e o texto 'reservatório de água', e que 'reservat' só aparece em 4.3.5/4.3.6. O 11.2.1 (2 × 14.538,44 €) inclui de facto a 'válvula antipoluição tipo CA'. Retirei a afirmação de que 678 € é caro para uma CA: o artigo não indica o tipo e 678 € corresponde ao preço de mercado de uma BA DN20. Assim a duplicação não está provada e mudei o tipo de DUPLICAÇÃO para VERIFICAR. O impacto de 0 a −678 € mantém-se como cenário.</t>
  </si>
  <si>
    <t xml:space="preserve">4.3.8</t>
  </si>
  <si>
    <t xml:space="preserve">4.3.8.1; 11.2.1; 11.3.3</t>
  </si>
  <si>
    <t xml:space="preserve">VÁLVULAS DE SEGURANÇA – DN 75</t>
  </si>
  <si>
    <t xml:space="preserve">Válvula de segurança DN75 atípica e coberta pelos grupos de segurança AVAC</t>
  </si>
  <si>
    <t xml:space="preserve">4.3.8.1 DN75: 1 UN × 255,00 € = 255,00 €. Texto: 'a instalar a montante dos equipamentos produtores e acumuladores de águas quentes sanitárias'. O 11.2.1 e o 11.3.3 (1.305,85 €) incluem 'grupo hidráulico de segurança'.</t>
  </si>
  <si>
    <t xml:space="preserve">Os grupos/válvulas de segurança de acumuladores AQS (EN 1487/EN 1489) são, em regra, de 3/4" a 1 1/4" (DN20–DN32) e já estão incluídos em 11.2.1/11.3.3. DN75 é o diâmetro da tubagem, não o da válvula.</t>
  </si>
  <si>
    <t xml:space="preserve">A função de segurança dos produtores (BC, 11.2.1) e dos acumuladores (D.AQS, 11.3.3) já está paga no cap. 11. Se 4.3.8 se confirmar como duplicação, sai o artigo completo (−255 €).</t>
  </si>
  <si>
    <t xml:space="preserve">Confirmar no esquema de princípio. Eliminar 4.3.8 ou corrigir o diâmetro e a função.</t>
  </si>
  <si>
    <t xml:space="preserve">Confirmei 4.3.8.1 (DN75, 1 × 255 €) e o texto. O 11.2.1 ('grupo hidraúlico de segurança') e o 11.3.3 (1 × 1.305,85 €, 'Grupo hidraúlico de segurança') também conferem. Um PU de 255 € seria irrealista para uma válvula de segurança em bronze DN75 (2 1/2"), o que reforça que o DN é o da tubagem. O achado é coerente.</t>
  </si>
  <si>
    <t xml:space="preserve">Carretéis remetidos para a 'EN 691' em vez da EN 671-1</t>
  </si>
  <si>
    <t xml:space="preserve">Texto: 'Bocas de Incêndio do tipo carretel em conformidade com EN 691'. Também 'chapa de aço zincor' e 'acopolamento'.</t>
  </si>
  <si>
    <t xml:space="preserve">Carretéis com mangueira semirrígida: EN 671-1 (e EN 671-3 para manutenção), exigida pelo RT-SCIE.</t>
  </si>
  <si>
    <t xml:space="preserve">A norma citada não é a dos carretéis, o que deixa o fornecimento sem base de certificação. Erro de texto, sem efeito no custo.</t>
  </si>
  <si>
    <t xml:space="preserve">Substituir por 'EN 671-1' e corrigir as gralhas.</t>
  </si>
  <si>
    <t xml:space="preserve">Confirmei o texto (linha 1026): 'EN 691', 'zincor' e 'acopolamento'. 'EN 671' não aparece em nenhum ponto do MQT. A norma aplicável a carretéis com mangueira semirrígida é a EN 671-1, e a mangueira de 30 m descrita está dentro do limite dessa norma.</t>
  </si>
  <si>
    <t xml:space="preserve">4.5.5</t>
  </si>
  <si>
    <t xml:space="preserve">4.5.4; 5.4.4; 4.2.2; 4.2.4; 4.2.6; 5.2.2; 5.2.3</t>
  </si>
  <si>
    <t xml:space="preserve">PINTURA DA REDE DE INCÊNDIOS</t>
  </si>
  <si>
    <t xml:space="preserve">Pintura das redes paga nos artigos de tubagem e de pintura</t>
  </si>
  <si>
    <t xml:space="preserve">4.5.4 Pintura da rede de abastecimento: 1 UN × 350 €. 4.5.5 Pintura da rede de incêndios: 1 UN × 250 €. 5.4.4 Pintura de rede: 1 VG × 400 €. Total 1.000 €. Os artigos de tubagem 4.2.2, 4.2.4, 4.2.6, 5.2.2 e 5.2.3 já incluem 'pintura a tinta adequada'.</t>
  </si>
  <si>
    <t xml:space="preserve">Pintar uma só vez: ou nos artigos de tubagem (cor normalizada NP 182 incluída) ou num artigo próprio. Pintar 212,05 m de tubo de aço da RIA a vermelho por 250 € (1,18 €/m) só é coerente se a pintura já estiver em 4.2.6.</t>
  </si>
  <si>
    <t xml:space="preserve">O mesmo trabalho (pintura da tubagem à vista) aparece descrito em dois sítios. Se 4.5.x/5.4.4 se limitarem à sinalética de identificação, o impacto é nulo; se forem pintura completa, sobra 1.000 €.</t>
  </si>
  <si>
    <t xml:space="preserve">Retirar 'pintura a tinta adequada' dos artigos de tubagem, ou limitar 4.5.4/4.5.5/5.4.4 à identificação (setas e legendas).</t>
  </si>
  <si>
    <t xml:space="preserve">Confirmei os três PU (350, 250 e 400 €) e a expressão 'pintura a tinta adequada' em 4.2.2, 4.2.4, 4.2.6, 5.2.2 e 5.2.3 (também aparece em 5.2.1 embutido, 6.2.1 e 6.2.4). 250 / 212,05 = 1,18 €/m. A sobreposição textual é real. O impacto vai de 0 a −1.000 € e reflete bem a incerteza.</t>
  </si>
  <si>
    <t xml:space="preserve">4.5.7</t>
  </si>
  <si>
    <t xml:space="preserve">4.5.6; 4.3.11; 4.3.14</t>
  </si>
  <si>
    <t xml:space="preserve">VERIFICAÇÕES, ENSAIOS E MANUTENÇÃO</t>
  </si>
  <si>
    <t xml:space="preserve">Ensaios de todas as redes de água e RIA a 595,47 €</t>
  </si>
  <si>
    <t xml:space="preserve">4.5.7: 1 UN × 595,47 € = 595,47 €. Texto: 'Verificações, ensaios e manutenção de todas as condutas de água'.</t>
  </si>
  <si>
    <t xml:space="preserve">Ensaios de pressão das redes AF/AQS/retorno, ensaio da RIA (pressão e caudal nos 10 carretéis e 2 marcos) e relatório: 1.000–2.000 €.</t>
  </si>
  <si>
    <t xml:space="preserve">(1.000 − 595,47) = 404,53 €; (2.000 − 595,47) = 1.404,53 €. Os ensaios da RIA são exigidos para a inspeção SCIE.</t>
  </si>
  <si>
    <t xml:space="preserve">Rever o PU e explicitar os ensaios da RIA e dos marcos.</t>
  </si>
  <si>
    <t xml:space="preserve">Confirmei o valor (1 UN × 595,47 €), o texto e as contas. A desinfeção está à parte, em 4.5.6 (1.190,93 €), por isso não há sobreposição. A referência de mercado é plausível e o impacto é pequeno.</t>
  </si>
  <si>
    <t xml:space="preserve">4.5.8</t>
  </si>
  <si>
    <t xml:space="preserve">5.4.6; 6.3.5; 3.17.11</t>
  </si>
  <si>
    <t xml:space="preserve">LEVANTAMENTO CADASTRAL</t>
  </si>
  <si>
    <t xml:space="preserve">Cadastro e telas finais das três redes por 400 € no total</t>
  </si>
  <si>
    <t xml:space="preserve">4.5.8: 1 UN × 150 €; 5.4.6: 1 VG × 150 €; 6.3.5: 1 VG × 100 €. Total 400 € para o 'levantamento cadastral das redes executadas e ... telas finais para entrega ... à entidade Gestora'.</t>
  </si>
  <si>
    <t xml:space="preserve">Levantamento topográfico georreferenciado (≈ 889 m de redes enterradas, 55 câmaras/caixas e ramais) com telas no formato da entidade gestora: 400–1.000 € por rede.</t>
  </si>
  <si>
    <t xml:space="preserve">3 × 400 − 400 = 800 €; 3 × 1.000 − 400 = 2.600 €. Os 3.17.11 (telas finais gerais, 1.250 €) não incluem o cadastro georreferenciado exigido pelas entidades gestoras.</t>
  </si>
  <si>
    <t xml:space="preserve">Rever os PU dos três artigos.</t>
  </si>
  <si>
    <t xml:space="preserve">Confirmei os PU (150, 150 e 100 €) e o 3.17.11 (1.250 €). Redes enterradas: 70,27 m (4.2.7) + 252,63 m (5.2.4) + 566,19 m (6.2.5) = 889,09 m. Câmaras: 15 + 40 = 55. O 1.5 (implantação, 3.000 €) cobre o apoio topográfico à implantação e não o cadastro final. As contas estão certas.</t>
  </si>
  <si>
    <t xml:space="preserve">5.1.3</t>
  </si>
  <si>
    <t xml:space="preserve">5.1.1; 5.1.2; 6.1.1; 6.1.2; 6.1.3</t>
  </si>
  <si>
    <t xml:space="preserve">Regularização + enchimento excedem o volume escavado em residuais</t>
  </si>
  <si>
    <t xml:space="preserve">5.1.1 escavação 448,52 m3; 5.1.2 regularização 66,61 m3; 5.1.3 enchimento 394,50 m3. A soma 66,61 + 394,50 = 461,11 m3 é maior do que 448,52 m3. Em 6.1: 170,53 + 537,682 = 708,212 m3, igual à escavação de 708,21 m3.</t>
  </si>
  <si>
    <t xml:space="preserve">Enchimento ≤ escavação − regularização − volume da tubagem. Residuais: 448,52 − 66,61 − 4,73 = 377,18 m3. Pluviais: descontar 27,8 m3 de tubagem (DN110–DN400).</t>
  </si>
  <si>
    <t xml:space="preserve">Excesso em residuais: 12,59 m3 × 5,50 = 69,25 €. Somando a tubagem não descontada (4,73 + 27,8 m3): 45,12 m3 × 5,50 = 248,16 €. Volumes de tubagem calculados por π·D²/4 × comprimento dos artigos 5.2.4 e 6.2.5.</t>
  </si>
  <si>
    <t xml:space="preserve">Corrigir as medições de 5.1.3 (≤ 377,18 m3) e 6.1.3 (descontar a tubagem).</t>
  </si>
  <si>
    <t xml:space="preserve">Confirmei os volumes: 461,11 − 448,52 = 12,59 m3. Recalculei os volumes de tubagem com o DN como diâmetro exterior: residuais 0,7854 × (0,11² × 14,44 + 0,125² × 24,57 + 0,16² × 213,62) = 4,73 m3; pluviais (7 diâmetros de 6.2.5) = 27,80 m3. O total 45,12 × 5,5 = 248,16 € está certo. O erro aritmético é real, mas o impacto é residual.</t>
  </si>
  <si>
    <t xml:space="preserve">5.3.1</t>
  </si>
  <si>
    <t xml:space="preserve">5.3.1.1; 3.16.1.3; 3.16.1.20; 3.16.1.21; 3.16.1.22</t>
  </si>
  <si>
    <t xml:space="preserve">SIFÕES LAVATÓRIOS – DN 40</t>
  </si>
  <si>
    <t xml:space="preserve">Sifões de lavatório pagos duas vezes (5.3.1 e 3.16.1.3)</t>
  </si>
  <si>
    <t xml:space="preserve">5.3.1.1: 24 UN × 35,00 € = 840,00 €. O 3.16.1.3 (lavatório suspenso, 20 UN) inclui 'sifão cilíndrico de lavatório Tipo OFA ... GIA0103E'. Os 3.16.1.20/21/22 (1+1+2 = 4 UN) incluem 'todos os acessórios e ligações necessárias'.</t>
  </si>
  <si>
    <t xml:space="preserve">0 UN em 5.3.1: os 24 sifões correspondem exatamente a 20 + 1 + 1 + 2 aparelhos do cap. 3, já com sifão/acessórios.</t>
  </si>
  <si>
    <t xml:space="preserve">20 × 35 = 700 € em duplicação certa (sifão explícito em 3.16.1.3). Os 4 restantes (140 €) estão cobertos por 'todos os acessórios'.</t>
  </si>
  <si>
    <t xml:space="preserve">Eliminar 5.3.1, ou retirar o sifão de 3.16.1.3 e manter um só artigo.</t>
  </si>
  <si>
    <t xml:space="preserve">Confirmei 5.3.1.1 (24 × 35 = 840 €), o sifão explícito em 3.16.1.3 (20 UN, ref. GIA0103E) e as quantidades 1 + 1 + 2 de 3.16.1.20 a 22. A correspondência 24 = 20 + 4 bate certo. Os impactos seguem a convenção cenário mínimo/máximo.</t>
  </si>
  <si>
    <t xml:space="preserve">5.3.2.1; 3.16.1.4</t>
  </si>
  <si>
    <t xml:space="preserve">SIFÕES MICTÓRIOS – DN 50</t>
  </si>
  <si>
    <t xml:space="preserve">Sifões de urinol já incluídos e 7 sifões para 6 urinóis</t>
  </si>
  <si>
    <t xml:space="preserve">5.3.2.1: 7 UN × 35,00 € = 245,00 €. O 3.16.1.4 (urinol, 6 UN) inclui 'Sifão para urinol ref. 11150000'.</t>
  </si>
  <si>
    <t xml:space="preserve">0 UN: os 6 urinóis já têm sifão e o 7.º sifão não tem aparelho correspondente.</t>
  </si>
  <si>
    <t xml:space="preserve">6 × 35 = 210 € de duplicação, mais 1 × 35 = 35 € sem aparelho.</t>
  </si>
  <si>
    <t xml:space="preserve">Eliminar 5.3.2.</t>
  </si>
  <si>
    <t xml:space="preserve">Confirmei 7 × 35 = 245 € e o 3.16.1.4 (6 UN com 'Sifão para urinol ref. 11150000'). A pesquisa de 'urinol|mictório' no MQT completo só devolve 3.16.1.4, 3.16.1.9 (6 torneiras) e 5.3.2, por isso não há um 7.º urinol.</t>
  </si>
  <si>
    <t xml:space="preserve">5.3.5.1</t>
  </si>
  <si>
    <t xml:space="preserve">5.3.5</t>
  </si>
  <si>
    <t xml:space="preserve">Cx. Simples - rect. (1,00x1,00), 1,10&gt;h&gt;1,58</t>
  </si>
  <si>
    <t xml:space="preserve">Intervalo de alturas impossível '1,10&gt;h&gt;1,58'</t>
  </si>
  <si>
    <t xml:space="preserve">5.3.5.1 'Cx. Simples - rect. (1,00x1,00), 1,10&gt;h&gt;1,58': 10 UN × 496,02 € = 4.960,20 €.</t>
  </si>
  <si>
    <t xml:space="preserve">'1,10 &lt; h &lt; 1,58 m'. Não existe h que seja simultaneamente menor que 1,10 e maior que 1,58.</t>
  </si>
  <si>
    <t xml:space="preserve">Erro de texto que torna indefinida a altura a orçar e a executar.</t>
  </si>
  <si>
    <t xml:space="preserve">Corrigir para '1,10 &lt; h &lt; 1,58 m'.</t>
  </si>
  <si>
    <t xml:space="preserve">Confirmei a designação literal e o valor 10 × 496,02 = 4.960,20 €. O erro é evidente.</t>
  </si>
  <si>
    <t xml:space="preserve">5.4.5</t>
  </si>
  <si>
    <t xml:space="preserve">5.2.4; 5.3.5; 5.3.6</t>
  </si>
  <si>
    <t xml:space="preserve">Ensaios da rede de residuais a 100 €; texto refere 'condutas de água'</t>
  </si>
  <si>
    <t xml:space="preserve">5.4.5: 1 VG × 100,00 € = 100,00 €. Texto: 'Verificações, ensaios e manutenção de todas as condutas de água'.</t>
  </si>
  <si>
    <t xml:space="preserve">VG</t>
  </si>
  <si>
    <t xml:space="preserve">Ensaios de estanquidade (NP EN 1610) em 252,63 m de coletores enterrados e 15 câmaras, mais eventual inspeção CCTV exigida pela entidade gestora: 500–1.500 €. O texto deve referir a rede de drenagem de águas residuais.</t>
  </si>
  <si>
    <t xml:space="preserve">(500 − 100) = 400 €; (1.500 − 100) = 1.400 €. Texto copiado da rede de abastecimento (4.5.7).</t>
  </si>
  <si>
    <t xml:space="preserve">Rever o PU e a descrição (ensaios NP EN 1610 e CCTV, se exigido).</t>
  </si>
  <si>
    <t xml:space="preserve">Confirmei 1 VG × 100 € e o texto. O 5.2.4 soma 14,44 + 24,57 + 213,62 = 252,63 m e as câmaras são 10 (5.3.5.1) + 5 (5.3.6.1) = 15. As contas estão certas.</t>
  </si>
  <si>
    <t xml:space="preserve">6.2.2</t>
  </si>
  <si>
    <t xml:space="preserve">6.2.2.1; 6.2.2.2; 6.2.2.3; 6.2.5.7</t>
  </si>
  <si>
    <t xml:space="preserve">TUBOS DE QUEDA INTERIORES EM PVC</t>
  </si>
  <si>
    <t xml:space="preserve">Tubos de queda DN110–160 descritos com 'diâmetro de 400 série UD'</t>
  </si>
  <si>
    <t xml:space="preserve">Texto: '... EN1329, série B e diâmetro de 400 série UD e respetivos acessórios ...'. Subartigos: 6.2.2.1 DN110 3,78 m; 6.2.2.2 DN125 16,33 m; 6.2.2.3 DN160 1,05 m (total 510,21 €).</t>
  </si>
  <si>
    <t xml:space="preserve">PVC-U série B (EN 1329-1) nos DN110–160. A série UD DN400 (EN 1401) só se aplica ao coletor enterrado 6.2.5.7.</t>
  </si>
  <si>
    <t xml:space="preserve">Texto incompatível com os diâmetros medidos. Erro de cópia, sem efeito no custo.</t>
  </si>
  <si>
    <t xml:space="preserve">Retirar 'diâmetro de 400 série UD' da descrição.</t>
  </si>
  <si>
    <t xml:space="preserve">Confirmei o texto e as quantidades. O total é 80,51 + 394,86 + 34,84 = 510,21 €.</t>
  </si>
  <si>
    <t xml:space="preserve">6.2.3.6</t>
  </si>
  <si>
    <t xml:space="preserve">6.2.3; 6.2.3.5</t>
  </si>
  <si>
    <t xml:space="preserve">TUBOS DE QUEDA EXTERIORES EM AÇO GALVANIZADO – DN 200</t>
  </si>
  <si>
    <t xml:space="preserve">Aço galvanizado 'série média' em DN200: série inexistente nesse diâmetro</t>
  </si>
  <si>
    <t xml:space="preserve">6.2.3: 'tubagem em aço galvanizado série média'. 6.2.3.6 DN200: 8,40 m × 147,46 € = 1.238,66 €.</t>
  </si>
  <si>
    <t xml:space="preserve">A 'série média' é uma série da NP EN 10255, que só vai até DN150. Para DN200 é preciso indicar outra norma ou espessura (ex.: EN 10217/EN 10219 com galvanização EN ISO 1461).</t>
  </si>
  <si>
    <t xml:space="preserve">O DN200 'série média' não pode ser fornecido como descrito, o que deixa o PU sem especificação verificável.</t>
  </si>
  <si>
    <t xml:space="preserve">Especificar a norma e a espessura do tubo DN200.</t>
  </si>
  <si>
    <t xml:space="preserve">Confirmei o texto 'série média' e 8,4 × 147,46 = 1.238,66 €. A EN 10255 abrange DN6 a DN150, o que torna o DN200 'série média' inexistente. Os DN65 a DN150 estão dentro do âmbito da norma.</t>
  </si>
  <si>
    <t xml:space="preserve">6.2.11.4</t>
  </si>
  <si>
    <t xml:space="preserve">6.2.11.3; 6.2.12.3</t>
  </si>
  <si>
    <t xml:space="preserve">Cx. Simples - rect. (1.00x1.00), CRL H=2,80m</t>
  </si>
  <si>
    <t xml:space="preserve">Caixa 1,00×1,00 com 2,80 m ao preço da caixa 0,80×0,80</t>
  </si>
  <si>
    <t xml:space="preserve">6.2.11.4: 1 UN × 473,97 € = 473,97 €, o mesmo PU de 6.2.11.3 (Cx 0,80x0,80, 18 UN × 473,97 €) e de 6.2.11.5/6.</t>
  </si>
  <si>
    <t xml:space="preserve">Pelo menos o PU de 6.2.12.3 (CV DN1,25 com h &gt; 2,50 m = 644,83 €). Mercado para caixa em alvenaria 1,00 × 1,00 × 2,80 m (≈ 11 m2 de alvenaria, soleira, degraus e tampa): 900–1.500 €.</t>
  </si>
  <si>
    <t xml:space="preserve">(644,83 − 473,97) = 170,86 €; (1.500 − 473,97) = 1.026,03 €.</t>
  </si>
  <si>
    <t xml:space="preserve">Criar um PU próprio para a caixa 1,00 × 1,00 com H = 2,80 m.</t>
  </si>
  <si>
    <t xml:space="preserve">Confirmei o PU 473,97 € em 6.2.11.3, .4, .5 e .6, com as quantidades 18, 1, 2 e 1, e o 6.2.12.3 a 644,83 €. As contas estão certas. O perímetro 4 × 1,1 × 2,8 ≈ 12 m2 confirma a ordem de grandeza da alvenaria.</t>
  </si>
  <si>
    <t xml:space="preserve">6.2.16.1</t>
  </si>
  <si>
    <t xml:space="preserve">6.2.16; 3.16.1.18</t>
  </si>
  <si>
    <t xml:space="preserve">CALEIRA COM RASGO – DN 75</t>
  </si>
  <si>
    <t xml:space="preserve">Caleira de ranhura inox designada 'DN 75' e com 'quatro saídas' ao metro</t>
  </si>
  <si>
    <t xml:space="preserve">6.2.16.1 'DN 75': 87,40 m × 236,38 € = 20.659,56 € (total de custo; o de venda é 20.659,61 €). Texto: 'caleira com ranhura de 8mm, em aço inoxidável AISI304, do tipo ACO Modular 64 ... incluindo quatro saídas horizontais'.</t>
  </si>
  <si>
    <t xml:space="preserve">Designar pelo modelo e altura do canal (ex.: ACO Modular 64, altura x), não por 'DN 75'. Indicar o número total de saídas, ou medi-las à parte (UN).</t>
  </si>
  <si>
    <t xml:space="preserve">Num artigo medido ao metro, 'quatro saídas' não diz se são 4 no total ou por troço. Num artigo de 20,7 k€ (16% do cap. 6), esta ambiguidade dá azo a reclamação.</t>
  </si>
  <si>
    <t xml:space="preserve">Corrigir a designação e quantificar as saídas.</t>
  </si>
  <si>
    <t xml:space="preserve">Confirmei o texto e a quantidade. 87,4 × 236,38 = 20.659,61 €, mas a coluna de custo do MQT mostra 20.659,56 € (diferença de 0,05 €, anotada no no_mqt). O artigo pesa 16,0% do cap. 6 (128.757,01 €). Não duplica 3.16.1.18, que é drenagem interior dos balneários (28 m).</t>
  </si>
  <si>
    <t xml:space="preserve">6.3.4</t>
  </si>
  <si>
    <t xml:space="preserve">6.2.5; 6.2.11; 6.2.12; 6.2.13</t>
  </si>
  <si>
    <t xml:space="preserve">ENSAIOS, VERIFICAÇÕES E MANUTENÇÃO</t>
  </si>
  <si>
    <t xml:space="preserve">Ensaios da rede pluvial a 200 €; texto refere 'condutas de água'</t>
  </si>
  <si>
    <t xml:space="preserve">6.3.4: 1 VG × 200,00 € = 200,00 €. Texto: 'ensaios, verificações e manutenção de todas as condutas de água'.</t>
  </si>
  <si>
    <t xml:space="preserve">Ensaios de estanquidade (NP EN 1610) em 566,19 m de coletores enterrados e 40 caixas/câmaras, mais eventual CCTV: 700–2.000 €.</t>
  </si>
  <si>
    <t xml:space="preserve">(700 − 200) = 500 €; (2.000 − 200) = 1.800 €. Câmaras/caixas contadas: 6.2.11 (24) + 6.2.12 (15) + 6.2.13 (1) = 40.</t>
  </si>
  <si>
    <t xml:space="preserve">Rever o PU e a descrição.</t>
  </si>
  <si>
    <t xml:space="preserve">Confirmei 1 VG × 200 € e o texto. O 6.2.5 soma 566,19 m e as caixas/câmaras são 6.2.11 = 1 + 1 + 18 + 1 + 2 + 1 = 24, 6.2.12 = 10 + 2 + 3 = 15 e 6.2.13 = 1, ou seja, 40. As contas estão certas.</t>
  </si>
  <si>
    <t xml:space="preserve">7.2.8.3</t>
  </si>
  <si>
    <t xml:space="preserve">7.2.8.2</t>
  </si>
  <si>
    <t xml:space="preserve">Tampa para caixa de visita CVE de passagem 400x400</t>
  </si>
  <si>
    <t xml:space="preserve">Tampa 400x400 incompatível com caixa CVE 600x600</t>
  </si>
  <si>
    <t xml:space="preserve">7.2.8.2 'Caixa de visita CVE, dimensões mínimas 600x600x800 mm' 4 UN × 250,00 € = 1.000,00 €; 7.2.8.3 'Tampa para caixa de visita CVE de passagem 400x400, com as inscrições Eletricidade' 4 UN × 150,00 € = 600,00 €</t>
  </si>
  <si>
    <t xml:space="preserve">Tampa com a dimensão da caixa (600x600) e classe EN 124 adequada ao local (B125/C250): ≈ 150–250 €/un</t>
  </si>
  <si>
    <t xml:space="preserve">Uma caixa com mínimo de 600x600 não fecha com tampa de 400x400. Se a tampa tiver de passar a 600x600, o impacto é (250 − 150) × 4 = 400 €.</t>
  </si>
  <si>
    <t xml:space="preserve">Corrigir a descrição da tampa para 600x600 (ou a da caixa) e definir a classe de carga.</t>
  </si>
  <si>
    <t xml:space="preserve">Textos e valores conferidos literalmente no rows.json (4 caixas, 4 tampas, mesmas quantidades). A incoerência dimensional é real; impacto pequeno e aritmética correta.</t>
  </si>
  <si>
    <t xml:space="preserve">7.2.8.4.1</t>
  </si>
  <si>
    <t xml:space="preserve">7.1.2.2</t>
  </si>
  <si>
    <t xml:space="preserve">PEADØ110</t>
  </si>
  <si>
    <t xml:space="preserve">Tubo PEAD Ø110 da entrada de energia medido duas vezes</t>
  </si>
  <si>
    <t xml:space="preserve">7.1.2.2 'PEAD 110' 155 m × 4,51 € = 699,05 €; 7.2.8.4.1 'PEADØ110' 155 m × 4,51 € = 699,05 €</t>
  </si>
  <si>
    <t xml:space="preserve">Uma só medição de 155 m de PEAD Ø110 para o cabo de entrada 7.1.2.1 (165 m), salvo tubo de reserva previsto e descrito como tal</t>
  </si>
  <si>
    <t xml:space="preserve">Os dois artigos têm o mesmo diâmetro, a mesma quantidade e o mesmo PU, e o único cabo enterrado de Ø110 é o da entrada de energia. Nenhum texto refere tubo de reserva.</t>
  </si>
  <si>
    <t xml:space="preserve">Eliminar 7.2.8.4.1, ou redescrevê-lo como tubo de reserva se o projeto o exigir.</t>
  </si>
  <si>
    <t xml:space="preserve">Confirmado: ambos 155 m × 4,51 = 699,05 €. Nenhum outro cabo do MQT exige Ø110 enterrado (restantes saídas exteriores usam PEAD Ø63, 500 m). Ressalva: é prática comum prever tubo de reserva na entrada, o que deve ser confirmado antes de eliminar.</t>
  </si>
  <si>
    <t xml:space="preserve">7.3.7.1</t>
  </si>
  <si>
    <t xml:space="preserve">7.1.1; 11.15; 11.16; 11.17</t>
  </si>
  <si>
    <t xml:space="preserve">Trabalhos de melhoria da rede de terra</t>
  </si>
  <si>
    <t xml:space="preserve">PU 1.313,81 € repetido em verbas globais sem relação</t>
  </si>
  <si>
    <t xml:space="preserve">PU 1.313,81 € (UN 1) em: 7.1.1 'Intervenção no QG Existente', 7.3.7.1 'Trabalhos de melhoria da rede de terra…', 11.15 'Verificações e Ensaios' AVAC, 11.16 'Fornecimentos e Trabalhos diversos', 11.17 'Disposições Complementares'</t>
  </si>
  <si>
    <t xml:space="preserve">Verbas globais estimadas analiticamente a partir do âmbito de cada trabalho</t>
  </si>
  <si>
    <t xml:space="preserve">Cinco trabalhos de natureza diferente têm exatamente o mesmo valor (total 6.569,05 €), o que mostra um preço de verba sem base de cálculo.</t>
  </si>
  <si>
    <t xml:space="preserve">Pedir o desdobramento ou a justificação destas verbas.</t>
  </si>
  <si>
    <t xml:space="preserve">Confirmado: exatamente 5 artigos com PU 1.313,81 € (7.1.1, 7.3.7.1, 11.15, 11.16, 11.17); 5 × 1.313,81 = 6.569,05 €. Achado de verificação sem impacto, sustentado pelos dados.</t>
  </si>
  <si>
    <t xml:space="preserve">7.6.2</t>
  </si>
  <si>
    <t xml:space="preserve">7.6.1.6; 7.6.2.1; 7.6.2.2</t>
  </si>
  <si>
    <t xml:space="preserve">VD90</t>
  </si>
  <si>
    <t xml:space="preserve">Numeração quebrada no subcapítulo da tubagem dos circuitos principais</t>
  </si>
  <si>
    <t xml:space="preserve">Título 7.6.1.6 'Tubagem Termoplástica' seguido de 7.6.2 'VD90' 10 m × 3,98 € = 39,80 €, 7.6.2.1 'VD63' 10 m × 3,26 € = 32,60 €, 7.6.2.2 'VD40' 50 m × 2,65 € = 132,50 €</t>
  </si>
  <si>
    <t xml:space="preserve">7.6.1.6.1 VD90; 7.6.1.6.2 VD63; 7.6.1.6.3 VD40</t>
  </si>
  <si>
    <t xml:space="preserve">Um item com quantidade (7.6.2) ocupa o código de nível de subcapítulo. O subtotal 7.6 (11.478,30 €) inclui-o corretamente; o problema é só de codificação.</t>
  </si>
  <si>
    <t xml:space="preserve">Renumerar.</t>
  </si>
  <si>
    <t xml:space="preserve">Sequência de códigos confirmada no rows.json (linhas 1497–1503). Subtotal 7.6 recalculado = 11.478,30 € (correto).</t>
  </si>
  <si>
    <t xml:space="preserve">7.8 (OMISSÃO)</t>
  </si>
  <si>
    <t xml:space="preserve">7.6.1.1–7.6.1.4; 7.4.2–7.4.5; 11.14.1.1; 11.14.2.4; 12.1</t>
  </si>
  <si>
    <t xml:space="preserve">Alimentações a quadros e equipamentos</t>
  </si>
  <si>
    <t xml:space="preserve">Origem das alimentações do QEAC e do ascensor não identificada</t>
  </si>
  <si>
    <t xml:space="preserve">7.6 'Circuitos principais': só 4 cabos (R5G70 50 m × 72,59 €; R5G50 40 m × 52,95 €; R5G16 40 m × 19,04 €; U5G4 40 m × 6,04 €) para 4 quadros parciais de 7.4 (Q.P.C.I.G., Q.P.Pav., Q.P.C.I.P., Q.PV.AC). Não há coluna identificada para 11.14.1.1 '.QEAC' (8.989,77 €) nem para 12.1 Ascensor 800 kg. Em 11.14.2.4 existe 'XZ1 (frt, Zh) R5G10mm2' 22 UN × 12,67 € = 278,74 €, de destino não indicado</t>
  </si>
  <si>
    <t xml:space="preserve">Uma coluna por quadro ou equipamento trifásico: QEAC ≈ R5G16–R5G50 com 40–50 m; ascensor (~5,5–7,5 kW) ≈ R5G10–R5G16 com 40–50 m</t>
  </si>
  <si>
    <t xml:space="preserve">Não é possível provar a omissão: o QEAC pode ser alimentado a partir de um quadro parcial (ex.: Q.P.C.I.G., o mais caro, 9.541,74 €) ou pela R5G10 de 22 m em 11.14.2.4, e a correspondência 4 cabos ↔ 4 quadros é uma hipótese. Máximo, se faltarem as duas colunas: 50 m × 52,95 € + 50 m × 19,04 € = 3.599,50 €.</t>
  </si>
  <si>
    <t xml:space="preserve">Confirmar no esquema unifilar a origem do QEAC e do ascensor e, se faltarem, medir as colunas.</t>
  </si>
  <si>
    <t xml:space="preserve">Cabos 7.6.1.1–7.6.1.4 conferidos. Encontrado no Cap. 11 o artigo 11.14.2.4 R5G10 (22 UN × 12,67 €) que pode ser a alimentação do QEAC, e o mapeamento cabo↔quadro não consta do MQT. A omissão não é demonstrável: tipo FALHA/OMISSÃO→VERIFICAR, gravidade MÉDIA→BAIXA, impacto_min 1.268,40→0 (máximo 3.599,50 mantido e recalculado).</t>
  </si>
  <si>
    <t xml:space="preserve">7.8.1.3.2</t>
  </si>
  <si>
    <t xml:space="preserve">7.8.1.1.1; 3.16.1.13; 3.17.8; 3.11.2.21; 11.11.2; 7.8 (OMISSÃO)</t>
  </si>
  <si>
    <t xml:space="preserve">Terminais de equipamentos com bornes ligação</t>
  </si>
  <si>
    <t xml:space="preserve">Confirmar que os 31 terminais cobrem todos os equipamentos</t>
  </si>
  <si>
    <t xml:space="preserve">7.8.1.3.2 'Terminais de equipamentos com bornes ligação' 31 UN × 11,94 € = 370,14 €; cabo 7.8.1.1.1 U3G2,5 1.840 m × 3,12 € = 5.740,80 €</t>
  </si>
  <si>
    <t xml:space="preserve">Um terminal ou circuito dedicado por equipamento: 16 secadores de mãos (3.16.1.13, ~1,5–2,5 kW cada, com circuito de 16 A próprio), estores motorizados (3.17.8: 12 + 39 ml), cortina CF (3.11.2.21), 2 centrais de desenfumagem (11.11.2.1/2), bancada, etc.</t>
  </si>
  <si>
    <t xml:space="preserve">Os 31 terminais existem e são em número compatível com os equipamentos identificados. A omissão que se poderia provar é a das alimentações a quadros (QEAC/ascensor), tratada em 7.8 (OMISSÃO).</t>
  </si>
  <si>
    <t xml:space="preserve">Cruzar a lista de terminais com o projeto e confirmar um circuito por secador.</t>
  </si>
  <si>
    <t xml:space="preserve">Valores conferidos. Referências cruzadas existentes: 3.16.1.13 (16 secadores), 3.17.8.1/2 (12 e 39 ml), 3.11.2.21 (cortina CF), 11.11.2.1/2 (centrais). Nota: as centrais de desenfumagem têm alimentação própria em 11.14.4.7, o que reduz a pressão sobre os 31 terminais. Verificação de baixo valor, mantida.</t>
  </si>
  <si>
    <t xml:space="preserve">7.8.3.4</t>
  </si>
  <si>
    <t xml:space="preserve">7.8.3.2; 7.8.3.3</t>
  </si>
  <si>
    <t xml:space="preserve">Cabo USB tipo A</t>
  </si>
  <si>
    <t xml:space="preserve">Cabo USB medido ao metro e com preço elevado</t>
  </si>
  <si>
    <t xml:space="preserve">7.8.3.4 'Cabo USB tipo A' m 10 × 25,21 € = 252,10 €; 7.8.3.2 'Tomadas USB (T3)' 2 UN × 40,37 €; 7.8.3.3 'HDMI Cord' 2 UN × 28,27 €</t>
  </si>
  <si>
    <t xml:space="preserve">Cabo USB pré-confecionado medido em UN: 2 cabos de ~5 m (≈ 15–40 €/un), coerente com o 'HDMI Cord' medido em UN</t>
  </si>
  <si>
    <t xml:space="preserve">10 m para 2 tomadas USB dá ~5 m por ligação, dentro do limite do USB 2.0 passivo (5 m), pelo que não há incompatibilidade técnica. O problema é a unidade (m em vez de UN) e o preço: 25,21 €/m → ~126 € por cabo de 5 m. Solução corrente: 2 × 15–40 € = 30–80 €, ou seja, −222,10 a −172,10 €.</t>
  </si>
  <si>
    <t xml:space="preserve">Redefinir como '2 UN cabo USB A 5 m' (ou extensor se o percurso exceder 5 m) e rever o PU.</t>
  </si>
  <si>
    <t xml:space="preserve">Valores conferidos (m, 10, 25,21, 252,10; 2 tomadas USB). A tese de 'cabo de 10 m passivo' é infundada: 10 m para 2 tomadas = 5 m cada, dentro do limite USB 2.0. Tipo INCOMPATIBILIDADE→DESCRIÇÃO, responsável Orçamentista. Impacto corrigido e com ordem algébrica certa (min −222,10 ≤ max −172,10); o original tinha min −12,10 &gt; max −192,10.</t>
  </si>
  <si>
    <t xml:space="preserve">7.13.1</t>
  </si>
  <si>
    <t xml:space="preserve">7.13.2; 10.5.3.1; 12.3.1</t>
  </si>
  <si>
    <t xml:space="preserve">Estudos e Desenhos para a Execução da Obra</t>
  </si>
  <si>
    <t xml:space="preserve">Estudos e desenhos de execução elétrica a 100 €</t>
  </si>
  <si>
    <t xml:space="preserve">7.13.1 1 UN × 100,00 €; 7.13.2 'Desenhos Finais da Obra Executada (Telas Finais)' 1 UN × 225,60 €</t>
  </si>
  <si>
    <t xml:space="preserve">Desenhos de preparação/execução da especialidade elétrica (esquemas de quadros, compatibilização, desenhos de montagem) ≈ 1.000–2.000 €</t>
  </si>
  <si>
    <t xml:space="preserve">Valor simbólico, igual ao de 10.5.3.1 e inferior ao do ascensor (12.3.1 = 200 €), para um capítulo de 265.980,37 €. (1.000 − 100) = 900 €; (2.000 − 100) = 1.900 €.</t>
  </si>
  <si>
    <t xml:space="preserve">Valores conferidos (7.13.1 100,00; 7.13.2 225,60; 10.5.3.1 100,00; 12.3.1 200,00). Aritmética correta.</t>
  </si>
  <si>
    <t xml:space="preserve">10.1.2; 10.1.3; 10.1.4; 10.1.5; 10.1.8</t>
  </si>
  <si>
    <t xml:space="preserve">Central de Detecção de Incêndio</t>
  </si>
  <si>
    <t xml:space="preserve">Central de deteção de incêndio a 636 € sem tipo definido</t>
  </si>
  <si>
    <t xml:space="preserve">10.1.1 'Central de Detecção de Incêndio (c/ acessórios, fonte de alimentação, baterias, etc. conforme especificação nas peças escritas e desenhadas)' 1 UN × 636,07 €. Detetores 10.1.3/10.1.4 a 43,14–47,24 €/un; 7 interfaces de comando a 41,27 €; repetidora 357,65 €; detetor linear 236,22 €</t>
  </si>
  <si>
    <t xml:space="preserve">Central convencional de 4–8 zonas: ≈ 400–900 € (PU compatível). Central endereçável de 1–2 laços com baterias e programação: ≈ 1.500–2.500 € instalada</t>
  </si>
  <si>
    <t xml:space="preserve">Os PU dos detetores (43–47 €) estão na fronteira entre convencional e endereçável, e repetidora e interfaces de comando existem nos dois tipos. Se o projeto for convencional, o PU é aceitável (impacto 0); se for endereçável, (2.500 − 636,07) = 1.863,93 € no máximo.</t>
  </si>
  <si>
    <t xml:space="preserve">Confirmar no projeto SADI o tipo de sistema (convencional/endereçável) e o n.º de laços/zonas; se endereçável, pedir proposta e rever o PU.</t>
  </si>
  <si>
    <t xml:space="preserve">Valores conferidos. O indício de 'sistema endereçável' é fraco: detetores a 43–47 € e linear a 236 € são compatíveis com gama convencional, e o RT-SCIE não impõe endereçável. Tipo PREÇO BAIXO→VERIFICAR, gravidade MÉDIA→BAIXA, impacto 1.364–2.864 € → 0–1.864 €.</t>
  </si>
  <si>
    <t xml:space="preserve">10.1.8</t>
  </si>
  <si>
    <t xml:space="preserve">Interfaces de Comando</t>
  </si>
  <si>
    <t xml:space="preserve">Interfaces de comando com o preço e quantidade do sinalizador acústico</t>
  </si>
  <si>
    <t xml:space="preserve">10.1.8 'Interfaces de Comando' 7 UN × 41,27 € = 288,89 €. 10.1.7 'Sinalizador Acústico' 7 UN × 41,27 € = 288,89 € (PU e total idênticos)</t>
  </si>
  <si>
    <t xml:space="preserve">Módulo de comando/relé convencional ≈ 30–60 €/un; módulo endereçável de entrada/saída (comando de retentores, cortina CF, desenfumagem, AVAC) ≈ 70–150 €/un instalado</t>
  </si>
  <si>
    <t xml:space="preserve">Os dois artigos têm a mesma quantidade, o mesmo PU e o mesmo total, o que sugere cópia. Se o sistema for convencional, 41,27 € é aceitável (impacto 0); se for endereçável, (150 − 41,27) × 7 = 761,11 € no máximo.</t>
  </si>
  <si>
    <t xml:space="preserve">Confirmar a quantidade de interfaces (retentores, cortina CF 3.11.2.21, 2 centrais de desenfumagem, AVAC) e o tipo de módulo; rever o PU se necessário.</t>
  </si>
  <si>
    <t xml:space="preserve">Igualdade 7 × 41,27 = 288,89 confirmada nos dois artigos. Como o tipo de SADI (convencional/endereçável) não está provado (ver 10.1.1), o PU pode ser adequado. Tipo PREÇO BAIXO→VERIFICAR e impacto_min 201,11→0.</t>
  </si>
  <si>
    <t xml:space="preserve">10.1.9</t>
  </si>
  <si>
    <t xml:space="preserve">3.11.2.19; 3.11.2.19.1; 3.11.2.19.2; 3.11.2.19.3; 10.1.10</t>
  </si>
  <si>
    <t xml:space="preserve">Retentores Electromagnéticos</t>
  </si>
  <si>
    <t xml:space="preserve">Retentores eletromagnéticos já incluídos nas portas corta-fogo</t>
  </si>
  <si>
    <t xml:space="preserve">10.1.9 'Retentores Electromagnéticos' 2 UN × 77,63 € = 155,26 €. O 3.11.2.19 inclui 'Retentor eletromagnético de parede tipo GEZE, modelo 155570 24 vts Dc com placa articulada' nas portas VI.CF.1.02, VI.CF.1.07 e VI.CF.2.04</t>
  </si>
  <si>
    <t xml:space="preserve">Retentor fornecido uma só vez, com a porta (3.11.2.19). No Cap. 10 ficam só a alimentação (10.1.10) e o comando (10.1.8)</t>
  </si>
  <si>
    <t xml:space="preserve">O texto de 3.11.2.19 inclui expressamente o retentor nas 3 portas CF.</t>
  </si>
  <si>
    <t xml:space="preserve">Eliminar 10.1.9, ou redescrevê-lo como 'ligação dos retentores'.</t>
  </si>
  <si>
    <t xml:space="preserve">Texto de 3.11.2.19 lido no rows.json: 'Inclui ainda Retentor eletromagnético de parede tipo GEZE, modelo 155570 24 vts Dc'. Três portas (3.11.2.19.1–3) contra 2 retentores em 10.1.9, todos já cobertos pelo artigo de caixilharia. Duplicação real.</t>
  </si>
  <si>
    <t xml:space="preserve">10.3.7.2</t>
  </si>
  <si>
    <t xml:space="preserve">8.4.1; 7.9.8.3</t>
  </si>
  <si>
    <t xml:space="preserve">F/UTP 4 pares, Cat. 6A</t>
  </si>
  <si>
    <t xml:space="preserve">Cabo Cat.6A com dois preços e Cat.5E ao mesmo preço</t>
  </si>
  <si>
    <t xml:space="preserve">10.3.7.2 'F/UTP 4 pares, Cat. 6A' 60 m × 2,32 € = 139,20 €; 8.4.1 'Rede de Cabos de Pares de Cobre F/UTP 4/ Cat.6a' 1.615 m × 1,96 €; 7.9.8.3 'Cabo F/UTP Cet 5E AWG24' 240 m × 2,32 € = 556,80 €</t>
  </si>
  <si>
    <t xml:space="preserve">Cat.6A com um só PU (1,96 €). Cat.5E abaixo do Cat.6A. Corrigir 'Cet' para 'Cat'</t>
  </si>
  <si>
    <t xml:space="preserve">(1,96 − 2,32) × 60 = −21,60 €. O Cat.5E de 7.9.8.3 tem o PU do Cat.6A de 10.3.7.2, o que é incoerente.</t>
  </si>
  <si>
    <t xml:space="preserve">Uniformizar os PU e corrigir a designação.</t>
  </si>
  <si>
    <t xml:space="preserve">Valores conferidos no rows.json e cálculo correto. Incoerência objetiva mas de valor ínfimo; mantida com gravidade BAIXA. Se o Cat.5E de 7.9.8.3 fosse alinhado abaixo de 1,96 €, haveria uma poupança adicional (~ −86 €) não somada.</t>
  </si>
  <si>
    <t xml:space="preserve">10.4</t>
  </si>
  <si>
    <t xml:space="preserve">10.4.1; 10.4.2; 7.11.1; 7.11.2; 10.5.1</t>
  </si>
  <si>
    <t xml:space="preserve">COMPARTIMENTAÇÃO CORTA-FOGO (COLMATAGENS)</t>
  </si>
  <si>
    <t xml:space="preserve">Colmatagens corta-fogo em verba global repetidas em 7.11 e 10.4</t>
  </si>
  <si>
    <t xml:space="preserve">7.11.1 'Seccionamento dos ductos técnicos' 1 UN × 500 €; 7.11.2 'Atravessamentos' 1 UN × 500 €; 10.4.1 e 10.4.2, com a mesma designação, 1 UN × 250 € cada (total 500 €)</t>
  </si>
  <si>
    <t xml:space="preserve">Colmatagens medidas por unidade de atravessamento ou por m², com classe EI exigida (EI 60/90). Num único contrato, executadas uma vez pela especialidade que instala os caminhos de cabos (7.2)</t>
  </si>
  <si>
    <t xml:space="preserve">As designações são iguais nos dois capítulos. O próprio 10.5.1 atribui as infraestruturas de segurança à empreitada elétrica, pelo que 10.4 pode duplicar 7.11. Não há medição nem classe de resistência ao fogo. Se cada especialidade colmatar os seus próprios atravessamentos, não há duplicação (impacto 0).</t>
  </si>
  <si>
    <t xml:space="preserve">Medir as colmatagens (n.º e tipo de atravessamentos, classe EI) e consolidar num único capítulo.</t>
  </si>
  <si>
    <t xml:space="preserve">Valores e designações conferidos (7.11 = 1.000 €; 10.4 = 500 €). Problema plausível como verificação. Corrigida a ordem do impacto: min −500 ≤ max 0 (o original tinha min 0 e max −500).</t>
  </si>
  <si>
    <t xml:space="preserve">10.5.2.1</t>
  </si>
  <si>
    <t xml:space="preserve">10.5.2.2; 10.5.3.1; 10.5.3.2; 7.12.1; 7.13.1</t>
  </si>
  <si>
    <t xml:space="preserve">Verificações / Ensaios / Estudos e Telas Finais – Segurança Ativa</t>
  </si>
  <si>
    <t xml:space="preserve">Ensaios e telas da segurança ativa a preço simbólico e mal hierarquizados</t>
  </si>
  <si>
    <t xml:space="preserve">10.5.2.1 100 €; 10.5.2.2 100 €; 10.5.3.1 100 €; 10.5.3.2 225,60 € (valores iguais a 7.12/7.13), colocados sob o título '10.5 REDE DE TUBAGENS E CAIXAS'</t>
  </si>
  <si>
    <t xml:space="preserve">Ensaios funcionais de SADI, intrusão e CCTV, com matriz causa-efeito e relatório (EN 54 / RT-SCIE): ≈ 600–1.500 €. Desenhos de execução de segurança: ≈ 400–800 €. Numeração própria (10.6/10.7)</t>
  </si>
  <si>
    <t xml:space="preserve">Os ensaios (200 €) passam para 600–1.500 €, ou seja, +400 a +1.300 €. Os estudos (100 €) passam para 400–800 €, ou seja, +300 a +700 €. Total +700 a +2.000 €. Estes artigos não pertencem à 'rede de tubagens'.</t>
  </si>
  <si>
    <t xml:space="preserve">Rever os PU e renumerar como subcapítulos próprios.</t>
  </si>
  <si>
    <t xml:space="preserve">Valores conferidos (100/100/100/225,60) e posição sob o título 10.5 confirmada; subtotal 10.5 = 1.632,31 + 200 + 325,60 = 2.157,91 €. Aritmética do impacto correta (400+300 = 700; 1.300+700 = 2.000).</t>
  </si>
  <si>
    <t xml:space="preserve">102.2.1</t>
  </si>
  <si>
    <t xml:space="preserve">10.2.2; 10.2</t>
  </si>
  <si>
    <t xml:space="preserve">Câmara de Vídeo IP Fixa do Tipo Minidome Interior/Exterior</t>
  </si>
  <si>
    <t xml:space="preserve">Código 102.2.1 devia ser 10.2.2.1</t>
  </si>
  <si>
    <t xml:space="preserve">'102.2.1' 14 UN × 175,36 € = 2.455,04 €, sob o título 10.2.2 'Câmaras'. Subtotal 10.2 = 4.492,12 € (= 2.037,08 € + 2.455,04 €)</t>
  </si>
  <si>
    <t xml:space="preserve">10.2.2.1</t>
  </si>
  <si>
    <t xml:space="preserve">O subtotal 10.2 inclui corretamente este valor (verificado). O risco existe só em filtros e somas automáticas por código.</t>
  </si>
  <si>
    <t xml:space="preserve">Corrigir o código.</t>
  </si>
  <si>
    <t xml:space="preserve">Código '102.2.1' confirmado no rows.json. Subtotal 10.2 recalculado: 602,50 + 2.455,04 + 911,71 + 161,90 + 45,12 + 315,85 = 4.492,12 €; Cap. 10 = 17.332,79 € também bate.</t>
  </si>
  <si>
    <t xml:space="preserve">11 (OMISSÃO)</t>
  </si>
  <si>
    <t xml:space="preserve">3.17.11, 7.13.1, 7.13.2, 10.5.3.1, 10.5.3.2, 12.3.1, 12.3.2, 11.15–11.17</t>
  </si>
  <si>
    <t xml:space="preserve">Estudos e desenhos de execução, telas finais, PMP e formação (AVAC)</t>
  </si>
  <si>
    <t xml:space="preserve">AVAC sem desenhos de execução, PMP e formação explícitos</t>
  </si>
  <si>
    <t xml:space="preserve">O cap. 11 (271.944,75 €) acaba em 11.15–11.17, que são VG genéricos. Não tem artigo de «Estudos e Desenhos para a Execução da Obra», plano de manutenção (PMP) ou formação, ao contrário de 7.13 (100,00 + 225,60 €), 10.5.3 (100,00 + 225,60 €) e 12.3 (200,00 + 200,00 €). Há um artigo geral 3.17.11 «FORNECIMENTO DE TELAS FINAIS GERAIS» (1 × 1.250,00 €).</t>
  </si>
  <si>
    <t xml:space="preserve">Artigos próprios para desenhos de execução, compilação técnica/PMP das instalações AVAC (exigível a um GES no âmbito do SCE) e formação do utilizador: ≈500–1.500 €. As telas finais podem estar em 3.17.11.</t>
  </si>
  <si>
    <t xml:space="preserve">Os outros capítulos de especialidades (7, 10, 12) têm estes artigos; o AVAC, que é a especialidade de maior valor (≈272 k€), não tem. As telas finais podem estar no artigo geral 3.17.11, e o resto pode estar em 11.16/11.17, mas o texto genérico não permite verificá-lo.</t>
  </si>
  <si>
    <t xml:space="preserve">Acrescentar ao cap. 11 artigos de desenhos de execução, PMP e formação, ou especificar o conteúdo de 11.16/11.17 e o âmbito de 3.17.11.</t>
  </si>
  <si>
    <t xml:space="preserve">Confirmei 7.13 (100 + 225,60), 10.5.3 (100 + 225,60) e 12.3 (200 + 200), e que o cap. 11 não tem estes artigos. A pesquisa por «Telas» encontrou também 3.17.11 «TELAS FINAIS GERAIS» (1.250 €), que pode cobrir o AVAC, e o analista não o tinha considerado. Retirei as telas finais da omissão e passei o impacto para 0–1.500 €.</t>
  </si>
  <si>
    <t xml:space="preserve">11.1.3</t>
  </si>
  <si>
    <t xml:space="preserve">11.1.4</t>
  </si>
  <si>
    <t xml:space="preserve">UI 2 / UE 2: DAIKIN, FBA140A / FBA140MY</t>
  </si>
  <si>
    <t xml:space="preserve">Unidade exterior com código inexistente (FBA140MY)</t>
  </si>
  <si>
    <t xml:space="preserve">11.1.3 «. UI 2 / UE 2: DAIKIN, FBA140A / FBA140MY / Fornecidas com: Comando de parede BRC1H52, Interface Modubus EKMBPP1A» – UN, Qtd 1, PU 6.287,35 €, Total 6.287,35 €.</t>
  </si>
  <si>
    <t xml:space="preserve">FBA é a série da unidade interior de condutas Sky Air. A exterior tem de ser uma condensadora Sky Air trifásica compatível (p. ex. RZAG140MY1 ou RZASG140MY1), a confirmar com o projeto de AVAC.</t>
  </si>
  <si>
    <t xml:space="preserve">«FBA…» repete o prefixo da unidade interior; o sufixo «MY» é o das exteriores Sky Air trifásicas (RZAG/RZASG…MY1). Com o par UI/UE indefinido, as propostas deixam de ser comparáveis. O PU é compatível com um conjunto FBA140A + RZAG140MY1 instalado, por isso não há impacto quantificável.</t>
  </si>
  <si>
    <t xml:space="preserve">Corrigir para «FBA140A / RZAG140MY1» (ou o modelo do projeto) e confirmar a compatibilidade com o BRC1H52 e a interface Modbus.</t>
  </si>
  <si>
    <t xml:space="preserve">O texto e os valores estão certos (1 × 6.287,35 €). O erro de código é real, mas a gama (Sky Air 14 kW trifásica) fica determinável pelo sufixo MY e pela UI, e o impacto é nulo. Baixei a gravidade de MÉDIA para BAIXA, como nos outros erros de referência de equipamento (11.5.1 / 1000J).</t>
  </si>
  <si>
    <t xml:space="preserve">UI 3 / UE 3: DAIKIN, FBA125A / FBA125MY</t>
  </si>
  <si>
    <t xml:space="preserve">Unidade exterior com código inexistente (FBA125MY)</t>
  </si>
  <si>
    <t xml:space="preserve">11.1.4 «. UI 3 / UE 3: DAIKIN, FBA125A / FBA125MY / Fornecidas com: Comando de parede BRC1H52, Interface Modubus EKMBPP1A» – UN, Qtd 1, PU 5.757,20 €, Total 5.757,20 €.</t>
  </si>
  <si>
    <t xml:space="preserve">Unidade exterior Sky Air trifásica compatível com a FBA125A (p. ex. RZAG125MY1 ou RZASG125MY1), a confirmar com o projeto.</t>
  </si>
  <si>
    <t xml:space="preserve">O mesmo erro de 11.1.3: o código da exterior repete o prefixo «FBA» da interior. O PU (5.757,20 €) é coerente com um conjunto de 12,5 kW instalado.</t>
  </si>
  <si>
    <t xml:space="preserve">Corrigir para «FBA125A / RZAG125MY1» (ou o modelo do projeto).</t>
  </si>
  <si>
    <t xml:space="preserve">O texto e os valores estão certos (1 × 5.757,20 €). Baixei a gravidade de MÉDIA para BAIXA pelas mesmas razões de 11.1.3: impacto nulo e gama determinável.</t>
  </si>
  <si>
    <t xml:space="preserve">11.2.1</t>
  </si>
  <si>
    <t xml:space="preserve">4.3.6.1, 4.3.8.1, 11.3.3</t>
  </si>
  <si>
    <t xml:space="preserve">BC AQS 1 e 2: ENERGIE, AquaPura X60 HT (com acessórios e válvulas)</t>
  </si>
  <si>
    <t xml:space="preserve">Grupo de segurança AQS medido também em 4.3.8 e 11.3.3</t>
  </si>
  <si>
    <t xml:space="preserve">11.2.1 «. BC AQS 1 e 2: ENERGIE, AquaPura X60 HT / Acessórios e válvulas: grupo hidraúlico de segurança, todas as válvulas e acessórios necessários, vaso de Expansão, válvula antipoluição tipo CA.» – UN 2 × 14.538,44 € = 29.076,88 €. Relacionados: 4.3.6.1, válvula anti-poluição DN20 «a colocar na tubagem de abastecimento do reservatório de água», 1 × 678,00 €; 4.3.8.1, válvula de segurança DN75 «a instalar a montante dos equipamentos produtores e acumuladores de águas quentes sanitárias», 1 × 255,00 €; 11.3.3 volta a incluir «Grupo hidraúlico de segurança».</t>
  </si>
  <si>
    <t xml:space="preserve">Cada órgão deve ser medido uma só vez: o grupo/válvula de segurança da produção de AQS fica na rede de águas (4.3.8) ou nos acessórios AVAC (11.2.1/11.3.3), com nota de exclusão no outro artigo. A válvula de 4.3.6 serve o reservatório de água, que é outro ponto da rede.</t>
  </si>
  <si>
    <t xml:space="preserve">4.3.6 está descrita para a alimentação do reservatório e não para o circuito AQS, pelo que essa parte do achado não se confirma. A válvula de segurança de 4.3.8 tem exatamente a função do «grupo hidráulico de segurança» de 11.2.1 (montante dos produtores/acumuladores de AQS), e o mesmo grupo aparece ainda em 11.3.3: o mesmo órgão pode ser pago 2 a 3 vezes. Impacto máximo = total de 4.3.8.1 (255,00 €).</t>
  </si>
  <si>
    <t xml:space="preserve">Clarificar qual artigo inclui o grupo/válvula de segurança da produção de AQS e excluí-lo nos outros. Manter 4.3.6.</t>
  </si>
  <si>
    <t xml:space="preserve">Os valores estão certos (2 × 14.538,44 = 29.076,88; 4.3.6.1 = 678; 4.3.8.1 = 255) e o texto de 4.3.6 e 4.3.8 é o citado. A sobreposição mais clara é entre 4.3.8 (montante dos acumuladores AQS) e 11.3.3 (água de rede / circuito AQS). O grupo de 11.2.1 pode ser só o das bombas de calor, mas a ambiguidade justifica a clarificação. O limite de −255 € é razoável. [Consolidação: impacto contabilizado em 4.3.8 para não contar duas vezes.]</t>
  </si>
  <si>
    <t xml:space="preserve">11.5.1</t>
  </si>
  <si>
    <t xml:space="preserve">11.5.2, 11.1.1–11.1.4, 11.6.1, 11.8.1, 11.11.1.1.2, 11.13.1, 11.3.3</t>
  </si>
  <si>
    <t xml:space="preserve">Descalsificação: Descalsificador Culligan Medallist 910/30 TC</t>
  </si>
  <si>
    <t xml:space="preserve">Erros de texto e referências incompletas de equipamentos AVAC</t>
  </si>
  <si>
    <t xml:space="preserve">11.5.1 «Descalsificação: Descalsificador … Filtro de Proteção: Pentek, Filtro de Proteção: Pentek» (texto repetido); 11.5.2 «Colberge» e «Colberg»; 11.1.1–11.1.4 e 11.8.1 «Interface Modubus»; 11.6.1 «Bacnet / Mudbus»; 11.8.1 «UVR 1: DAIKIN, 1000J» (código incompleto); 11.11.1.1.2 «SMOKEJET-JJA08» contra «SMOKEJET-JA08» em 11.11.1.1.1 (mesmas dimensões e PU de 2.287,10 €); 11.13.1 «Frigorigéno»; 11.3.3 «vávulas».</t>
  </si>
  <si>
    <t xml:space="preserve">Descalcificação/Descalcificador; Colberg; Modbus; VAM1000J (ou o código completo do fabricante); SMOKEJET-JA08-2211-…; frigorigénea; válvulas.</t>
  </si>
  <si>
    <t xml:space="preserve">Referências de equipamento erradas ou incompletas (1000J, JJA08) dificultam identificar o equipamento e comparar propostas equivalentes; o resto são erros ortográficos sem efeito no custo.</t>
  </si>
  <si>
    <t xml:space="preserve">Rever a ortografia e completar os códigos de equipamento do cap. 11.</t>
  </si>
  <si>
    <t xml:space="preserve">Confirmei cada ocorrência no dump: Descalsificação/Descalsificador, Pentek repetido, Colberge/Colberg, «Modubus» em 11.1.1–11.1.4 e 11.8.1, «Mudbus» em 11.6.1, «DAIKIN, 1000J», JJA08 contra JA08 (2.226 × 1.104, 2.287,10 €), «Frigorigéno» e «vávulas».</t>
  </si>
  <si>
    <t xml:space="preserve">11.10.5</t>
  </si>
  <si>
    <t xml:space="preserve">11.10.4, 11.10.6.1, 11.10.6.2, 11.10.10, 11.10.4.10.1–11.10.4.10.5</t>
  </si>
  <si>
    <t xml:space="preserve">Grelha de Retorno (itens GP – grelhas de passagem)</t>
  </si>
  <si>
    <t xml:space="preserve">Títulos, etiquetas e numeração errados nos elementos de difusão</t>
  </si>
  <si>
    <t xml:space="preserve">11.10.4 «Grelha de Retorno:» (GR1/GR2) e 11.10.5 «Grelha de Retorno:» com GP1 300x100 (14 × 90,94 €), GP2 400x200 (21 × 112,18 €) e GP3 500x200 (4 × 121,75 €). 11.10.6.1 «. RA2: KOOLAIR, Modelo KCRK/150» (13 UN) e 11.10.6.2 «. RA2: KOOLAIR, Modelo KCRK/200» (1 UN). Sob o título 11.10.10 «Registos Corta-fogo», os itens estão numerados 11.10.4.10.1 a 11.10.4.10.5.</t>
  </si>
  <si>
    <t xml:space="preserve">11.10.5 = «Grelhas de Passagem» (código GP); 11.10.6.1 = «RA1»; registos corta-fogo = 11.10.10.1 a 11.10.10.5.</t>
  </si>
  <si>
    <t xml:space="preserve">O código GP indica grelhas de passagem (transferência). Na série RA1/RA2/RA3, RA2 está repetido e falta RA1. A numeração 11.10.4.10.x quebra a hierarquia (o título é 11.10.10) e pode gerar erros na proposta e nos autos de medição.</t>
  </si>
  <si>
    <t xml:space="preserve">Corrigir títulos, etiquetas e numeração.</t>
  </si>
  <si>
    <t xml:space="preserve">Confirmado no dump: os dois títulos «Grelha de Retorno:», GP1/GP2/GP3 com as quantidades e PU citados, RA2 repetido (13 e 1 UN) seguido de RA3, e RCF numerados 11.10.4.10.1–5 sob 11.10.10.</t>
  </si>
  <si>
    <t xml:space="preserve">11.11.3.1</t>
  </si>
  <si>
    <t xml:space="preserve">11.11.3 (título), 11.11.4.1, 11.14.4.3</t>
  </si>
  <si>
    <t xml:space="preserve">Betoneiras de Emergência – Pavilhão 1 e Gin.: ENERGIMAC-HE082</t>
  </si>
  <si>
    <t xml:space="preserve">«Betoneiras» em vez de «Botoneiras» no título 11.11.3</t>
  </si>
  <si>
    <t xml:space="preserve">Título 11.11.3 «Betoneiras de Emergência»; item 11.11.3.1 «. Pavilhão 1 e Gin.: ENERGIMAC-HE082» – UN 2 × 118,50 € = 237,00 €. Em 11.11.4.1 e 11.14.4.3 escreve-se corretamente «Botoneira(s)».</t>
  </si>
  <si>
    <t xml:space="preserve">«Botoneiras de Emergência», ou seja, botoneiras de comando manual da desenfumagem.</t>
  </si>
  <si>
    <t xml:space="preserve">Erro de texto evidente: uma betoneira é uma misturadora de betão. O próprio MQT usa «Botoneiras de Desenfumagem» em 11.14.4.3.</t>
  </si>
  <si>
    <t xml:space="preserve">Corrigir o título 11.11.3.</t>
  </si>
  <si>
    <t xml:space="preserve">Confirmado no dump: o título 11.11.3 diz «Betoneiras de Emergência»; 11.11.3.1 tem 2 × 118,50 = 237,00 €; 11.11.4.1 «Botoneira Ventilação» e 11.14.4.3 «Botoneiras de Desenfumagem».</t>
  </si>
  <si>
    <t xml:space="preserve">11.13.6.1</t>
  </si>
  <si>
    <t xml:space="preserve">11.13.6</t>
  </si>
  <si>
    <t xml:space="preserve">Coletores em Ferro Preto DN100</t>
  </si>
  <si>
    <t xml:space="preserve">Coletor DN100 medido ao metro em vez de unidade</t>
  </si>
  <si>
    <t xml:space="preserve">11.13.6 «Coletores em Ferro Preto (2 entradas, 1 saida, 1 reserva, ligação a esgoto. termometro e manometro)» &gt; 11.13.6.1 «DN100» – Un m, Qtd 2, PU 1.897,94 €/m, Total 3.795,88 €.</t>
  </si>
  <si>
    <t xml:space="preserve">Unidade UN (coletor completo com tomadas, purga, termómetro e manómetro), Qtd 2 UN. 1.897,94 € é plausível por coletor DN100 montado, mas não por metro de tubo (aço preto DN100 montado ≈60–120 €/m).</t>
  </si>
  <si>
    <t xml:space="preserve">A descrição define um conjunto (entradas, saída, reserva, acessórios), não um tubo. As outras tubagens do capítulo (11.13.1–11.13.5) custam entre 5,44 e 94,29 €/m, o que mostra que 1.897,94 €/m não é preço de tubagem. Medido ao metro, o artigo abre a porta a re-medições e reclamações.</t>
  </si>
  <si>
    <t xml:space="preserve">Mudar a unidade para UN (Qtd 2) e indicar o comprimento e os diâmetros das tomadas.</t>
  </si>
  <si>
    <t xml:space="preserve">Os valores estão certos (m, 2 × 1.897,94 = 3.795,88; tubagens 11.13.1–11.13.5 entre 5,44 e 94,29 €/m). Baixei a gravidade de MÉDIA para BAIXA, porque o impacto atual é nulo e só há risco se houver re-medição. Fica coerente com os outros erros de unidade (11.14.2/11.14.3), que estão em BAIXA.</t>
  </si>
  <si>
    <t xml:space="preserve">11.14</t>
  </si>
  <si>
    <t xml:space="preserve">11.15, 11.16, 11.17</t>
  </si>
  <si>
    <t xml:space="preserve">Sistema de Controlo, Quadro Eléctrico e Cablagem</t>
  </si>
  <si>
    <t xml:space="preserve">Subtotal 11.14 inclui indevidamente 11.15 a 11.17</t>
  </si>
  <si>
    <t xml:space="preserve">Subtotal 11.14 = 28.201,65 €; a soma dos artigos 11.14.1.1 a 11.14.4.8 dá 24.260,22 €. A diferença de 3.941,43 € é 11.15 (1.313,81) + 11.16 (1.313,81) + 11.17 (1.313,81). O total do cap. 11 (271.944,75 €) é igual à soma de todos os artigos.</t>
  </si>
  <si>
    <t xml:space="preserve">Subtotal 11.14 = 24.260,22 €; 11.15 a 11.17 com subtotal próprio ou fora do 11.14.</t>
  </si>
  <si>
    <t xml:space="preserve">Verificado por cálculo: 24.260,22 + 3.941,43 = 28.201,65. Os três artigos são contados uma só vez no total do capítulo, que está certo. O erro só afeta o subtotal apresentado e as análises por subcapítulo.</t>
  </si>
  <si>
    <t xml:space="preserve">Corrigir a fórmula do subtotal 11.14 e criar um subtotal para 11.15–11.17.</t>
  </si>
  <si>
    <t xml:space="preserve">Recalculado com o rows.json: Σ 11.14.x = 24.260,22 €; 11.15 + 11.16 + 11.17 = 3.941,43 €; soma = 28.201,65 € (subtotal apresentado); Σ cap. 11 = 271.944,75 € = total do capítulo.</t>
  </si>
  <si>
    <t xml:space="preserve">11.14.2.1</t>
  </si>
  <si>
    <t xml:space="preserve">11.14.2.2, 11.14.2.3, 11.14.2.4, 11.14.3.1, 11.14.3.2, 11.14.3.3</t>
  </si>
  <si>
    <t xml:space="preserve">XZ1 (frt, Zh) U4x2,5mm2 (e restantes cabos/tubos de 11.14.2/11.14.3)</t>
  </si>
  <si>
    <t xml:space="preserve">Cabos e tubos de 11.14.2/11.14.3 medidos em UN, não metros</t>
  </si>
  <si>
    <t xml:space="preserve">11.14.2.1 U4x2,5 «UN» 135 × 3,65 = 492,75 €; 11.14.2.2 U3x2,5 «UN» 705 × 3,52 = 2.481,60 €; 11.14.2.3 U5G2,5 «UN» 134 × 4,13 = 553,42 €; 11.14.2.4 R5G10 «UN» 22 × 12,67 = 278,74 €; 11.14.3.1 VD/ERFE Ø25 «UN» 1.115 × 2,26 = 2.519,90 €; 11.14.3.2 Ø32 «UN» 134 × 2,44 = 326,96 €; 11.14.3.3 Ø40 «UN» 22 × 2,65 = 58,30 €.</t>
  </si>
  <si>
    <t xml:space="preserve">Unidade «m», como em 11.14.2.5, 11.14.4.1–11.14.4.6 e no cap. 7 (VD 25 a 2,26 €/m).</t>
  </si>
  <si>
    <t xml:space="preserve">Os tubos medem exatamente o mesmo que os cabos: Ø25 = 1.115 = 135 + 705 + 275 (U4x2,5 + U3x2,5 + LIHCH 11.14.2.5); Ø32 = 134 = U5G2,5; Ø40 = 22 = R5G10. Isto prova que as quantidades são metros. O PU de 2,26 € é igual ao do VD25 por metro no cap. 7.</t>
  </si>
  <si>
    <t xml:space="preserve">Mudar a unidade para «m» em 11.14.2.1–11.14.2.4 e 11.14.3.1–11.14.3.3.</t>
  </si>
  <si>
    <t xml:space="preserve">Todos os valores conferem com o dump. 135 + 705 + 275 = 1.115, 134 = 134 e 22 = 22. 7.8.1.2.1.1 VD 25 está a 2,26 €/m.</t>
  </si>
  <si>
    <t xml:space="preserve">11.14.2.2</t>
  </si>
  <si>
    <t xml:space="preserve">7.7.1.1.5, 7.8.1.1.1</t>
  </si>
  <si>
    <t xml:space="preserve">XZ1 (frt, Zh) U3x2,5mm2</t>
  </si>
  <si>
    <t xml:space="preserve">Cabo XZ1 3 condutores de 2,5 mm2 com PU diferente do cap. 7</t>
  </si>
  <si>
    <t xml:space="preserve">11.14.2.2 «XZ1 (frt, Zh) U3x2,5mm2» – Un UN (são metros), Qtd 705, PU 3,52 €, Total 2.481,60 €.</t>
  </si>
  <si>
    <t xml:space="preserve">O cabo equivalente XZ1(zh)(frt)(0,6-1kV) U3G2,5 (3 condutores de 2,5 mm2, com terra) está a 3,12 €/m em 7.7.1.1.5 (690 m) e em 7.8.1.1.1 (1.840 m).</t>
  </si>
  <si>
    <t xml:space="preserve">Dentro da mesma empreitada, o mesmo tipo de cabo (3 × 2,5 mm2; a diferença «x»/«G» é só a identificação do condutor de proteção e não muda o custo) deve ter o mesmo PU: (3,12 − 3,52) × 705 = −282,00 €.</t>
  </si>
  <si>
    <t xml:space="preserve">Uniformizar o PU em 3,12 €/m (ou justificar a diferença).</t>
  </si>
  <si>
    <t xml:space="preserve">Os valores de 11.14.2.2 estão certos (705 × 3,52 = 2.481,60). Corrigi a designação: no cap. 7 o cabo é «U3G2,5» e não «3x2,5», o que é equivalente em custo. 7.7.1.1.5 (690 m a 3,12) e 7.8.1.1.1 (1.840 m a 3,12) confirmados. O impacto de −282,00 € está certo.</t>
  </si>
  <si>
    <t xml:space="preserve">11.14.4.7</t>
  </si>
  <si>
    <t xml:space="preserve">11.14.4.8, 11.11.2.1, 11.11.2.2</t>
  </si>
  <si>
    <t xml:space="preserve">Disjuntor 16Amp + cabo 3G2,5mm2 para alimentação à central de desenfumagem de cada espaço</t>
  </si>
  <si>
    <t xml:space="preserve">Quantidade 1 para duas centrais de desenfumagem</t>
  </si>
  <si>
    <t xml:space="preserve">11.14.4.7 «.Disjuntor 16Amp + cabo 3G2,5mm2 para alimentação elétrica à central desenfumagem de cada espaço.» UN 1 × 16,39 € = 16,39 €; 11.14.4.8 «.Contacto seco normalmente fechado proveniente da CDI por cada central…» UN 1 × 111,48 € = 111,48 €. Centrais medidas: 11.11.2.1 Pavilhão M-SHEV12 (1 UN) + 11.11.2.2 Ginásio SHEV6 (1 UN) = 2.</t>
  </si>
  <si>
    <t xml:space="preserve">Qtd 2 UN em cada artigo (uma por central).</t>
  </si>
  <si>
    <t xml:space="preserve">Os próprios textos dizem «de cada espaço» e «por cada central», e há 2 centrais. Acréscimo = 1 × 16,39 + 1 × 111,48 = 127,87 €.</t>
  </si>
  <si>
    <t xml:space="preserve">Corrigir as quantidades de 11.14.4.7 e 11.14.4.8 para 2.</t>
  </si>
  <si>
    <t xml:space="preserve">Os valores e o texto estão certos (1 × 16,39; 1 × 111,48; 11.11.2.1 e 11.11.2.2 com 1 UN cada). O acréscimo de 127,87 € está certo.</t>
  </si>
  <si>
    <t xml:space="preserve">12</t>
  </si>
  <si>
    <t xml:space="preserve">12.1</t>
  </si>
  <si>
    <t xml:space="preserve">12.2.1, 12.2.2, 12.3.1, 12.3.2, 7.4, 7.6.1.4</t>
  </si>
  <si>
    <t xml:space="preserve">Ascensor Eléctrico sem casa de máquinas, 800 kg/10 pessoas</t>
  </si>
  <si>
    <t xml:space="preserve">Manutenção do ascensor no período de garantia não explicitada</t>
  </si>
  <si>
    <t xml:space="preserve">12.1 «Ascensor Eléctrico sem casa de máquinas, 800 Kg/10 Pessoas; Velocidade 1,0 m/s; Dimensão da cabine: 1400 x 1400 x 2050mm; Curso aproximado: 3630mm; Pisos servidos: 2» – UN 1 × 29.950,00 €. 12.2.1 Verificações 500,00 €; 12.2.2 Ensaios 500,00 €; 12.3.1 Estudos e Desenhos 200,00 €; 12.3.2 Telas Finais 200,00 €. Os circuitos principais 7.6.1 não estão identificados (p. ex. 7.6.1.4 XZ1 U5G4, 40 m).</t>
  </si>
  <si>
    <t xml:space="preserve">DL 320/2002: contrato de manutenção com EMIE a partir da entrada em serviço; é corrente incluir 12 meses de manutenção no fornecimento ou explicitá-los num artigo.</t>
  </si>
  <si>
    <t xml:space="preserve">O preço do ascensor (29.950 €) está dentro do mercado (25–35 k€ para MRL de 800 kg e 2 paragens). A manutenção durante a garantia (≈1.000–2.000 €) não está explicitada e pode estar ou não no PU de 12.1. A inspeção/ensaios de entrada em serviço podem estar em 12.2 (1.000 €). A alimentação elétrica pode ser um dos circuitos não identificados de 7.6.1 (p. ex. U5G4).</t>
  </si>
  <si>
    <t xml:space="preserve">Explicitar no 12.1, ou num artigo próprio, a manutenção durante o prazo de garantia e confirmar qual dos circuitos 7.6.1 alimenta o ascensor.</t>
  </si>
  <si>
    <t xml:space="preserve">Os valores de 12.1–12.3 estão certos e o cap. 12 = 31.350 €. «ascensor» e «elevador» só aparecem em 12.1 e 9.2.1, mas os circuitos principais 7.6.1 (R5G70, R5G50, R5G16, U5G4 de 40 m) não estão identificados e o U5G4 serve para alimentar um MRL de 800 kg, por isso a falta de alimentação não se prova. A inspeção de entrada em serviço pode estar em 12.2 (500 + 500 €). Fica só a manutenção na garantia: tipo VERIFICAR, gravidade BAIXA, impacto 0–2.000 €.</t>
  </si>
  <si>
    <t xml:space="preserve">13.1.3</t>
  </si>
  <si>
    <t xml:space="preserve">13.6.1, 13.3.1–13.3.8</t>
  </si>
  <si>
    <t xml:space="preserve">TRANSPLANTES</t>
  </si>
  <si>
    <t xml:space="preserve">Transplante de árvore a 150 €/un, sem replantação medida</t>
  </si>
  <si>
    <t xml:space="preserve">13.1.3 «TRANSPLANTES Remoção das árvores a serem transplantadas para posterior plantação em obra… Se necessário, deverá ser feita poda de compensação…» – UN 2 × 150,00 € = 300,00 €. Não há artigo para a guarda em viveiro nem para a replantação das árvores transplantadas.</t>
  </si>
  <si>
    <t xml:space="preserve">Transplante de árvore adulta com torrão (abertura e cintagem do torrão, meios mecânicos ou grua, transporte, viveiro temporário, replantação, tutoragem e rega): ≈400–1.200 €/un consoante o porte.</t>
  </si>
  <si>
    <t xml:space="preserve">(400 − 150) × 2 = 500 €; (1.200 − 150) × 2 = 2.100 €. O artigo só refere a remoção «para posterior plantação», e a replantação não tem preço em nenhum artigo.</t>
  </si>
  <si>
    <t xml:space="preserve">Rever o PU e incluir no artigo, de forma expressa, a guarda temporária e a replantação (cova, tutoragem, rega).</t>
  </si>
  <si>
    <t xml:space="preserve">Os valores estão certos (2 × 150 = 300 €) e o texto só fala de remoção e poda. Os artigos 13.3.x são de árvores novas «envazadas», e nenhum artigo cobre a replantação das 2 árvores transplantadas. O porte não é indicado, mas mesmo no cenário mínimo 150 € não paga remoção com torrão e replantação. Cálculos 500 € e 2.100 € corretos.</t>
  </si>
  <si>
    <t xml:space="preserve">13.5</t>
  </si>
  <si>
    <t xml:space="preserve">13.1.3, 13.4.4–13.4.14, 13.5.1, 13.5.2</t>
  </si>
  <si>
    <t xml:space="preserve">SEMEMTEIRAS</t>
  </si>
  <si>
    <t xml:space="preserve">Erros ortográficos no capítulo de paisagismo</t>
  </si>
  <si>
    <t xml:space="preserve">13.5 «SEMEMTEIRAS»; 13.4.4 a 13.4.14 «caderno dec encargos»; 13.5.2 «Festuca ovina duriuscla» e «Low Growin mix»; 13.1.3 «peças desenhadas ecom as condições»; 13.5.1 «PRADO HIDROSSEMENTEIRA» e «hidrosementeira» no mesmo texto.</t>
  </si>
  <si>
    <t xml:space="preserve">SEMENTEIRAS; caderno de encargos; Festuca ovina duriuscula; Low Growing mix; «e com»; hidrossementeira.</t>
  </si>
  <si>
    <t xml:space="preserve">Erros de texto que não mexem no custo; o nome botânico errado pode atrapalhar o fornecimento da mistura de sementes.</t>
  </si>
  <si>
    <t xml:space="preserve">Rever a ortografia do cap. 13.</t>
  </si>
  <si>
    <t xml:space="preserve">Confirmado no dump: o título 13.5 diz «SEMEMTEIRAS»; «caderno dec encargos» aparece exatamente nos 11 artigos de 13.4.4 a 13.4.14; «duriuscla», «Low Growin mix», «ecom» e a grafia dupla de hidrossementeira em 13.5.1 também estão lá.</t>
  </si>
  <si>
    <t xml:space="preserve">13.6.1</t>
  </si>
  <si>
    <t xml:space="preserve">13.3.1–13.3.8, 13.1.3</t>
  </si>
  <si>
    <t xml:space="preserve">TUTORES tipo «Tosca» (duplos por árvore)</t>
  </si>
  <si>
    <t xml:space="preserve">Tutores duplos: 158 medidos para 80 árvores (160)</t>
  </si>
  <si>
    <t xml:space="preserve">13.6.1 «TUTORES … Duplos por árvore…» – UN, Qtd 158, PU 12,50 €, Total 1.975,00 €.</t>
  </si>
  <si>
    <t xml:space="preserve">80 árvores em 13.3 (15 + 15 + 1 + 10 + 5 + 13 + 7 + 14) × 2 = 160 tutores; 164 se contarem as 2 árvores transplantadas (13.1.3).</t>
  </si>
  <si>
    <t xml:space="preserve">(160 − 158) × 12,50 = 25 €; (164 − 158) × 12,50 = 75 €. A medição não bate com o número de árvores (158 / 2 = 79 árvores).</t>
  </si>
  <si>
    <t xml:space="preserve">Acertar a quantidade com o número de árvores (160 ou 164).</t>
  </si>
  <si>
    <t xml:space="preserve">Os valores estão certos (158 × 12,50 = 1.975,00 €), o texto diz «Duplos por árvore» e a soma de 13.3 dá 80 árvores. A diferença de 1 árvore é real, mas o impacto é residual (25–75 €).</t>
  </si>
  <si>
    <t xml:space="preserve">13.6.3</t>
  </si>
  <si>
    <t xml:space="preserve">13.3.1–13.3.8</t>
  </si>
  <si>
    <t xml:space="preserve">DRENOS para cova de plantação</t>
  </si>
  <si>
    <t xml:space="preserve">Drenos de cova a 2 €/un e em número inferior às árvores</t>
  </si>
  <si>
    <t xml:space="preserve">13.6.3 «DRENOS … 90 cm de tubo de drenagem de PVC corrugado, diâmetro nominal 75 mm, com perfurações…, preenchido com brita, protegido com tampa de polipropileno…» – UN, Qtd 65, PU 2,00 €, Total 130,00 €.</t>
  </si>
  <si>
    <t xml:space="preserve">Custo realista 10–15 €/un (tubo DN75 perfurado ≈1,5–2 €/m, tampa PP 3–6 €, brita e ≈0,25 h de mão de obra). A quantidade esperada é o número de covas de árvore, 80 em 13.3, e não 65, salvo se o projeto excluir alguma espécie.</t>
  </si>
  <si>
    <t xml:space="preserve">2 € não paga sequer a tampa de polipropileno. Mínimo: (10 − 2) × 65 = 520 €. Máximo: 15 × 80 − 130 = 1.070 €. As árvores medidas são 15 + 15 + 1 + 10 + 5 + 13 + 7 + 14 = 80.</t>
  </si>
  <si>
    <t xml:space="preserve">Rever o PU para ≈10–15 €/un e acertar a quantidade com o número de covas (80) ou justificar os 65.</t>
  </si>
  <si>
    <t xml:space="preserve">Os valores estão certos (65 × 2,00 = 130,00 €) e o texto é o citado. 80 árvores confirmadas em 13.3. O preço de 2 € é claramente insuficiente para tubo, brita e tampa. A diferença de quantidade (65 contra 80) pode ser intencional (p. ex. exclusão de uma espécie com 15 UN), mas isso só entra no cenário máximo. Cálculos 520 € e 1.070 € corretos.</t>
  </si>
  <si>
    <t xml:space="preserve">14.1.4</t>
  </si>
  <si>
    <t xml:space="preserve">7.7, 7.7.3.1.1–7.7.3.1.10, 7.7.4.1, 7.7.1.1.1</t>
  </si>
  <si>
    <t xml:space="preserve">gateway comunicação DALI / DALI2</t>
  </si>
  <si>
    <t xml:space="preserve">Gateway DALI sem sistema DALI explícito na iluminação</t>
  </si>
  <si>
    <t xml:space="preserve">14.1.4 «gateway comunicação DALI / DALI2» – UN 1 × 1.990,63 € = 1.990,63 €. O cap. 7 (iluminação 7.7 = 100.576,05 €) não refere DALI em lado nenhum: tem luminárias «Tipo L1…P3», interruptores, comutadores e 27 detetores de movimento, mas nenhum artigo de fonte de bus DALI.</t>
  </si>
  <si>
    <t xml:space="preserve">Das duas uma: ou a iluminação é DALI (luminárias com driver DALI, linha DALI e fonte de bus, a confirmar no C.E./cap. 7), ou o gateway não é necessário.</t>
  </si>
  <si>
    <t xml:space="preserve">«DALI» só aparece em 14.1.4 em todo o MQT. Mas as luminárias estão definidas por tipo (L1…P3) conforme C.E., e a linha DALI pode seguir em condutores livres dos cabos multipolares já medidos, por isso não há prova de incompatibilidade, só de falta de coerência no texto. Se o gateway não for preciso, o cenário máximo é eliminá-lo (−1.990,63 €).</t>
  </si>
  <si>
    <t xml:space="preserve">Confirmar com o projeto de iluminação e, conforme o caso, eliminar 14.1.4 ou explicitar no cap. 7 os drivers e a fonte de bus DALI.</t>
  </si>
  <si>
    <t xml:space="preserve">Confirmei que «DALI» só aparece em 14.1.4 (1 × 1.990,63 €) e que 7.7 = 100.576,05 €. Passei o tipo de INCOMPATIBILIDADE para VERIFICAR: as luminárias tipo podem ter driver DALI pelo C.E. e a linha DALI não exige cabo próprio, por isso a incompatibilidade não está provada. O impacto 0 a −1.990,63 € fica.</t>
  </si>
  <si>
    <t xml:space="preserve">14.3</t>
  </si>
  <si>
    <t xml:space="preserve">14.3.1, 14.3.2, 14.1.7, 14.1.8, 14.1.9, 7.4, 11.14.1.1</t>
  </si>
  <si>
    <t xml:space="preserve">Equipamento de Campo</t>
  </si>
  <si>
    <t xml:space="preserve">Sem contadores ou analisadores de energia ligados à GTC</t>
  </si>
  <si>
    <t xml:space="preserve">14.3 «Equipamento de Campo» = 241,56 €: 14.3.1, 3 sondas de imersão Pt1000 (3 × 49,31 € = 147,93 €), e 14.3.2, 3 bainhas (3 × 31,21 € = 93,63 €). As licenças de interface 14.1.7–14.1.9 somam 500 pontos. Não há nenhum artigo autónomo de contador ou analisador de energia em todo o MQT. Os quadros (7.4.1–7.4.5, 11.14.1.1) estão medidos à UN «conforme C.E.».</t>
  </si>
  <si>
    <t xml:space="preserve">Contagem de energia por uso final (AVAC, AQS, iluminação, FV) com analisadores/contadores Modbus ligados à GTC. A exigência deve ser confirmada no SCE/RECS (DL 101-D/2020; Portaria 138-I/2021). Preço ≈250–600 €/un instalado, 4–8 unidades.</t>
  </si>
  <si>
    <t xml:space="preserve">Ter poucas sondas não é falha em si: os equipamentos AVAC vêm com interfaces Modbus/BACnet e as licenças cobrem 500 pontos integrados. Não há qualquer artigo explícito de medição de energia, mas os analisadores podem estar dentro dos quadros elétricos, que são medidos como unidade conforme C.E. Impacto: 0 (se estiverem nos quadros) a 8 × 600 = 4.800 €.</t>
  </si>
  <si>
    <t xml:space="preserve">Confirmar no C.E./esquemas de quadros se há analisadores de rede (QGP, QEAC, Q.PV.AC). Se não houver, acrescentá-los com saída Modbus e integrá-los na GTC.</t>
  </si>
  <si>
    <t xml:space="preserve">Os valores de 14.3 estão certos (147,93 + 93,63 = 241,56). «analisador» e «contador de energia» não aparecem no dump, mas os quadros 7.4.x e 11.14.1.1 são UN «conforme C.E.» e podem incluir multímetros, por isso a omissão não fica demonstrada. Passei o tipo a VERIFICAR, a gravidade a BAIXA e o impacto a 0–4.800 € (8 × 600 = 4.800, não 5.000).</t>
  </si>
  <si>
    <t xml:space="preserve">(SUBTOTAL respeita o filtro ativo)</t>
  </si>
  <si>
    <t xml:space="preserve">COMPARAÇÃO CUSTO × VENDA POR CAPÍTULO</t>
  </si>
  <si>
    <t xml:space="preserve">Custo e Venda copiados do MQT (azul). K e cenários = alavancas editáveis (amarelo). Impacto = soma dos achados por capítulo (folha MAPA COMPARATIVO).</t>
  </si>
  <si>
    <t xml:space="preserve">K pretendido (Venda/Custo):</t>
  </si>
  <si>
    <t xml:space="preserve">← alterar (ex.: 1,15 a 1,25 = estrutura + risco + lucro; definido pela empresa)</t>
  </si>
  <si>
    <t xml:space="preserve">Designação</t>
  </si>
  <si>
    <t xml:space="preserve">K atual</t>
  </si>
  <si>
    <t xml:space="preserve">Impacto achados A (€)</t>
  </si>
  <si>
    <t xml:space="preserve">Impacto achados B (€)</t>
  </si>
  <si>
    <t xml:space="preserve">Custo corrigido A (€)</t>
  </si>
  <si>
    <t xml:space="preserve">Custo corrigido B (€)</t>
  </si>
  <si>
    <t xml:space="preserve">Venda proposta A (€)</t>
  </si>
  <si>
    <t xml:space="preserve">Venda proposta B (€)</t>
  </si>
  <si>
    <t xml:space="preserve">% do custo</t>
  </si>
  <si>
    <t xml:space="preserve">TRABALHOS PREPARATÓRIOS</t>
  </si>
  <si>
    <t xml:space="preserve">ESTABILIDADE</t>
  </si>
  <si>
    <t xml:space="preserve">ARQUITETURA</t>
  </si>
  <si>
    <t xml:space="preserve">REDE DE ABASTECIMENTO DE ÁGUA</t>
  </si>
  <si>
    <t xml:space="preserve">REDE DE DRENAGEM DE ÁGUAS RESIDUAIS</t>
  </si>
  <si>
    <t xml:space="preserve">REDE DE DRENAGEM DE ÁGUAS PLUVIAIS</t>
  </si>
  <si>
    <t xml:space="preserve">SEGURANÇA ATIVA</t>
  </si>
  <si>
    <t xml:space="preserve">INSTALAÇÕES MECÂNICAS DE AVAC</t>
  </si>
  <si>
    <t xml:space="preserve">INSTALAÇÕES ELETROMECÂNICAS</t>
  </si>
  <si>
    <t xml:space="preserve">ARQUITETURA PAISAGISTA</t>
  </si>
  <si>
    <t xml:space="preserve">GESTÃO TÉCNICA CENTRALIZADA</t>
  </si>
  <si>
    <t xml:space="preserve">Achados transversais (sem capítulo)</t>
  </si>
  <si>
    <t xml:space="preserve">TOTAL (sem IVA)</t>
  </si>
  <si>
    <t xml:space="preserve">Variação do custo corrigido face ao MQT</t>
  </si>
  <si>
    <t xml:space="preserve">Venda MQT − Custo MQT (prova de que não há margem)</t>
  </si>
  <si>
    <t xml:space="preserve">MATRIZ DE COMPARAÇÃO – Nº DE ACHADOS POR CAPÍTULO × TIPO E GRAVIDADE</t>
  </si>
  <si>
    <t xml:space="preserve">Contagens e somas calculadas por fórmula sobre a folha MAPA COMPARATIVO (exclui achados REJEITADOS na verificação).</t>
  </si>
  <si>
    <t xml:space="preserve">Transversal / ficheiro</t>
  </si>
  <si>
    <t xml:space="preserve">DUPLICAÇÕES</t>
  </si>
  <si>
    <t xml:space="preserve">Comparação lado a lado: o mesmo trabalho pago em dois artigos. Impacto = valor a retirar (negativo).</t>
  </si>
  <si>
    <t xml:space="preserve">Artigo A</t>
  </si>
  <si>
    <t xml:space="preserve">Descrição A (MQT)</t>
  </si>
  <si>
    <t xml:space="preserve">Qtd A</t>
  </si>
  <si>
    <t xml:space="preserve">Total A (€)</t>
  </si>
  <si>
    <t xml:space="preserve">Artigo B</t>
  </si>
  <si>
    <t xml:space="preserve">Descrição B (MQT)</t>
  </si>
  <si>
    <t xml:space="preserve">Qtd B</t>
  </si>
  <si>
    <t xml:space="preserve">Total B (€)</t>
  </si>
  <si>
    <t xml:space="preserve">Ação</t>
  </si>
  <si>
    <t xml:space="preserve">MACIÇOS DE FUNDAÇÃO
Execução de MACIÇO DE ENCABEÇAMENTO de estacas em betão armado normal
cinzento , incluindo fornecimento, colocação, compactação e cura de be</t>
  </si>
  <si>
    <t xml:space="preserve">SOLEIRAS EXT.
Fornecimento e aplicação de Soleira em Betão Polimérico tipo Tubani ou equiv., a aplicar em vãos interiores como elemento de transição entre espaç</t>
  </si>
  <si>
    <t xml:space="preserve">3.9.2.3.1</t>
  </si>
  <si>
    <t xml:space="preserve">400 mm de largura</t>
  </si>
  <si>
    <t xml:space="preserve">CANAL COM GRELHA CHUVEIROS
Fornecimento e assentamento de caleiras de pavimento em ferro fundido, com grelha em ferro fundido, incluindo o sinfão a instalar e  </t>
  </si>
  <si>
    <t xml:space="preserve">DRENAGEM LINEAR EM BALNEÁRIOS Fornecimento e instalação drenagem linear tipo ACO 64 em Aço Inox com grelha ranhurada. Conforme projeto de arquitetura.
Incluí:
</t>
  </si>
  <si>
    <t xml:space="preserve">CALEIRA
Fornecimento e modelação de caleiras de recolha de águas de coberturas, em folha de zinco nº 12, incluindo quinagem, soldaduras a estanho, em conformida</t>
  </si>
  <si>
    <t xml:space="preserve">6.2.18.1</t>
  </si>
  <si>
    <t xml:space="preserve">200x100 mm</t>
  </si>
  <si>
    <t xml:space="preserve">ESCAVAÇÃO GERAL
Escavação em terreno de qualquer natureza para obtenção da cota de fundação definida em projeto, incluindo carga e transporte de material.</t>
  </si>
  <si>
    <t xml:space="preserve">TRANSPORTE A VAZADOURO
Carga, transporte, descarga e colocação de terras provenientes de escavação, à distância média de 20km de acordo com as especificações do</t>
  </si>
  <si>
    <t xml:space="preserve">O fornecimento e montagem de toda a rede de caixas e tubagens necessária para a instalação dos equipamentos de segurança são para serem executados pela Empreita</t>
  </si>
  <si>
    <t xml:space="preserve">7.10</t>
  </si>
  <si>
    <t xml:space="preserve">INFRAESTRUTURAS ELECTRICAS PARA INSTALAÇÕES DE SEGURANÇA ATIVA</t>
  </si>
  <si>
    <t xml:space="preserve">Fornecimento e aplicação de porta CF metálica de 1 folha de batente, em chapa de aço eletrozincado tipo TRIA, série SISAF ES1, ou equivalente. Utilização do aro</t>
  </si>
  <si>
    <t xml:space="preserve">LAVATÓRIO SUSPENSO
Fornecimento e instalação de Lavatório suspenso tipo SANINDUSA, série Sanlife, quadrangular com furo para torneira, 400x400x145, cor branco,</t>
  </si>
  <si>
    <t xml:space="preserve">SIFÕES LAVATÓRIOS
Fornecimento e assentamento de sifões tipo garrafa, ou S de latão cromado a aplicar em lavatórios. Em conformidade com as peças desenhadas, in</t>
  </si>
  <si>
    <t xml:space="preserve">URINOL
Fornecimento e instalação de urinol, tipo SANINDUSA, série Forma com alimentação de água por cima ref. 108561004 com Kit de fixação 21 para colunas suspe</t>
  </si>
  <si>
    <t xml:space="preserve">SIFÕES MICTÓRIOS
Fornecimento e assentamento de sifões a aplicar em mictórios. Em conformidade com as peças desenhadas, incluindo todos os acessórios e trabalho</t>
  </si>
  <si>
    <t xml:space="preserve">PINTURA DA REDE DE INCÊNDIOS
Pintura da rede de incêndio e acessórios com as cores normalizadas de sinalização (de acordo com a norma NP-182), com tintas baças </t>
  </si>
  <si>
    <t xml:space="preserve">4.5.4</t>
  </si>
  <si>
    <t xml:space="preserve">PINTURA DA REDE DE ABASTECIMENTO Pintura da rede á vista e acessórios de água quente e fria com as cores normalizadas de sinalização (de acordo com a norma NP -</t>
  </si>
  <si>
    <t xml:space="preserve">5.3.1.1</t>
  </si>
  <si>
    <t xml:space="preserve">DN 40</t>
  </si>
  <si>
    <t xml:space="preserve">5.3.2.1</t>
  </si>
  <si>
    <t xml:space="preserve">DN 50</t>
  </si>
  <si>
    <t xml:space="preserve">PEAD 110</t>
  </si>
  <si>
    <t xml:space="preserve">. BC AQS 1 e 2:  ENERGIE, AquaPura X60 HT
Acessórios e válvulas: grupo hidraúlico de segurança, todas as válvulas e acessórios necessários, vaso de Expansão, vá</t>
  </si>
  <si>
    <t xml:space="preserve">4.3.6.1</t>
  </si>
  <si>
    <t xml:space="preserve">DN 20</t>
  </si>
  <si>
    <t xml:space="preserve">INCOERÊNCIAS DE PREÇO</t>
  </si>
  <si>
    <t xml:space="preserve">Mesmo trabalho (ou trabalho equivalente) com preços/quantidades diferentes entre artigos. Δ% = PU A / PU B − 1.</t>
  </si>
  <si>
    <t xml:space="preserve">Descrição A</t>
  </si>
  <si>
    <t xml:space="preserve">PU A (€)</t>
  </si>
  <si>
    <t xml:space="preserve">Descrição B</t>
  </si>
  <si>
    <t xml:space="preserve">PU B (€)</t>
  </si>
  <si>
    <t xml:space="preserve">Δ% A vs B</t>
  </si>
  <si>
    <t xml:space="preserve">O que deveria estar</t>
  </si>
  <si>
    <t xml:space="preserve">MICROESTACAS
Execução de microestaca para fundação, com um comprimento médio de 8,50 m, 200 mm de diâmetro nominal, composta de armadura tub</t>
  </si>
  <si>
    <t xml:space="preserve">101.6x6.5</t>
  </si>
  <si>
    <t xml:space="preserve">PERFIS SELADOS TUBULARES
Execução de perfis selados, com um comprimento médio estimado de 9 a 10 m de comprimento, 200 mm de diâmetro nomina</t>
  </si>
  <si>
    <t xml:space="preserve">88.9x6.5</t>
  </si>
  <si>
    <t xml:space="preserve">DRENO TARDOZ PAREDES DE CONTENÇÃO E MUROS DE SUPORTE
Fornecimento e colocação de dreno, no tardoz de muro de suporte e paredes de contenção,</t>
  </si>
  <si>
    <t xml:space="preserve">DN 160</t>
  </si>
  <si>
    <t xml:space="preserve">Fornecimento e aplicação de sub-estrutura em perfis de aço galvanizado para a fixação da chapa ondulada em paredes exteriores.</t>
  </si>
  <si>
    <t xml:space="preserve">Fornecimento e aplicação de chapa ondulada de 0.7mm de espessura tipo FTB ou equiv.</t>
  </si>
  <si>
    <t xml:space="preserve">PAV I 02
Fornecimento e aplicação de Pavimento em Betão Armado tipo SECIL UNIPISO ( 10cm) ou equiv.
Incluí:
- Camada de betão leve de enchim</t>
  </si>
  <si>
    <t xml:space="preserve">3.9.1.2.1</t>
  </si>
  <si>
    <t xml:space="preserve">Piso 01</t>
  </si>
  <si>
    <t xml:space="preserve">VE.2.03 com 5,33x2,40</t>
  </si>
  <si>
    <t xml:space="preserve">3.11.2.8</t>
  </si>
  <si>
    <t xml:space="preserve">VE.2.02 com 5,33x2,40
Fornecimento e aplicação de caixilharia em perfis de alumínio com 3 folha fixa tipo Navarra fachada cortina série 1520</t>
  </si>
  <si>
    <t xml:space="preserve">CORRIMÃO EM RAMPAS GU 05
Fornecimento e aplicação de guarda corpos com 1,10m de altura. Executado com perfis tubulares de aço metalizado de </t>
  </si>
  <si>
    <t xml:space="preserve">CORRIMÃO EM ESCADAS GU 04
Fornecimento e aplicação de guarda corpos com 1,10m de altura. Executado com perfis tubulares de aço metalizado de</t>
  </si>
  <si>
    <t xml:space="preserve">CONTADOR REDE DE REGA
Fornecimento e montagem de caixa de contador totalizador para instalação de contadores, em alvenaria de tijolo maciços</t>
  </si>
  <si>
    <t xml:space="preserve">4.5.2</t>
  </si>
  <si>
    <t xml:space="preserve">LIGAÇÃO À REDE REGA
Execução de ramal de ligação à rede de rega, incluindo tubagem PEAD PN 10 Kgf/cm2 DN40, levantamento e reposição de pavi</t>
  </si>
  <si>
    <t xml:space="preserve">DN 400</t>
  </si>
  <si>
    <t xml:space="preserve">6.2.5.4</t>
  </si>
  <si>
    <t xml:space="preserve">DN 200</t>
  </si>
  <si>
    <t xml:space="preserve">300x60mm</t>
  </si>
  <si>
    <t xml:space="preserve">7.2.3.2</t>
  </si>
  <si>
    <t xml:space="preserve">200x60mm</t>
  </si>
  <si>
    <t xml:space="preserve">TERRA VEGETAL Na zona de plantação de árvores, camada de terra vegetal com 60 a 90cm sobre camada de brita nº2 bem lavada com 25cm de espess</t>
  </si>
  <si>
    <t xml:space="preserve">13.2.1</t>
  </si>
  <si>
    <t xml:space="preserve">TERRA VEGETAL Fornecimento e aplicação de terra vegetal fertilizada, para posterior aplicação de sementeira de prado e "ou" plantação de arb</t>
  </si>
  <si>
    <t xml:space="preserve">ISOLAMENTO TÉRMICO XPS 50MM Fornecimento e aplicação de isolamento térmico em XPS de 50mm de espessura a aplicar em muros de contenção de te</t>
  </si>
  <si>
    <t xml:space="preserve">SISTEMA DE DRENAGEM E IMPERMEABILIZAÇÃO NO TARDOZ NOS MUROS DE SUPORTE E PAREDES DE CONTENÇÃO
Fornecimento e aplicação, de acordo com instru</t>
  </si>
  <si>
    <t xml:space="preserve">REV. ACU CHAPA ONDULADA PERFURADA PA I.09
Fornecimento e aplicação de paineis de revestimento acústico de paredes em chapa de alumínio lacad</t>
  </si>
  <si>
    <t xml:space="preserve">REV. ACU CHAPA ONDULADA PERFURADA Fornecimento e aplicação de paineis de revestimento acústico de paredes em chapa de alumínio lacada microp</t>
  </si>
  <si>
    <t xml:space="preserve">VE.1.04 com 1,50x2,16</t>
  </si>
  <si>
    <t xml:space="preserve">3.11.2.5.2</t>
  </si>
  <si>
    <t xml:space="preserve">VE.1.09 com 1,50x2,16</t>
  </si>
  <si>
    <t xml:space="preserve">VI.1.01 com 0,98x2,16</t>
  </si>
  <si>
    <t xml:space="preserve">VI.2.01 com 0,98x2,16</t>
  </si>
  <si>
    <t xml:space="preserve">Setor A - Ginásio - 380,00m2</t>
  </si>
  <si>
    <t xml:space="preserve">A'. Ginásio</t>
  </si>
  <si>
    <t xml:space="preserve">TORNEIRA DE LAVATÓRIO
Fornecimento e instalação de Torneira de Lavatório compacta tipo OFA, série Stillstop Ref.: GKT0008N, incluindo Válvul</t>
  </si>
  <si>
    <t xml:space="preserve">3.16.1.7</t>
  </si>
  <si>
    <t xml:space="preserve">TORNEIRA DE LAVATÓRIO MOB. COND. Fornecimento e instalação de Torneira de lavatório hospitalar tipo OFA, série Hospitalar, Ref.: GVT5820, in</t>
  </si>
  <si>
    <t xml:space="preserve">ENCHIMENTO DE VALA
Enchimento de vala com materiais resultantes da escavação e/ou de empréstimo, incluindo cirandagem de terras para o envol</t>
  </si>
  <si>
    <t xml:space="preserve">ESCAVAÇÃO
Abertura de vala em terreno de qualquer natureza para instalação de tubagem com recurso a escoramento incluindo enchimento incluin</t>
  </si>
  <si>
    <t xml:space="preserve">6.2.11.3</t>
  </si>
  <si>
    <t xml:space="preserve">Cx. Simples - rect. (0,80x0,80)</t>
  </si>
  <si>
    <t xml:space="preserve">8.4.1</t>
  </si>
  <si>
    <t xml:space="preserve">Rede de Cabos de Pares de Cobre F/UTP 4/ Cat.6a</t>
  </si>
  <si>
    <t xml:space="preserve">7.7.1.1.5</t>
  </si>
  <si>
    <t xml:space="preserve">.XZ1(zh)(frt)(0,6-1kV) - U3G2,5</t>
  </si>
  <si>
    <t xml:space="preserve">TUTORES Fornecimento e colocação de tutores tipo " Tosca" ou equivalente, deverão ser provenientes de plantas jovens de pinho, direitos, são</t>
  </si>
  <si>
    <t xml:space="preserve">Fornecimento e aplicação de árvore envazada (Ap - Acer pseudoplatanus "plátano-bastardo"), com P.A.P. d=16/18cm e com 4/4,50m de altura, de </t>
  </si>
  <si>
    <t xml:space="preserve">PREÇOS vs MERCADO</t>
  </si>
  <si>
    <t xml:space="preserve">Preço unitário do MQT comparado com referência de mercado (Portugal 2025-2026, sem IVA). Desvio = impacto médio / total do artigo.</t>
  </si>
  <si>
    <t xml:space="preserve">Descrição (MQT)</t>
  </si>
  <si>
    <t xml:space="preserve">Qtd</t>
  </si>
  <si>
    <t xml:space="preserve">Referência de mercado</t>
  </si>
  <si>
    <t xml:space="preserve">Desvio s/ total</t>
  </si>
  <si>
    <t xml:space="preserve">SISTEMA DE MONITORIZAÇÃO
Execução dos trabalhos de instrumentação e monitorização, incluindo plano de instrumentação e monitorização a apresentar pela</t>
  </si>
  <si>
    <t xml:space="preserve">DEMOLIÇÃO DE MUROS E MURETES
Trabalhos de demolição de muros de vedação e ou suporte de terras (ver projeto de estabilidade) com meios manuais, e carg</t>
  </si>
  <si>
    <t xml:space="preserve">ESCAVAÇÃO
Abertura de vala em terreno de qualquer natureza para instalação de tubagem e equipamentos da Rede de Águas Residuais Pluviais, incluindo ba</t>
  </si>
  <si>
    <t xml:space="preserve">GEODRENO
Fornecimento e assentamento de Geodreno em PVC Corrugado Perfurado de dupla parede, segundo a EN 13476-1, incluindo o fornecimento de  brita </t>
  </si>
  <si>
    <t xml:space="preserve">CÂMARA DE VISITA NA LIGAÇÃO À TUBAGEM DE 500mm
Execução de câmaras de visita simples ou de passagem em anéis pré-fabricados de betão com 0,10 de espes</t>
  </si>
  <si>
    <t xml:space="preserve">IMPLEMENTAÇÃO DO PLANO DE QUALIDADE, PLANEAMENTO E GESTÃO DE OBRA
Incluindo:
Elaboração e implementação das fases de obra de modo a garantir que o Pav</t>
  </si>
  <si>
    <t xml:space="preserve">IMPLANTAÇÃO DE OBRA
Trabalhos de implantação e piquetagem de toda a obra, incluindo apoio topográfico, bem como todos os trabalhos necessários à corre</t>
  </si>
  <si>
    <t xml:space="preserve">TRANSPORTE A VAZADOURO
Carga, transporte, descarga e colocação de terras provenientes de escavação, à distância média de 20km de acordo com as especif</t>
  </si>
  <si>
    <t xml:space="preserve">ESTRUTURA METÁLICA INTERIOR Fornecimento e colocação de perfis e Chapas classe S275JR incluindo, tratamento da superfície de acordo com o esquema de p</t>
  </si>
  <si>
    <t xml:space="preserve">COB. TIPO 03
Fornecimento e execução de cobertura do edifício de ligação entre salas desportivas composta pelos seguintes trabalhos (descritos desde a</t>
  </si>
  <si>
    <t xml:space="preserve">REV. ACU EM ZONAS TÉCNICAS PA I.09 Fornecimento e aplicação de Isolamento acústico formado por painel semi-rígido de lã de vidro TECH Slab 3.0 G1 (Pai</t>
  </si>
  <si>
    <t xml:space="preserve">PAV E 01
Fornecimento e aplicação de Pavimento tipo Secil Unipiso de 12cm, assente em caixa de brita de 20cm e com separação com manta tipo IMPERSEP 2</t>
  </si>
  <si>
    <t xml:space="preserve">GUIA E 01.
Fornecimento e aplicação de guia de separação de pavimentos exteriores em chapa de aço corten de 10mm de espessura com uma altura de 20cm,</t>
  </si>
  <si>
    <t xml:space="preserve">PAV E 05
Fornecimento e aplicação de Pavimento em elementos préfabricados de dimensões variadas de betão armado ou reforçado com fibras GRC tipo ACL o</t>
  </si>
  <si>
    <t xml:space="preserve">GUARDA CORPOS TIPO GU 01 INT Fornecimento e aplicação de guarda corpos com 1,10m de altura. Executado com perfis tubulares de aço metalizado de secção</t>
  </si>
  <si>
    <t xml:space="preserve">KIT MOB. CONDICIONADA
Fornecimento e instalação de barras de apoio em aço inox tipo JNF, incluindo todos os acessórios e ligações necessárias ao seu p</t>
  </si>
  <si>
    <t xml:space="preserve">CORTINAS ÁREA DE JOGO
Fornecimento e aplicação de cortina cor e material a aprovar em obra, adequada à separação das áreas de desporto por tramos com </t>
  </si>
  <si>
    <t xml:space="preserve">ENCHIMENTO DE VALA
Enchimento de vala com materiais resultantes da escavação e/ou de empréstimo, incluindo cirandagem de terras para o envolvimento da</t>
  </si>
  <si>
    <t xml:space="preserve">LIGAÇÃO À REDE PÚBLICA
Execução de ramal de ligação à Rede Pública, incluindo tubagem PEAD PN 10 Kgf/cm2, levantamento e reposição de pavimentos, aber</t>
  </si>
  <si>
    <t xml:space="preserve">ESCAVAÇÃO
Abertura de vala em terreno de qualquer natureza para instalação de tubagem com recurso a escoramento incluindo enchimento incluindo baldeaç</t>
  </si>
  <si>
    <t xml:space="preserve">DN1,00; 1,40&lt;h&lt;2,50</t>
  </si>
  <si>
    <t xml:space="preserve">GEODRENO BANCOS
Fornecimento e assentamento de Geodreno em PVC Corrugado Perfurado de dupla parede, segundo a EN 13476-1, incluindo o fornecimento de </t>
  </si>
  <si>
    <t xml:space="preserve">Fornecimento e aplicação de árvore envazada (Ap - Acer pseudoplatanus "plátano-bastardo"), com P.A.P. d=16/18cm e com 4/4,50m de altura, de acordo com</t>
  </si>
  <si>
    <t xml:space="preserve">ATERRO BASE GRANULAR
Aterro e compactação de base granular com brita 30/50 mm, e compactação a 96% do Proctor Modificado com meios mecânicos, numa cam</t>
  </si>
  <si>
    <t xml:space="preserve">Escadas Existentes</t>
  </si>
  <si>
    <t xml:space="preserve">VE.C.02 (1,63 x 1,10 m)
Fornecimento e aplicação de caixilharia em perfis de alumínio tipo Navarra 18200 com corte térmico, à cor Alumínio natural com</t>
  </si>
  <si>
    <t xml:space="preserve">Fornecimento e assentamento de sinalética, em chapa de aço inox de 2mm de espessura cortada a laser, na cor a definir em obra, com desenho e descrição</t>
  </si>
  <si>
    <t xml:space="preserve">ABERTURA DE VALA
Abertura de vala em terreno de classe C, para instalação de tubagem de rede de abastecimento de água , com recurso a escoramento incl</t>
  </si>
  <si>
    <t xml:space="preserve">DN 110</t>
  </si>
  <si>
    <t xml:space="preserve">VERIFICAÇÕES, ENSAIOS E MANUTENÇÃO Verificações, ensaios e manutenção de todas as condutas de água, antes de entrarem em serviço, com o objectivo de a</t>
  </si>
  <si>
    <t xml:space="preserve">LEVANTAMENTO CADASTRAL
Levantamento cadastral das redes executadas e elaboração das telas finais para entegra ao promotor e á entidade Gestora da Rede</t>
  </si>
  <si>
    <t xml:space="preserve">VERIFICAÇÕES, ENSAIOS E MANUTENÇÃO Verificações, ensaios e manutenção de todas as condutas de água, antes de entrarem em serviço, com o objetivo de as</t>
  </si>
  <si>
    <t xml:space="preserve">ENSAIOS, VERIFICAÇÕES E MANUTENÇÃO Execução de ensaios,verificações e manutenção de todas as condutas de água, antes de entrarem em serviço, com o obj</t>
  </si>
  <si>
    <t xml:space="preserve">TRANSPLANTES Remoção das árvores a serem transplantadas para posterior plantação em obra, de acordo com a localização definida nas peças desenhadas. S</t>
  </si>
  <si>
    <t xml:space="preserve">DRENOS Fornecimento e colocação de drenagem para cova de plantação, através da instalação, simultânea à plantação, de 90 cm de tubo de drenagem de PVC</t>
  </si>
  <si>
    <t xml:space="preserve">OMISSÕES</t>
  </si>
  <si>
    <t xml:space="preserve">Trabalhos/itens que faltam no MQT (ou estão incompletos). Impacto = custo a acrescentar.</t>
  </si>
  <si>
    <t xml:space="preserve">Artigo / local</t>
  </si>
  <si>
    <t xml:space="preserve">O que falta</t>
  </si>
  <si>
    <t xml:space="preserve">O que está no MQT</t>
  </si>
  <si>
    <t xml:space="preserve">ERROS, DESCRIÇÕES E NORMAS</t>
  </si>
  <si>
    <t xml:space="preserve">Erros de cálculo/unidade/numeração/texto, descrições incompatíveis, normas, extras e pontos a verificar.</t>
  </si>
  <si>
    <t xml:space="preserve">REJEITADOS NA VERIFICAÇÃO</t>
  </si>
  <si>
    <t xml:space="preserve">Achados propostos que o verificador independente não confirmou (mantidos aqui por transparência; NÃO constam do MAPA nem dos totais).</t>
  </si>
  <si>
    <t xml:space="preserve">Problema proposto</t>
  </si>
  <si>
    <t xml:space="preserve">Motivo da rejeição</t>
  </si>
  <si>
    <t xml:space="preserve">Paisagismo sem rede de rega nem manutenção das plantações</t>
  </si>
  <si>
    <t xml:space="preserve">Os factos estão certos (cap. 13 = 65.465,00 €; 4.3.10 = 900 €; 4.5.2 = 700 €; não há rega nem manutenção no cap. 13), mas esta linha não acrescenta nada: repete as duas linhas «13 (OMISSÃO)», que já estão confirmadas e quantificadas. Mantê-la duplica a contagem de problemas no mapa comparativo. Rejeito-a por redundância.</t>
  </si>
  <si>
    <t xml:space="preserve">4.4.1</t>
  </si>
  <si>
    <t xml:space="preserve">Bomba de recirculação AQS não duplica a bomba secundária AVAC</t>
  </si>
  <si>
    <t xml:space="preserve">A refutação está certa. Confirmei 4.4.1.1 (1.410,20 €), 11.4.1.1 (2 × 5.368,20 = 10.736,40 €) e 11.4.2.1 (6.408,02 €), num total de 17.144,42 €. Os D.AQS (11.3.1, TERMO XL 2000 iX) têm uma serpentina alimentada a partir do DI (11.3.2), o que faz do 'secundário AQS' um circuito fechado. A recirculação potável de 4.2.5 (16,8 + 90,41 = 107,21 m) só tem bomba em 4.4.1, e 'recircula' só aparece em 4.4.1 em todo o MQT. Não há duplicação.</t>
  </si>
  <si>
    <t xml:space="preserve">2.2.6</t>
  </si>
  <si>
    <t xml:space="preserve">'Dinf 2mm' e medição em m3: achado sem fundamento</t>
  </si>
  <si>
    <t xml:space="preserve">A refutação está certa. A NP EN 206 (versão 2013+A1) usa Dlower/Dupper para a dimensão do agregado, e 'Dinf 2mm, Dsup 20mm' é uma especificação válida. O texto inclui betão, cofragem e armaduras, por isso a medição em m3 é aceitável. Valores confirmados (60,36 × 641,02 = 38.691,97). A alternância Dsup/Dmáx é confirmada (2.3.8–2.3.13 usam Dmáx), mas é irrelevante.</t>
  </si>
  <si>
    <t xml:space="preserve">3.16.1.19</t>
  </si>
  <si>
    <t xml:space="preserve">Estantes de pousar são mobiliário, não trabalho de construção</t>
  </si>
  <si>
    <t xml:space="preserve">Valores confirmados (15 × 87,43 = 1 311,45 €). Não é um erro do MQT: incluir equipamento fixo ou semifixo na empreitada é uma opção legítima do projeto, e o texto prevê «possibilidade de fixar à parede» e a instalação. Outros equipamentos do 3.16/3.17 (cabides, bancos, cortinas, estores) seguem o mesmo critério. Achado NOVO sem defeito demonstrado, por isso é rejeitado.</t>
  </si>
  <si>
    <t xml:space="preserve">7.1.4.2</t>
  </si>
  <si>
    <t xml:space="preserve">Mesmo cabo XZ1 1,5 mm² com dois preços unitários</t>
  </si>
  <si>
    <t xml:space="preserve">Valores conferidos no rows.json. A premissa 'mesmo cabo' é falsa: 7.1.4.1/7.1.4.2 são XZ1(zh,frs) (resistente ao fogo, circuito de corte geral) e 7.7.1.1.x são XZ1(zh)(frt). A correção proposta 'frs→frt' degradaria a segurança. A comparação secundária XZ1 UG6 vs XV UG6 (1,92 vs 1,99 €) é de 0,07 €/m e irrelevante. Achado NOVO rejeitado.</t>
  </si>
  <si>
    <t xml:space="preserve">7.7.1.1.2</t>
  </si>
  <si>
    <t xml:space="preserve">Medição de cabo de iluminação coerente com o número de pontos</t>
  </si>
  <si>
    <t xml:space="preserve">Refutação confirmada: luminárias 52+28+15+16+64+8+20+9+12 = 224; blocos 27+50+10 = 87; cabo 90+1.900+10+660+690+505 = 3.855 m → 12,4 m/ponto, dentro do rácio habitual. Não há problema a reportar.</t>
  </si>
  <si>
    <t xml:space="preserve">11.3.3</t>
  </si>
  <si>
    <t xml:space="preserve">Conjunto de válvulas AQS com misturadora eletrónica abaixo do custo</t>
  </si>
  <si>
    <t xml:space="preserve">O texto e o valor (1 × 1.305,85 €) estão certos, mas o preço baixo não fica demonstrado. A referência usa preços de tabela de um produto de topo (LEGIOMIX). Há misturadoras motorizadas com controlador e programa anti-legionela por ≈500–900 € (gamas ESBE/Honeywell), e com descontos de instalador o conjunto pode ficar perto de 1.300–1.600 €. A diferença cabe na dispersão normal de preços. É um achado NOVO e, na dúvida, rejeito.</t>
  </si>
  <si>
    <t xml:space="preserve">Misturadora não duplica 4.3.7; só o grupo de segurança se sobrepõe</t>
  </si>
  <si>
    <t xml:space="preserve">Os valores estão certos (1.305,85; 328; 360; 255 €) e o texto de 4.3.7 é o citado. A refutação está certa: 4.3.7 são válvulas termostáticas de recirculação e não duplicam a misturadora de produção. A única sobreposição que sobra (o grupo de segurança) já está tratada no achado 11.2.1, por isso esta linha não traz nenhum problema próprio e duplicaria esse achado.</t>
  </si>
  <si>
    <t xml:space="preserve">14.2.3</t>
  </si>
  <si>
    <t xml:space="preserve">Três interfaces de supervisão GTC em paralelo (sobredimensionamento)</t>
  </si>
  <si>
    <t xml:space="preserve">Os valores estão certos (2.667,44; 39,81; 1.606,20; 2.504,21 €). Mas um posto local de operação (PC), um painel tátil no quadro e uma licença de supervisor são uma arquitetura comum e legítima: o supervisor cloud depende de ligação externa e de subscrição, e o painel serve para operação no local. É uma opção de projeto, não um erro demonstrável nos dados. Achado NOVO, na dúvida rejeito.</t>
  </si>
</sst>
</file>

<file path=xl/styles.xml><?xml version="1.0" encoding="utf-8"?>
<styleSheet xmlns="http://schemas.openxmlformats.org/spreadsheetml/2006/main">
  <numFmts count="9">
    <numFmt numFmtId="164" formatCode="General"/>
    <numFmt numFmtId="165" formatCode="0"/>
    <numFmt numFmtId="166" formatCode="#,##0&quot; €&quot;;\-#,##0&quot; €&quot;;\-"/>
    <numFmt numFmtId="167" formatCode="#,##0.00&quot; €&quot;;\-#,##0.00&quot; €&quot;;\-"/>
    <numFmt numFmtId="168" formatCode="0.00"/>
    <numFmt numFmtId="169" formatCode="General"/>
    <numFmt numFmtId="170" formatCode="#,##0.00;\-#,##0.00;\-"/>
    <numFmt numFmtId="171" formatCode="0.0000"/>
    <numFmt numFmtId="172" formatCode="0.0%;\-0.0%;\-"/>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1"/>
      <color theme="1"/>
      <name val="Arial"/>
      <family val="0"/>
      <charset val="1"/>
    </font>
    <font>
      <i val="true"/>
      <sz val="9"/>
      <color rgb="FF595959"/>
      <name val="Arial"/>
      <family val="0"/>
      <charset val="1"/>
    </font>
    <font>
      <b val="true"/>
      <sz val="11"/>
      <color rgb="FFC00000"/>
      <name val="Arial"/>
      <family val="0"/>
      <charset val="1"/>
    </font>
    <font>
      <b val="true"/>
      <sz val="11"/>
      <color rgb="FF1F3864"/>
      <name val="Arial"/>
      <family val="0"/>
      <charset val="1"/>
    </font>
    <font>
      <b val="true"/>
      <sz val="11"/>
      <name val="Arial"/>
      <family val="0"/>
      <charset val="1"/>
    </font>
    <font>
      <b val="true"/>
      <sz val="11"/>
      <color rgb="FF008000"/>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11"/>
      <color rgb="FF0000FF"/>
      <name val="Arial"/>
      <family val="0"/>
      <charset val="1"/>
    </font>
    <font>
      <i val="true"/>
      <sz val="8"/>
      <name val="Arial"/>
      <family val="0"/>
      <charset val="1"/>
    </font>
    <font>
      <sz val="10"/>
      <name val="Arial"/>
      <family val="2"/>
    </font>
    <font>
      <b val="true"/>
      <sz val="11"/>
      <color rgb="FF0000FF"/>
      <name val="Arial"/>
      <family val="0"/>
      <charset val="1"/>
    </font>
    <font>
      <i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4CCCC"/>
        <bgColor rgb="FFD9D9D9"/>
      </patternFill>
    </fill>
    <fill>
      <patternFill patternType="solid">
        <fgColor rgb="FFFFFF00"/>
        <bgColor rgb="FFFFFF00"/>
      </patternFill>
    </fill>
    <fill>
      <patternFill patternType="solid">
        <fgColor rgb="FFFCE5CD"/>
        <bgColor rgb="FFFFF2CC"/>
      </patternFill>
    </fill>
    <fill>
      <patternFill patternType="solid">
        <fgColor rgb="FFFFF2CC"/>
        <bgColor rgb="FFFCE5CD"/>
      </patternFill>
    </fill>
    <fill>
      <patternFill patternType="solid">
        <fgColor rgb="FFD9EAD3"/>
        <bgColor rgb="FFC6EFCE"/>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7" fontId="1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70" fontId="15"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8" fontId="18" fillId="4"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7" fontId="1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center" vertical="center" textRotation="0" wrapText="true" indent="0" shrinkToFit="false"/>
      <protection locked="true" hidden="false"/>
    </xf>
    <xf numFmtId="169" fontId="9"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70" fontId="5" fillId="0" borderId="1" xfId="0" applyFont="true" applyBorder="true" applyAlignment="true" applyProtection="false">
      <alignment horizontal="general" vertical="top" textRotation="0" wrapText="true" indent="0" shrinkToFit="false"/>
      <protection locked="true" hidden="false"/>
    </xf>
    <xf numFmtId="172"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00"/>
          <bgColor rgb="FF000000"/>
        </patternFill>
      </fill>
    </dxf>
    <dxf>
      <fill>
        <patternFill>
          <bgColor rgb="FFC6EFCE"/>
        </patternFill>
      </fill>
    </dxf>
    <dxf>
      <fill>
        <patternFill>
          <bgColor rgb="FFDDEBF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AD3"/>
      <rgbColor rgb="FFC6EFCE"/>
      <rgbColor rgb="FFFCE5CD"/>
      <rgbColor rgb="FF99CCFF"/>
      <rgbColor rgb="FFFF99CC"/>
      <rgbColor rgb="FFCC99FF"/>
      <rgbColor rgb="FFF4CCCC"/>
      <rgbColor rgb="FF3366FF"/>
      <rgbColor rgb="FF33CCCC"/>
      <rgbColor rgb="FF99CC00"/>
      <rgbColor rgb="FFFFC000"/>
      <rgbColor rgb="FFFF9900"/>
      <rgbColor rgb="FFED7D31"/>
      <rgbColor rgb="FF595959"/>
      <rgbColor rgb="FFA6A6A6"/>
      <rgbColor rgb="FF1F3864"/>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Achados por tipo e gravidade</a:t>
            </a:r>
          </a:p>
        </c:rich>
      </c:tx>
      <c:overlay val="0"/>
      <c:spPr>
        <a:noFill/>
        <a:ln w="0">
          <a:noFill/>
        </a:ln>
      </c:spPr>
    </c:title>
    <c:autoTitleDeleted val="0"/>
    <c:plotArea>
      <c:barChart>
        <c:barDir val="bar"/>
        <c:grouping val="stacked"/>
        <c:varyColors val="0"/>
        <c:ser>
          <c:idx val="0"/>
          <c:order val="0"/>
          <c:tx>
            <c:strRef>
              <c:f>PAINEL!C21</c:f>
              <c:strCache>
                <c:ptCount val="1"/>
                <c:pt idx="0">
                  <c:v>CRÍTICA</c:v>
                </c:pt>
              </c:strCache>
            </c:strRef>
          </c:tx>
          <c:spPr>
            <a:solidFill>
              <a:srgbClr val="c00000"/>
            </a:solidFill>
            <a:ln w="0">
              <a:solidFill>
                <a:srgbClr val="c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PAINEL!$A$22:$A$32</c:f>
              <c:strCache>
                <c:ptCount val="11"/>
                <c:pt idx="0">
                  <c:v>ERRO</c:v>
                </c:pt>
                <c:pt idx="1">
                  <c:v>FALHA/OMISSÃO</c:v>
                </c:pt>
                <c:pt idx="2">
                  <c:v>DUPLICAÇÃO</c:v>
                </c:pt>
                <c:pt idx="3">
                  <c:v>PREÇO BAIXO</c:v>
                </c:pt>
                <c:pt idx="4">
                  <c:v>PREÇO ALTO</c:v>
                </c:pt>
                <c:pt idx="5">
                  <c:v>INCOERÊNCIA</c:v>
                </c:pt>
                <c:pt idx="6">
                  <c:v>DESCRIÇÃO</c:v>
                </c:pt>
                <c:pt idx="7">
                  <c:v>NORMA</c:v>
                </c:pt>
                <c:pt idx="8">
                  <c:v>INCOMPATIBILIDADE</c:v>
                </c:pt>
                <c:pt idx="9">
                  <c:v>EXTRA/FORA DE ÂMBITO</c:v>
                </c:pt>
                <c:pt idx="10">
                  <c:v>VERIFICAR</c:v>
                </c:pt>
              </c:strCache>
            </c:strRef>
          </c:cat>
          <c:val>
            <c:numRef>
              <c:f>PAINEL!$C$22:$C$32</c:f>
              <c:numCache>
                <c:formatCode>General</c:formatCode>
                <c:ptCount val="11"/>
                <c:pt idx="0">
                  <c:v>1</c:v>
                </c:pt>
                <c:pt idx="1">
                  <c:v>0</c:v>
                </c:pt>
                <c:pt idx="2">
                  <c:v>0</c:v>
                </c:pt>
                <c:pt idx="3">
                  <c:v>0</c:v>
                </c:pt>
                <c:pt idx="4">
                  <c:v>0</c:v>
                </c:pt>
                <c:pt idx="5">
                  <c:v>0</c:v>
                </c:pt>
                <c:pt idx="6">
                  <c:v>0</c:v>
                </c:pt>
                <c:pt idx="7">
                  <c:v>0</c:v>
                </c:pt>
                <c:pt idx="8">
                  <c:v>0</c:v>
                </c:pt>
                <c:pt idx="9">
                  <c:v>0</c:v>
                </c:pt>
                <c:pt idx="10">
                  <c:v>0</c:v>
                </c:pt>
              </c:numCache>
            </c:numRef>
          </c:val>
        </c:ser>
        <c:ser>
          <c:idx val="1"/>
          <c:order val="1"/>
          <c:tx>
            <c:strRef>
              <c:f>PAINEL!D21</c:f>
              <c:strCache>
                <c:ptCount val="1"/>
                <c:pt idx="0">
                  <c:v>ALTA</c:v>
                </c:pt>
              </c:strCache>
            </c:strRef>
          </c:tx>
          <c:spPr>
            <a:solidFill>
              <a:srgbClr val="ed7d31"/>
            </a:solidFill>
            <a:ln w="0">
              <a:solidFill>
                <a:srgbClr val="ed7d3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PAINEL!$A$22:$A$32</c:f>
              <c:strCache>
                <c:ptCount val="11"/>
                <c:pt idx="0">
                  <c:v>ERRO</c:v>
                </c:pt>
                <c:pt idx="1">
                  <c:v>FALHA/OMISSÃO</c:v>
                </c:pt>
                <c:pt idx="2">
                  <c:v>DUPLICAÇÃO</c:v>
                </c:pt>
                <c:pt idx="3">
                  <c:v>PREÇO BAIXO</c:v>
                </c:pt>
                <c:pt idx="4">
                  <c:v>PREÇO ALTO</c:v>
                </c:pt>
                <c:pt idx="5">
                  <c:v>INCOERÊNCIA</c:v>
                </c:pt>
                <c:pt idx="6">
                  <c:v>DESCRIÇÃO</c:v>
                </c:pt>
                <c:pt idx="7">
                  <c:v>NORMA</c:v>
                </c:pt>
                <c:pt idx="8">
                  <c:v>INCOMPATIBILIDADE</c:v>
                </c:pt>
                <c:pt idx="9">
                  <c:v>EXTRA/FORA DE ÂMBITO</c:v>
                </c:pt>
                <c:pt idx="10">
                  <c:v>VERIFICAR</c:v>
                </c:pt>
              </c:strCache>
            </c:strRef>
          </c:cat>
          <c:val>
            <c:numRef>
              <c:f>PAINEL!$D$22:$D$32</c:f>
              <c:numCache>
                <c:formatCode>General</c:formatCode>
                <c:ptCount val="11"/>
                <c:pt idx="0">
                  <c:v>3</c:v>
                </c:pt>
                <c:pt idx="1">
                  <c:v>12</c:v>
                </c:pt>
                <c:pt idx="2">
                  <c:v>5</c:v>
                </c:pt>
                <c:pt idx="3">
                  <c:v>6</c:v>
                </c:pt>
                <c:pt idx="4">
                  <c:v>0</c:v>
                </c:pt>
                <c:pt idx="5">
                  <c:v>2</c:v>
                </c:pt>
                <c:pt idx="6">
                  <c:v>3</c:v>
                </c:pt>
                <c:pt idx="7">
                  <c:v>2</c:v>
                </c:pt>
                <c:pt idx="8">
                  <c:v>0</c:v>
                </c:pt>
                <c:pt idx="9">
                  <c:v>0</c:v>
                </c:pt>
                <c:pt idx="10">
                  <c:v>1</c:v>
                </c:pt>
              </c:numCache>
            </c:numRef>
          </c:val>
        </c:ser>
        <c:ser>
          <c:idx val="2"/>
          <c:order val="2"/>
          <c:tx>
            <c:strRef>
              <c:f>PAINEL!E21</c:f>
              <c:strCache>
                <c:ptCount val="1"/>
                <c:pt idx="0">
                  <c:v>MÉDIA</c:v>
                </c:pt>
              </c:strCache>
            </c:strRef>
          </c:tx>
          <c:spPr>
            <a:solidFill>
              <a:srgbClr val="ffc000"/>
            </a:solidFill>
            <a:ln w="0">
              <a:solidFill>
                <a:srgbClr val="ffc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PAINEL!$A$22:$A$32</c:f>
              <c:strCache>
                <c:ptCount val="11"/>
                <c:pt idx="0">
                  <c:v>ERRO</c:v>
                </c:pt>
                <c:pt idx="1">
                  <c:v>FALHA/OMISSÃO</c:v>
                </c:pt>
                <c:pt idx="2">
                  <c:v>DUPLICAÇÃO</c:v>
                </c:pt>
                <c:pt idx="3">
                  <c:v>PREÇO BAIXO</c:v>
                </c:pt>
                <c:pt idx="4">
                  <c:v>PREÇO ALTO</c:v>
                </c:pt>
                <c:pt idx="5">
                  <c:v>INCOERÊNCIA</c:v>
                </c:pt>
                <c:pt idx="6">
                  <c:v>DESCRIÇÃO</c:v>
                </c:pt>
                <c:pt idx="7">
                  <c:v>NORMA</c:v>
                </c:pt>
                <c:pt idx="8">
                  <c:v>INCOMPATIBILIDADE</c:v>
                </c:pt>
                <c:pt idx="9">
                  <c:v>EXTRA/FORA DE ÂMBITO</c:v>
                </c:pt>
                <c:pt idx="10">
                  <c:v>VERIFICAR</c:v>
                </c:pt>
              </c:strCache>
            </c:strRef>
          </c:cat>
          <c:val>
            <c:numRef>
              <c:f>PAINEL!$E$22:$E$32</c:f>
              <c:numCache>
                <c:formatCode>General</c:formatCode>
                <c:ptCount val="11"/>
                <c:pt idx="0">
                  <c:v>4</c:v>
                </c:pt>
                <c:pt idx="1">
                  <c:v>15</c:v>
                </c:pt>
                <c:pt idx="2">
                  <c:v>3</c:v>
                </c:pt>
                <c:pt idx="3">
                  <c:v>20</c:v>
                </c:pt>
                <c:pt idx="4">
                  <c:v>1</c:v>
                </c:pt>
                <c:pt idx="5">
                  <c:v>9</c:v>
                </c:pt>
                <c:pt idx="6">
                  <c:v>9</c:v>
                </c:pt>
                <c:pt idx="7">
                  <c:v>5</c:v>
                </c:pt>
                <c:pt idx="8">
                  <c:v>1</c:v>
                </c:pt>
                <c:pt idx="9">
                  <c:v>1</c:v>
                </c:pt>
                <c:pt idx="10">
                  <c:v>14</c:v>
                </c:pt>
              </c:numCache>
            </c:numRef>
          </c:val>
        </c:ser>
        <c:ser>
          <c:idx val="3"/>
          <c:order val="3"/>
          <c:tx>
            <c:strRef>
              <c:f>PAINEL!F21</c:f>
              <c:strCache>
                <c:ptCount val="1"/>
                <c:pt idx="0">
                  <c:v>BAIXA</c:v>
                </c:pt>
              </c:strCache>
            </c:strRef>
          </c:tx>
          <c:spPr>
            <a:solidFill>
              <a:srgbClr val="70ad47"/>
            </a:solidFill>
            <a:ln w="0">
              <a:solidFill>
                <a:srgbClr val="70ad4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PAINEL!$A$22:$A$32</c:f>
              <c:strCache>
                <c:ptCount val="11"/>
                <c:pt idx="0">
                  <c:v>ERRO</c:v>
                </c:pt>
                <c:pt idx="1">
                  <c:v>FALHA/OMISSÃO</c:v>
                </c:pt>
                <c:pt idx="2">
                  <c:v>DUPLICAÇÃO</c:v>
                </c:pt>
                <c:pt idx="3">
                  <c:v>PREÇO BAIXO</c:v>
                </c:pt>
                <c:pt idx="4">
                  <c:v>PREÇO ALTO</c:v>
                </c:pt>
                <c:pt idx="5">
                  <c:v>INCOERÊNCIA</c:v>
                </c:pt>
                <c:pt idx="6">
                  <c:v>DESCRIÇÃO</c:v>
                </c:pt>
                <c:pt idx="7">
                  <c:v>NORMA</c:v>
                </c:pt>
                <c:pt idx="8">
                  <c:v>INCOMPATIBILIDADE</c:v>
                </c:pt>
                <c:pt idx="9">
                  <c:v>EXTRA/FORA DE ÂMBITO</c:v>
                </c:pt>
                <c:pt idx="10">
                  <c:v>VERIFICAR</c:v>
                </c:pt>
              </c:strCache>
            </c:strRef>
          </c:cat>
          <c:val>
            <c:numRef>
              <c:f>PAINEL!$F$22:$F$32</c:f>
              <c:numCache>
                <c:formatCode>General</c:formatCode>
                <c:ptCount val="11"/>
                <c:pt idx="0">
                  <c:v>14</c:v>
                </c:pt>
                <c:pt idx="1">
                  <c:v>4</c:v>
                </c:pt>
                <c:pt idx="2">
                  <c:v>9</c:v>
                </c:pt>
                <c:pt idx="3">
                  <c:v>13</c:v>
                </c:pt>
                <c:pt idx="4">
                  <c:v>1</c:v>
                </c:pt>
                <c:pt idx="5">
                  <c:v>13</c:v>
                </c:pt>
                <c:pt idx="6">
                  <c:v>11</c:v>
                </c:pt>
                <c:pt idx="7">
                  <c:v>3</c:v>
                </c:pt>
                <c:pt idx="8">
                  <c:v>0</c:v>
                </c:pt>
                <c:pt idx="9">
                  <c:v>0</c:v>
                </c:pt>
                <c:pt idx="10">
                  <c:v>17</c:v>
                </c:pt>
              </c:numCache>
            </c:numRef>
          </c:val>
        </c:ser>
        <c:gapWidth val="150"/>
        <c:overlap val="100"/>
        <c:axId val="59358596"/>
        <c:axId val="1871040"/>
      </c:barChart>
      <c:catAx>
        <c:axId val="593585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71040"/>
        <c:crosses val="autoZero"/>
        <c:auto val="1"/>
        <c:lblAlgn val="ctr"/>
        <c:lblOffset val="100"/>
        <c:noMultiLvlLbl val="0"/>
      </c:catAx>
      <c:valAx>
        <c:axId val="1871040"/>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Nº de achados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3585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Achados por capítulo</a:t>
            </a:r>
          </a:p>
        </c:rich>
      </c:tx>
      <c:overlay val="0"/>
      <c:spPr>
        <a:noFill/>
        <a:ln w="0">
          <a:noFill/>
        </a:ln>
      </c:spPr>
    </c:title>
    <c:autoTitleDeleted val="0"/>
    <c:plotArea>
      <c:barChart>
        <c:barDir val="col"/>
        <c:grouping val="clustered"/>
        <c:varyColors val="0"/>
        <c:ser>
          <c:idx val="0"/>
          <c:order val="0"/>
          <c:tx>
            <c:strRef>
              <c:f>'MATRIZ CAP×TIPO'!N4</c:f>
              <c:strCache>
                <c:ptCount val="1"/>
                <c:pt idx="0">
                  <c:v>TOTAL</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'MATRIZ CAP×TIPO'!$A$5:$A$19</c:f>
              <c:strCach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GERAL</c:v>
                </c:pt>
              </c:strCache>
            </c:strRef>
          </c:cat>
          <c:val>
            <c:numRef>
              <c:f>'MATRIZ CAP×TIPO'!$N$5:$N$19</c:f>
              <c:numCache>
                <c:formatCode>General</c:formatCode>
                <c:ptCount val="15"/>
                <c:pt idx="0">
                  <c:v>5</c:v>
                </c:pt>
                <c:pt idx="1">
                  <c:v>35</c:v>
                </c:pt>
                <c:pt idx="2">
                  <c:v>59</c:v>
                </c:pt>
                <c:pt idx="3">
                  <c:v>13</c:v>
                </c:pt>
                <c:pt idx="4">
                  <c:v>9</c:v>
                </c:pt>
                <c:pt idx="5">
                  <c:v>11</c:v>
                </c:pt>
                <c:pt idx="6">
                  <c:v>23</c:v>
                </c:pt>
                <c:pt idx="7">
                  <c:v>2</c:v>
                </c:pt>
                <c:pt idx="8">
                  <c:v>2</c:v>
                </c:pt>
                <c:pt idx="9">
                  <c:v>11</c:v>
                </c:pt>
                <c:pt idx="10">
                  <c:v>14</c:v>
                </c:pt>
                <c:pt idx="11">
                  <c:v>1</c:v>
                </c:pt>
                <c:pt idx="12">
                  <c:v>8</c:v>
                </c:pt>
                <c:pt idx="13">
                  <c:v>4</c:v>
                </c:pt>
                <c:pt idx="14">
                  <c:v>5</c:v>
                </c:pt>
              </c:numCache>
            </c:numRef>
          </c:val>
        </c:ser>
        <c:gapWidth val="150"/>
        <c:overlap val="0"/>
        <c:axId val="38666748"/>
        <c:axId val="7279741"/>
      </c:barChart>
      <c:catAx>
        <c:axId val="386667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79741"/>
        <c:crosses val="autoZero"/>
        <c:auto val="1"/>
        <c:lblAlgn val="ctr"/>
        <c:lblOffset val="100"/>
        <c:noMultiLvlLbl val="0"/>
      </c:catAx>
      <c:valAx>
        <c:axId val="727974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Nº</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66674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160920</xdr:rowOff>
    </xdr:from>
    <xdr:to>
      <xdr:col>20</xdr:col>
      <xdr:colOff>364320</xdr:colOff>
      <xdr:row>19</xdr:row>
      <xdr:rowOff>162000</xdr:rowOff>
    </xdr:to>
    <xdr:graphicFrame>
      <xdr:nvGraphicFramePr>
        <xdr:cNvPr id="0" name="Chart 1"/>
        <xdr:cNvGraphicFramePr/>
      </xdr:nvGraphicFramePr>
      <xdr:xfrm>
        <a:off x="1118412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21</xdr:row>
      <xdr:rowOff>10440</xdr:rowOff>
    </xdr:from>
    <xdr:to>
      <xdr:col>20</xdr:col>
      <xdr:colOff>364320</xdr:colOff>
      <xdr:row>36</xdr:row>
      <xdr:rowOff>32400</xdr:rowOff>
    </xdr:to>
    <xdr:graphicFrame>
      <xdr:nvGraphicFramePr>
        <xdr:cNvPr id="1" name="Chart 2"/>
        <xdr:cNvGraphicFramePr/>
      </xdr:nvGraphicFramePr>
      <xdr:xfrm>
        <a:off x="11184120" y="419112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
    <col collapsed="false" customWidth="true" hidden="false" outlineLevel="0" max="3" min="3" style="0" width="18"/>
    <col collapsed="false" customWidth="true" hidden="false" outlineLevel="0" max="7" min="4" style="0" width="13"/>
    <col collapsed="false" customWidth="true" hidden="false" outlineLevel="0" max="9" min="8" style="0" width="16"/>
  </cols>
  <sheetData>
    <row r="1" customFormat="false" ht="17.35" hidden="false" customHeight="false" outlineLevel="0" collapsed="false">
      <c r="A1" s="1" t="s">
        <v>0</v>
      </c>
      <c r="B1" s="2"/>
      <c r="C1" s="2"/>
      <c r="D1" s="2"/>
      <c r="E1" s="2"/>
      <c r="F1" s="2"/>
      <c r="G1" s="2"/>
      <c r="H1" s="2"/>
      <c r="I1" s="2"/>
    </row>
    <row r="2" customFormat="false" ht="15" hidden="false" customHeight="false" outlineLevel="0" collapsed="false">
      <c r="A2" s="3" t="s">
        <v>1</v>
      </c>
      <c r="B2" s="2"/>
      <c r="C2" s="2"/>
      <c r="D2" s="2"/>
      <c r="E2" s="2"/>
      <c r="F2" s="2"/>
      <c r="G2" s="2"/>
      <c r="H2" s="2"/>
      <c r="I2" s="2"/>
    </row>
    <row r="3" customFormat="false" ht="15" hidden="false" customHeight="false" outlineLevel="0" collapsed="false">
      <c r="A3" s="4" t="s">
        <v>2</v>
      </c>
      <c r="B3" s="2"/>
      <c r="C3" s="2"/>
      <c r="D3" s="2"/>
      <c r="E3" s="2"/>
      <c r="F3" s="2"/>
      <c r="G3" s="2"/>
      <c r="H3" s="2"/>
      <c r="I3" s="2"/>
    </row>
    <row r="4" customFormat="false" ht="15" hidden="false" customHeight="false" outlineLevel="0" collapsed="false">
      <c r="A4" s="5" t="s">
        <v>3</v>
      </c>
      <c r="B4" s="2"/>
      <c r="C4" s="2"/>
      <c r="D4" s="2"/>
      <c r="E4" s="2"/>
      <c r="F4" s="2"/>
      <c r="G4" s="2"/>
      <c r="H4" s="2"/>
      <c r="I4" s="2"/>
    </row>
    <row r="5" customFormat="false" ht="15" hidden="false" customHeight="false" outlineLevel="0" collapsed="false">
      <c r="A5" s="6" t="s">
        <v>4</v>
      </c>
      <c r="B5" s="2"/>
      <c r="C5" s="7" t="n">
        <f aca="false">COUNTIFS('MAPA COMPARATIVO'!$V$5:$V$206,"&lt;&gt;REJEITADO")</f>
        <v>202</v>
      </c>
      <c r="D5" s="2"/>
      <c r="E5" s="2"/>
      <c r="F5" s="2"/>
      <c r="G5" s="2"/>
      <c r="H5" s="2"/>
      <c r="I5" s="2"/>
    </row>
    <row r="6" customFormat="false" ht="15" hidden="false" customHeight="false" outlineLevel="0" collapsed="false">
      <c r="A6" s="6" t="s">
        <v>5</v>
      </c>
      <c r="B6" s="2"/>
      <c r="C6" s="7" t="n">
        <f aca="false">COUNTIFS('MAPA COMPARATIVO'!$G$5:$G$206,"CRÍTICA",'MAPA COMPARATIVO'!$V$5:$V$206,"&lt;&gt;REJEITADO")</f>
        <v>1</v>
      </c>
      <c r="D6" s="2"/>
      <c r="E6" s="2"/>
      <c r="F6" s="2"/>
      <c r="G6" s="2"/>
      <c r="H6" s="2"/>
      <c r="I6" s="2"/>
    </row>
    <row r="7" customFormat="false" ht="15" hidden="false" customHeight="false" outlineLevel="0" collapsed="false">
      <c r="A7" s="6" t="s">
        <v>6</v>
      </c>
      <c r="B7" s="2"/>
      <c r="C7" s="7" t="n">
        <f aca="false">COUNTIFS('MAPA COMPARATIVO'!$G$5:$G$206,"ALTA",'MAPA COMPARATIVO'!$V$5:$V$206,"&lt;&gt;REJEITADO")</f>
        <v>34</v>
      </c>
      <c r="D7" s="2"/>
      <c r="E7" s="2"/>
      <c r="F7" s="2"/>
      <c r="G7" s="2"/>
      <c r="H7" s="2"/>
      <c r="I7" s="2"/>
    </row>
    <row r="8" customFormat="false" ht="15" hidden="false" customHeight="false" outlineLevel="0" collapsed="false">
      <c r="A8" s="6" t="s">
        <v>7</v>
      </c>
      <c r="B8" s="2"/>
      <c r="C8" s="7" t="n">
        <f aca="false">COUNTA('REJEITADOS NA VERIFICAÇÃO'!A5:A500)</f>
        <v>9</v>
      </c>
      <c r="D8" s="2"/>
      <c r="E8" s="2"/>
      <c r="F8" s="2"/>
      <c r="G8" s="2"/>
      <c r="H8" s="2"/>
      <c r="I8" s="2"/>
    </row>
    <row r="9" customFormat="false" ht="15" hidden="false" customHeight="false" outlineLevel="0" collapsed="false">
      <c r="A9" s="6" t="s">
        <v>8</v>
      </c>
      <c r="B9" s="2"/>
      <c r="C9" s="8" t="n">
        <f aca="false">'CUSTO vs VENDA'!C21</f>
        <v>4499642.08</v>
      </c>
      <c r="D9" s="2"/>
      <c r="E9" s="2"/>
      <c r="F9" s="2"/>
      <c r="G9" s="2"/>
      <c r="H9" s="2"/>
      <c r="I9" s="2"/>
    </row>
    <row r="10" customFormat="false" ht="15" hidden="false" customHeight="false" outlineLevel="0" collapsed="false">
      <c r="A10" s="6" t="s">
        <v>9</v>
      </c>
      <c r="B10" s="2"/>
      <c r="C10" s="8" t="n">
        <f aca="false">'CUSTO vs VENDA'!D21</f>
        <v>4499629.96</v>
      </c>
      <c r="D10" s="2"/>
      <c r="E10" s="2"/>
      <c r="F10" s="2"/>
      <c r="G10" s="2"/>
      <c r="H10" s="2"/>
      <c r="I10" s="2"/>
    </row>
    <row r="11" customFormat="false" ht="15" hidden="false" customHeight="false" outlineLevel="0" collapsed="false">
      <c r="A11" s="6" t="s">
        <v>10</v>
      </c>
      <c r="B11" s="2"/>
      <c r="C11" s="9" t="n">
        <f aca="false">'CUSTO vs VENDA'!E21</f>
        <v>-12.1199999999808</v>
      </c>
      <c r="D11" s="2"/>
      <c r="E11" s="2"/>
      <c r="F11" s="2"/>
      <c r="G11" s="2"/>
      <c r="H11" s="2"/>
      <c r="I11" s="2"/>
    </row>
    <row r="12" customFormat="false" ht="15" hidden="false" customHeight="false" outlineLevel="0" collapsed="false">
      <c r="A12" s="6" t="s">
        <v>11</v>
      </c>
      <c r="B12" s="2"/>
      <c r="C12" s="8" t="n">
        <f aca="false">SUMIFS('MAPA COMPARATIVO'!$O$5:$O$206,'MAPA COMPARATIVO'!$V$5:$V$206,"&lt;&gt;REJEITADO")</f>
        <v>115594.89</v>
      </c>
      <c r="D12" s="2"/>
      <c r="E12" s="2"/>
      <c r="F12" s="2"/>
      <c r="G12" s="2"/>
      <c r="H12" s="2"/>
      <c r="I12" s="2"/>
    </row>
    <row r="13" customFormat="false" ht="15" hidden="false" customHeight="false" outlineLevel="0" collapsed="false">
      <c r="A13" s="6" t="s">
        <v>12</v>
      </c>
      <c r="B13" s="2"/>
      <c r="C13" s="8" t="n">
        <f aca="false">SUMIFS('MAPA COMPARATIVO'!$P$5:$P$206,'MAPA COMPARATIVO'!$V$5:$V$206,"&lt;&gt;REJEITADO")</f>
        <v>399725.14</v>
      </c>
      <c r="D13" s="2"/>
      <c r="E13" s="2"/>
      <c r="F13" s="2"/>
      <c r="G13" s="2"/>
      <c r="H13" s="2"/>
      <c r="I13" s="2"/>
    </row>
    <row r="14" customFormat="false" ht="15" hidden="false" customHeight="false" outlineLevel="0" collapsed="false">
      <c r="A14" s="6" t="s">
        <v>13</v>
      </c>
      <c r="B14" s="2"/>
      <c r="C14" s="8" t="n">
        <f aca="false">'CUSTO vs VENDA'!I21</f>
        <v>4615236.97</v>
      </c>
      <c r="D14" s="2"/>
      <c r="E14" s="2"/>
      <c r="F14" s="2"/>
      <c r="G14" s="2"/>
      <c r="H14" s="2"/>
      <c r="I14" s="2"/>
    </row>
    <row r="15" customFormat="false" ht="15" hidden="false" customHeight="false" outlineLevel="0" collapsed="false">
      <c r="A15" s="6" t="s">
        <v>14</v>
      </c>
      <c r="B15" s="2"/>
      <c r="C15" s="8" t="n">
        <f aca="false">'CUSTO vs VENDA'!J21</f>
        <v>4899367.22</v>
      </c>
      <c r="D15" s="2"/>
      <c r="E15" s="2"/>
      <c r="F15" s="2"/>
      <c r="G15" s="2"/>
      <c r="H15" s="2"/>
      <c r="I15" s="2"/>
    </row>
    <row r="16" customFormat="false" ht="15" hidden="false" customHeight="false" outlineLevel="0" collapsed="false">
      <c r="A16" s="6" t="s">
        <v>15</v>
      </c>
      <c r="B16" s="2"/>
      <c r="C16" s="8" t="n">
        <f aca="false">'CUSTO vs VENDA'!K21</f>
        <v>5538284.364</v>
      </c>
      <c r="D16" s="2"/>
      <c r="E16" s="2"/>
      <c r="F16" s="2"/>
      <c r="G16" s="2"/>
      <c r="H16" s="2"/>
      <c r="I16" s="2"/>
    </row>
    <row r="17" customFormat="false" ht="15" hidden="false" customHeight="false" outlineLevel="0" collapsed="false">
      <c r="A17" s="6" t="s">
        <v>16</v>
      </c>
      <c r="B17" s="2"/>
      <c r="C17" s="8" t="n">
        <f aca="false">'CUSTO vs VENDA'!L21</f>
        <v>5879240.664</v>
      </c>
      <c r="D17" s="2"/>
      <c r="E17" s="2"/>
      <c r="F17" s="2"/>
      <c r="G17" s="2"/>
      <c r="H17" s="2"/>
      <c r="I17" s="2"/>
    </row>
    <row r="18" customFormat="false" ht="15" hidden="false" customHeight="false" outlineLevel="0" collapsed="false">
      <c r="A18" s="6" t="s">
        <v>17</v>
      </c>
      <c r="B18" s="2"/>
      <c r="C18" s="10" t="n">
        <f aca="false">'CUSTO vs VENDA'!C3</f>
        <v>1.2</v>
      </c>
      <c r="D18" s="2"/>
      <c r="E18" s="2"/>
      <c r="F18" s="2"/>
      <c r="G18" s="2"/>
      <c r="H18" s="2"/>
      <c r="I18" s="2"/>
    </row>
    <row r="19" customFormat="false" ht="15" hidden="false" customHeight="false" outlineLevel="0" collapsed="false">
      <c r="A19" s="2"/>
      <c r="B19" s="2"/>
      <c r="C19" s="2"/>
      <c r="D19" s="2"/>
      <c r="E19" s="2"/>
      <c r="F19" s="2"/>
      <c r="G19" s="2"/>
      <c r="H19" s="2"/>
      <c r="I19" s="2"/>
    </row>
    <row r="20" customFormat="false" ht="15" hidden="false" customHeight="false" outlineLevel="0" collapsed="false">
      <c r="A20" s="5" t="s">
        <v>18</v>
      </c>
      <c r="B20" s="2"/>
      <c r="C20" s="2"/>
      <c r="D20" s="2"/>
      <c r="E20" s="2"/>
      <c r="F20" s="2"/>
      <c r="G20" s="2"/>
      <c r="H20" s="2"/>
      <c r="I20" s="2"/>
    </row>
    <row r="21" customFormat="false" ht="26.85" hidden="false" customHeight="false" outlineLevel="0" collapsed="false">
      <c r="A21" s="11" t="s">
        <v>19</v>
      </c>
      <c r="B21" s="11"/>
      <c r="C21" s="11" t="s">
        <v>20</v>
      </c>
      <c r="D21" s="11" t="s">
        <v>21</v>
      </c>
      <c r="E21" s="11" t="s">
        <v>22</v>
      </c>
      <c r="F21" s="11" t="s">
        <v>23</v>
      </c>
      <c r="G21" s="11" t="s">
        <v>24</v>
      </c>
      <c r="H21" s="11" t="s">
        <v>25</v>
      </c>
      <c r="I21" s="11" t="s">
        <v>26</v>
      </c>
    </row>
    <row r="22" customFormat="false" ht="15" hidden="false" customHeight="false" outlineLevel="0" collapsed="false">
      <c r="A22" s="12" t="s">
        <v>27</v>
      </c>
      <c r="B22" s="12"/>
      <c r="C22" s="12" t="n">
        <f aca="false">COUNTIFS('MAPA COMPARATIVO'!$F$5:$F$206,$A22,'MAPA COMPARATIVO'!$G$5:$G$206,"CRÍTICA",'MAPA COMPARATIVO'!$V$5:$V$206,"&lt;&gt;REJEITADO")</f>
        <v>1</v>
      </c>
      <c r="D22" s="12" t="n">
        <f aca="false">COUNTIFS('MAPA COMPARATIVO'!$F$5:$F$206,$A22,'MAPA COMPARATIVO'!$G$5:$G$206,"ALTA",'MAPA COMPARATIVO'!$V$5:$V$206,"&lt;&gt;REJEITADO")</f>
        <v>3</v>
      </c>
      <c r="E22" s="12" t="n">
        <f aca="false">COUNTIFS('MAPA COMPARATIVO'!$F$5:$F$206,$A22,'MAPA COMPARATIVO'!$G$5:$G$206,"MÉDIA",'MAPA COMPARATIVO'!$V$5:$V$206,"&lt;&gt;REJEITADO")</f>
        <v>4</v>
      </c>
      <c r="F22" s="12" t="n">
        <f aca="false">COUNTIFS('MAPA COMPARATIVO'!$F$5:$F$206,$A22,'MAPA COMPARATIVO'!$G$5:$G$206,"BAIXA",'MAPA COMPARATIVO'!$V$5:$V$206,"&lt;&gt;REJEITADO")</f>
        <v>14</v>
      </c>
      <c r="G22" s="13" t="n">
        <f aca="false">SUM(C22:F22)</f>
        <v>22</v>
      </c>
      <c r="H22" s="14" t="n">
        <f aca="false">SUMIFS('MAPA COMPARATIVO'!$O$5:$O$206,'MAPA COMPARATIVO'!$F$5:$F$206,$A22,'MAPA COMPARATIVO'!$V$5:$V$206,"&lt;&gt;REJEITADO")</f>
        <v>-10430.43</v>
      </c>
      <c r="I22" s="14" t="n">
        <f aca="false">SUMIFS('MAPA COMPARATIVO'!$P$5:$P$206,'MAPA COMPARATIVO'!$F$5:$F$206,$A22,'MAPA COMPARATIVO'!$V$5:$V$206,"&lt;&gt;REJEITADO")</f>
        <v>-20500.23</v>
      </c>
    </row>
    <row r="23" customFormat="false" ht="15" hidden="false" customHeight="false" outlineLevel="0" collapsed="false">
      <c r="A23" s="12" t="s">
        <v>28</v>
      </c>
      <c r="B23" s="12"/>
      <c r="C23" s="12" t="n">
        <f aca="false">COUNTIFS('MAPA COMPARATIVO'!$F$5:$F$206,$A23,'MAPA COMPARATIVO'!$G$5:$G$206,"CRÍTICA",'MAPA COMPARATIVO'!$V$5:$V$206,"&lt;&gt;REJEITADO")</f>
        <v>0</v>
      </c>
      <c r="D23" s="12" t="n">
        <f aca="false">COUNTIFS('MAPA COMPARATIVO'!$F$5:$F$206,$A23,'MAPA COMPARATIVO'!$G$5:$G$206,"ALTA",'MAPA COMPARATIVO'!$V$5:$V$206,"&lt;&gt;REJEITADO")</f>
        <v>12</v>
      </c>
      <c r="E23" s="12" t="n">
        <f aca="false">COUNTIFS('MAPA COMPARATIVO'!$F$5:$F$206,$A23,'MAPA COMPARATIVO'!$G$5:$G$206,"MÉDIA",'MAPA COMPARATIVO'!$V$5:$V$206,"&lt;&gt;REJEITADO")</f>
        <v>15</v>
      </c>
      <c r="F23" s="12" t="n">
        <f aca="false">COUNTIFS('MAPA COMPARATIVO'!$F$5:$F$206,$A23,'MAPA COMPARATIVO'!$G$5:$G$206,"BAIXA",'MAPA COMPARATIVO'!$V$5:$V$206,"&lt;&gt;REJEITADO")</f>
        <v>4</v>
      </c>
      <c r="G23" s="13" t="n">
        <f aca="false">SUM(C23:F23)</f>
        <v>31</v>
      </c>
      <c r="H23" s="14" t="n">
        <f aca="false">SUMIFS('MAPA COMPARATIVO'!$O$5:$O$206,'MAPA COMPARATIVO'!$F$5:$F$206,$A23,'MAPA COMPARATIVO'!$V$5:$V$206,"&lt;&gt;REJEITADO")</f>
        <v>83480</v>
      </c>
      <c r="I23" s="14" t="n">
        <f aca="false">SUMIFS('MAPA COMPARATIVO'!$P$5:$P$206,'MAPA COMPARATIVO'!$F$5:$F$206,$A23,'MAPA COMPARATIVO'!$V$5:$V$206,"&lt;&gt;REJEITADO")</f>
        <v>327087.24</v>
      </c>
    </row>
    <row r="24" customFormat="false" ht="15" hidden="false" customHeight="false" outlineLevel="0" collapsed="false">
      <c r="A24" s="12" t="s">
        <v>29</v>
      </c>
      <c r="B24" s="12"/>
      <c r="C24" s="12" t="n">
        <f aca="false">COUNTIFS('MAPA COMPARATIVO'!$F$5:$F$206,$A24,'MAPA COMPARATIVO'!$G$5:$G$206,"CRÍTICA",'MAPA COMPARATIVO'!$V$5:$V$206,"&lt;&gt;REJEITADO")</f>
        <v>0</v>
      </c>
      <c r="D24" s="12" t="n">
        <f aca="false">COUNTIFS('MAPA COMPARATIVO'!$F$5:$F$206,$A24,'MAPA COMPARATIVO'!$G$5:$G$206,"ALTA",'MAPA COMPARATIVO'!$V$5:$V$206,"&lt;&gt;REJEITADO")</f>
        <v>5</v>
      </c>
      <c r="E24" s="12" t="n">
        <f aca="false">COUNTIFS('MAPA COMPARATIVO'!$F$5:$F$206,$A24,'MAPA COMPARATIVO'!$G$5:$G$206,"MÉDIA",'MAPA COMPARATIVO'!$V$5:$V$206,"&lt;&gt;REJEITADO")</f>
        <v>3</v>
      </c>
      <c r="F24" s="12" t="n">
        <f aca="false">COUNTIFS('MAPA COMPARATIVO'!$F$5:$F$206,$A24,'MAPA COMPARATIVO'!$G$5:$G$206,"BAIXA",'MAPA COMPARATIVO'!$V$5:$V$206,"&lt;&gt;REJEITADO")</f>
        <v>9</v>
      </c>
      <c r="G24" s="13" t="n">
        <f aca="false">SUM(C24:F24)</f>
        <v>17</v>
      </c>
      <c r="H24" s="14" t="n">
        <f aca="false">SUMIFS('MAPA COMPARATIVO'!$O$5:$O$206,'MAPA COMPARATIVO'!$F$5:$F$206,$A24,'MAPA COMPARATIVO'!$V$5:$V$206,"&lt;&gt;REJEITADO")</f>
        <v>-25714.01</v>
      </c>
      <c r="I24" s="14" t="n">
        <f aca="false">SUMIFS('MAPA COMPARATIVO'!$P$5:$P$206,'MAPA COMPARATIVO'!$F$5:$F$206,$A24,'MAPA COMPARATIVO'!$V$5:$V$206,"&lt;&gt;REJEITADO")</f>
        <v>-58092.59</v>
      </c>
    </row>
    <row r="25" customFormat="false" ht="15" hidden="false" customHeight="false" outlineLevel="0" collapsed="false">
      <c r="A25" s="12" t="s">
        <v>30</v>
      </c>
      <c r="B25" s="12"/>
      <c r="C25" s="12" t="n">
        <f aca="false">COUNTIFS('MAPA COMPARATIVO'!$F$5:$F$206,$A25,'MAPA COMPARATIVO'!$G$5:$G$206,"CRÍTICA",'MAPA COMPARATIVO'!$V$5:$V$206,"&lt;&gt;REJEITADO")</f>
        <v>0</v>
      </c>
      <c r="D25" s="12" t="n">
        <f aca="false">COUNTIFS('MAPA COMPARATIVO'!$F$5:$F$206,$A25,'MAPA COMPARATIVO'!$G$5:$G$206,"ALTA",'MAPA COMPARATIVO'!$V$5:$V$206,"&lt;&gt;REJEITADO")</f>
        <v>6</v>
      </c>
      <c r="E25" s="12" t="n">
        <f aca="false">COUNTIFS('MAPA COMPARATIVO'!$F$5:$F$206,$A25,'MAPA COMPARATIVO'!$G$5:$G$206,"MÉDIA",'MAPA COMPARATIVO'!$V$5:$V$206,"&lt;&gt;REJEITADO")</f>
        <v>20</v>
      </c>
      <c r="F25" s="12" t="n">
        <f aca="false">COUNTIFS('MAPA COMPARATIVO'!$F$5:$F$206,$A25,'MAPA COMPARATIVO'!$G$5:$G$206,"BAIXA",'MAPA COMPARATIVO'!$V$5:$V$206,"&lt;&gt;REJEITADO")</f>
        <v>13</v>
      </c>
      <c r="G25" s="13" t="n">
        <f aca="false">SUM(C25:F25)</f>
        <v>39</v>
      </c>
      <c r="H25" s="14" t="n">
        <f aca="false">SUMIFS('MAPA COMPARATIVO'!$O$5:$O$206,'MAPA COMPARATIVO'!$F$5:$F$206,$A25,'MAPA COMPARATIVO'!$V$5:$V$206,"&lt;&gt;REJEITADO")</f>
        <v>106965.34</v>
      </c>
      <c r="I25" s="14" t="n">
        <f aca="false">SUMIFS('MAPA COMPARATIVO'!$P$5:$P$206,'MAPA COMPARATIVO'!$F$5:$F$206,$A25,'MAPA COMPARATIVO'!$V$5:$V$206,"&lt;&gt;REJEITADO")</f>
        <v>262194.09</v>
      </c>
    </row>
    <row r="26" customFormat="false" ht="15" hidden="false" customHeight="false" outlineLevel="0" collapsed="false">
      <c r="A26" s="12" t="s">
        <v>31</v>
      </c>
      <c r="B26" s="12"/>
      <c r="C26" s="12" t="n">
        <f aca="false">COUNTIFS('MAPA COMPARATIVO'!$F$5:$F$206,$A26,'MAPA COMPARATIVO'!$G$5:$G$206,"CRÍTICA",'MAPA COMPARATIVO'!$V$5:$V$206,"&lt;&gt;REJEITADO")</f>
        <v>0</v>
      </c>
      <c r="D26" s="12" t="n">
        <f aca="false">COUNTIFS('MAPA COMPARATIVO'!$F$5:$F$206,$A26,'MAPA COMPARATIVO'!$G$5:$G$206,"ALTA",'MAPA COMPARATIVO'!$V$5:$V$206,"&lt;&gt;REJEITADO")</f>
        <v>0</v>
      </c>
      <c r="E26" s="12" t="n">
        <f aca="false">COUNTIFS('MAPA COMPARATIVO'!$F$5:$F$206,$A26,'MAPA COMPARATIVO'!$G$5:$G$206,"MÉDIA",'MAPA COMPARATIVO'!$V$5:$V$206,"&lt;&gt;REJEITADO")</f>
        <v>1</v>
      </c>
      <c r="F26" s="12" t="n">
        <f aca="false">COUNTIFS('MAPA COMPARATIVO'!$F$5:$F$206,$A26,'MAPA COMPARATIVO'!$G$5:$G$206,"BAIXA",'MAPA COMPARATIVO'!$V$5:$V$206,"&lt;&gt;REJEITADO")</f>
        <v>1</v>
      </c>
      <c r="G26" s="13" t="n">
        <f aca="false">SUM(C26:F26)</f>
        <v>2</v>
      </c>
      <c r="H26" s="14" t="n">
        <f aca="false">SUMIFS('MAPA COMPARATIVO'!$O$5:$O$206,'MAPA COMPARATIVO'!$F$5:$F$206,$A26,'MAPA COMPARATIVO'!$V$5:$V$206,"&lt;&gt;REJEITADO")</f>
        <v>-3478.58</v>
      </c>
      <c r="I26" s="14" t="n">
        <f aca="false">SUMIFS('MAPA COMPARATIVO'!$P$5:$P$206,'MAPA COMPARATIVO'!$F$5:$F$206,$A26,'MAPA COMPARATIVO'!$V$5:$V$206,"&lt;&gt;REJEITADO")</f>
        <v>-5037.68</v>
      </c>
    </row>
    <row r="27" customFormat="false" ht="15" hidden="false" customHeight="false" outlineLevel="0" collapsed="false">
      <c r="A27" s="12" t="s">
        <v>32</v>
      </c>
      <c r="B27" s="12"/>
      <c r="C27" s="12" t="n">
        <f aca="false">COUNTIFS('MAPA COMPARATIVO'!$F$5:$F$206,$A27,'MAPA COMPARATIVO'!$G$5:$G$206,"CRÍTICA",'MAPA COMPARATIVO'!$V$5:$V$206,"&lt;&gt;REJEITADO")</f>
        <v>0</v>
      </c>
      <c r="D27" s="12" t="n">
        <f aca="false">COUNTIFS('MAPA COMPARATIVO'!$F$5:$F$206,$A27,'MAPA COMPARATIVO'!$G$5:$G$206,"ALTA",'MAPA COMPARATIVO'!$V$5:$V$206,"&lt;&gt;REJEITADO")</f>
        <v>2</v>
      </c>
      <c r="E27" s="12" t="n">
        <f aca="false">COUNTIFS('MAPA COMPARATIVO'!$F$5:$F$206,$A27,'MAPA COMPARATIVO'!$G$5:$G$206,"MÉDIA",'MAPA COMPARATIVO'!$V$5:$V$206,"&lt;&gt;REJEITADO")</f>
        <v>9</v>
      </c>
      <c r="F27" s="12" t="n">
        <f aca="false">COUNTIFS('MAPA COMPARATIVO'!$F$5:$F$206,$A27,'MAPA COMPARATIVO'!$G$5:$G$206,"BAIXA",'MAPA COMPARATIVO'!$V$5:$V$206,"&lt;&gt;REJEITADO")</f>
        <v>13</v>
      </c>
      <c r="G27" s="13" t="n">
        <f aca="false">SUM(C27:F27)</f>
        <v>24</v>
      </c>
      <c r="H27" s="14" t="n">
        <f aca="false">SUMIFS('MAPA COMPARATIVO'!$O$5:$O$206,'MAPA COMPARATIVO'!$F$5:$F$206,$A27,'MAPA COMPARATIVO'!$V$5:$V$206,"&lt;&gt;REJEITADO")</f>
        <v>-38297.49</v>
      </c>
      <c r="I27" s="14" t="n">
        <f aca="false">SUMIFS('MAPA COMPARATIVO'!$P$5:$P$206,'MAPA COMPARATIVO'!$F$5:$F$206,$A27,'MAPA COMPARATIVO'!$V$5:$V$206,"&lt;&gt;REJEITADO")</f>
        <v>-35930.15</v>
      </c>
    </row>
    <row r="28" customFormat="false" ht="15" hidden="false" customHeight="false" outlineLevel="0" collapsed="false">
      <c r="A28" s="12" t="s">
        <v>33</v>
      </c>
      <c r="B28" s="12"/>
      <c r="C28" s="12" t="n">
        <f aca="false">COUNTIFS('MAPA COMPARATIVO'!$F$5:$F$206,$A28,'MAPA COMPARATIVO'!$G$5:$G$206,"CRÍTICA",'MAPA COMPARATIVO'!$V$5:$V$206,"&lt;&gt;REJEITADO")</f>
        <v>0</v>
      </c>
      <c r="D28" s="12" t="n">
        <f aca="false">COUNTIFS('MAPA COMPARATIVO'!$F$5:$F$206,$A28,'MAPA COMPARATIVO'!$G$5:$G$206,"ALTA",'MAPA COMPARATIVO'!$V$5:$V$206,"&lt;&gt;REJEITADO")</f>
        <v>3</v>
      </c>
      <c r="E28" s="12" t="n">
        <f aca="false">COUNTIFS('MAPA COMPARATIVO'!$F$5:$F$206,$A28,'MAPA COMPARATIVO'!$G$5:$G$206,"MÉDIA",'MAPA COMPARATIVO'!$V$5:$V$206,"&lt;&gt;REJEITADO")</f>
        <v>9</v>
      </c>
      <c r="F28" s="12" t="n">
        <f aca="false">COUNTIFS('MAPA COMPARATIVO'!$F$5:$F$206,$A28,'MAPA COMPARATIVO'!$G$5:$G$206,"BAIXA",'MAPA COMPARATIVO'!$V$5:$V$206,"&lt;&gt;REJEITADO")</f>
        <v>11</v>
      </c>
      <c r="G28" s="13" t="n">
        <f aca="false">SUM(C28:F28)</f>
        <v>23</v>
      </c>
      <c r="H28" s="14" t="n">
        <f aca="false">SUMIFS('MAPA COMPARATIVO'!$O$5:$O$206,'MAPA COMPARATIVO'!$F$5:$F$206,$A28,'MAPA COMPARATIVO'!$V$5:$V$206,"&lt;&gt;REJEITADO")</f>
        <v>-172.1</v>
      </c>
      <c r="I28" s="14" t="n">
        <f aca="false">SUMIFS('MAPA COMPARATIVO'!$P$5:$P$206,'MAPA COMPARATIVO'!$F$5:$F$206,$A28,'MAPA COMPARATIVO'!$V$5:$V$206,"&lt;&gt;REJEITADO")</f>
        <v>-3452.71</v>
      </c>
    </row>
    <row r="29" customFormat="false" ht="15" hidden="false" customHeight="false" outlineLevel="0" collapsed="false">
      <c r="A29" s="12" t="s">
        <v>34</v>
      </c>
      <c r="B29" s="12"/>
      <c r="C29" s="12" t="n">
        <f aca="false">COUNTIFS('MAPA COMPARATIVO'!$F$5:$F$206,$A29,'MAPA COMPARATIVO'!$G$5:$G$206,"CRÍTICA",'MAPA COMPARATIVO'!$V$5:$V$206,"&lt;&gt;REJEITADO")</f>
        <v>0</v>
      </c>
      <c r="D29" s="12" t="n">
        <f aca="false">COUNTIFS('MAPA COMPARATIVO'!$F$5:$F$206,$A29,'MAPA COMPARATIVO'!$G$5:$G$206,"ALTA",'MAPA COMPARATIVO'!$V$5:$V$206,"&lt;&gt;REJEITADO")</f>
        <v>2</v>
      </c>
      <c r="E29" s="12" t="n">
        <f aca="false">COUNTIFS('MAPA COMPARATIVO'!$F$5:$F$206,$A29,'MAPA COMPARATIVO'!$G$5:$G$206,"MÉDIA",'MAPA COMPARATIVO'!$V$5:$V$206,"&lt;&gt;REJEITADO")</f>
        <v>5</v>
      </c>
      <c r="F29" s="12" t="n">
        <f aca="false">COUNTIFS('MAPA COMPARATIVO'!$F$5:$F$206,$A29,'MAPA COMPARATIVO'!$G$5:$G$206,"BAIXA",'MAPA COMPARATIVO'!$V$5:$V$206,"&lt;&gt;REJEITADO")</f>
        <v>3</v>
      </c>
      <c r="G29" s="13" t="n">
        <f aca="false">SUM(C29:F29)</f>
        <v>10</v>
      </c>
      <c r="H29" s="14" t="n">
        <f aca="false">SUMIFS('MAPA COMPARATIVO'!$O$5:$O$206,'MAPA COMPARATIVO'!$F$5:$F$206,$A29,'MAPA COMPARATIVO'!$V$5:$V$206,"&lt;&gt;REJEITADO")</f>
        <v>3700</v>
      </c>
      <c r="I29" s="14" t="n">
        <f aca="false">SUMIFS('MAPA COMPARATIVO'!$P$5:$P$206,'MAPA COMPARATIVO'!$F$5:$F$206,$A29,'MAPA COMPARATIVO'!$V$5:$V$206,"&lt;&gt;REJEITADO")</f>
        <v>-62784.92</v>
      </c>
    </row>
    <row r="30" customFormat="false" ht="15" hidden="false" customHeight="false" outlineLevel="0" collapsed="false">
      <c r="A30" s="12" t="s">
        <v>35</v>
      </c>
      <c r="B30" s="12"/>
      <c r="C30" s="12" t="n">
        <f aca="false">COUNTIFS('MAPA COMPARATIVO'!$F$5:$F$206,$A30,'MAPA COMPARATIVO'!$G$5:$G$206,"CRÍTICA",'MAPA COMPARATIVO'!$V$5:$V$206,"&lt;&gt;REJEITADO")</f>
        <v>0</v>
      </c>
      <c r="D30" s="12" t="n">
        <f aca="false">COUNTIFS('MAPA COMPARATIVO'!$F$5:$F$206,$A30,'MAPA COMPARATIVO'!$G$5:$G$206,"ALTA",'MAPA COMPARATIVO'!$V$5:$V$206,"&lt;&gt;REJEITADO")</f>
        <v>0</v>
      </c>
      <c r="E30" s="12" t="n">
        <f aca="false">COUNTIFS('MAPA COMPARATIVO'!$F$5:$F$206,$A30,'MAPA COMPARATIVO'!$G$5:$G$206,"MÉDIA",'MAPA COMPARATIVO'!$V$5:$V$206,"&lt;&gt;REJEITADO")</f>
        <v>1</v>
      </c>
      <c r="F30" s="12" t="n">
        <f aca="false">COUNTIFS('MAPA COMPARATIVO'!$F$5:$F$206,$A30,'MAPA COMPARATIVO'!$G$5:$G$206,"BAIXA",'MAPA COMPARATIVO'!$V$5:$V$206,"&lt;&gt;REJEITADO")</f>
        <v>0</v>
      </c>
      <c r="G30" s="13" t="n">
        <f aca="false">SUM(C30:F30)</f>
        <v>1</v>
      </c>
      <c r="H30" s="14" t="n">
        <f aca="false">SUMIFS('MAPA COMPARATIVO'!$O$5:$O$206,'MAPA COMPARATIVO'!$F$5:$F$206,$A30,'MAPA COMPARATIVO'!$V$5:$V$206,"&lt;&gt;REJEITADO")</f>
        <v>0</v>
      </c>
      <c r="I30" s="14" t="n">
        <f aca="false">SUMIFS('MAPA COMPARATIVO'!$P$5:$P$206,'MAPA COMPARATIVO'!$F$5:$F$206,$A30,'MAPA COMPARATIVO'!$V$5:$V$206,"&lt;&gt;REJEITADO")</f>
        <v>5066.5</v>
      </c>
    </row>
    <row r="31" customFormat="false" ht="15" hidden="false" customHeight="false" outlineLevel="0" collapsed="false">
      <c r="A31" s="12" t="s">
        <v>36</v>
      </c>
      <c r="B31" s="12"/>
      <c r="C31" s="12" t="n">
        <f aca="false">COUNTIFS('MAPA COMPARATIVO'!$F$5:$F$206,$A31,'MAPA COMPARATIVO'!$G$5:$G$206,"CRÍTICA",'MAPA COMPARATIVO'!$V$5:$V$206,"&lt;&gt;REJEITADO")</f>
        <v>0</v>
      </c>
      <c r="D31" s="12" t="n">
        <f aca="false">COUNTIFS('MAPA COMPARATIVO'!$F$5:$F$206,$A31,'MAPA COMPARATIVO'!$G$5:$G$206,"ALTA",'MAPA COMPARATIVO'!$V$5:$V$206,"&lt;&gt;REJEITADO")</f>
        <v>0</v>
      </c>
      <c r="E31" s="12" t="n">
        <f aca="false">COUNTIFS('MAPA COMPARATIVO'!$F$5:$F$206,$A31,'MAPA COMPARATIVO'!$G$5:$G$206,"MÉDIA",'MAPA COMPARATIVO'!$V$5:$V$206,"&lt;&gt;REJEITADO")</f>
        <v>1</v>
      </c>
      <c r="F31" s="12" t="n">
        <f aca="false">COUNTIFS('MAPA COMPARATIVO'!$F$5:$F$206,$A31,'MAPA COMPARATIVO'!$G$5:$G$206,"BAIXA",'MAPA COMPARATIVO'!$V$5:$V$206,"&lt;&gt;REJEITADO")</f>
        <v>0</v>
      </c>
      <c r="G31" s="13" t="n">
        <f aca="false">SUM(C31:F31)</f>
        <v>1</v>
      </c>
      <c r="H31" s="14" t="n">
        <f aca="false">SUMIFS('MAPA COMPARATIVO'!$O$5:$O$206,'MAPA COMPARATIVO'!$F$5:$F$206,$A31,'MAPA COMPARATIVO'!$V$5:$V$206,"&lt;&gt;REJEITADO")</f>
        <v>-457.84</v>
      </c>
      <c r="I31" s="14" t="n">
        <f aca="false">SUMIFS('MAPA COMPARATIVO'!$P$5:$P$206,'MAPA COMPARATIVO'!$F$5:$F$206,$A31,'MAPA COMPARATIVO'!$V$5:$V$206,"&lt;&gt;REJEITADO")</f>
        <v>-4821.36</v>
      </c>
    </row>
    <row r="32" customFormat="false" ht="15" hidden="false" customHeight="false" outlineLevel="0" collapsed="false">
      <c r="A32" s="12" t="s">
        <v>37</v>
      </c>
      <c r="B32" s="12"/>
      <c r="C32" s="12" t="n">
        <f aca="false">COUNTIFS('MAPA COMPARATIVO'!$F$5:$F$206,$A32,'MAPA COMPARATIVO'!$G$5:$G$206,"CRÍTICA",'MAPA COMPARATIVO'!$V$5:$V$206,"&lt;&gt;REJEITADO")</f>
        <v>0</v>
      </c>
      <c r="D32" s="12" t="n">
        <f aca="false">COUNTIFS('MAPA COMPARATIVO'!$F$5:$F$206,$A32,'MAPA COMPARATIVO'!$G$5:$G$206,"ALTA",'MAPA COMPARATIVO'!$V$5:$V$206,"&lt;&gt;REJEITADO")</f>
        <v>1</v>
      </c>
      <c r="E32" s="12" t="n">
        <f aca="false">COUNTIFS('MAPA COMPARATIVO'!$F$5:$F$206,$A32,'MAPA COMPARATIVO'!$G$5:$G$206,"MÉDIA",'MAPA COMPARATIVO'!$V$5:$V$206,"&lt;&gt;REJEITADO")</f>
        <v>14</v>
      </c>
      <c r="F32" s="12" t="n">
        <f aca="false">COUNTIFS('MAPA COMPARATIVO'!$F$5:$F$206,$A32,'MAPA COMPARATIVO'!$G$5:$G$206,"BAIXA",'MAPA COMPARATIVO'!$V$5:$V$206,"&lt;&gt;REJEITADO")</f>
        <v>17</v>
      </c>
      <c r="G32" s="13" t="n">
        <f aca="false">SUM(C32:F32)</f>
        <v>32</v>
      </c>
      <c r="H32" s="14" t="n">
        <f aca="false">SUMIFS('MAPA COMPARATIVO'!$O$5:$O$206,'MAPA COMPARATIVO'!$F$5:$F$206,$A32,'MAPA COMPARATIVO'!$V$5:$V$206,"&lt;&gt;REJEITADO")</f>
        <v>0</v>
      </c>
      <c r="I32" s="14" t="n">
        <f aca="false">SUMIFS('MAPA COMPARATIVO'!$P$5:$P$206,'MAPA COMPARATIVO'!$F$5:$F$206,$A32,'MAPA COMPARATIVO'!$V$5:$V$206,"&lt;&gt;REJEITADO")</f>
        <v>-4003.05</v>
      </c>
    </row>
    <row r="33" customFormat="false" ht="15" hidden="false" customHeight="false" outlineLevel="0" collapsed="false">
      <c r="A33" s="6" t="s">
        <v>24</v>
      </c>
      <c r="B33" s="2"/>
      <c r="C33" s="6" t="n">
        <f aca="false">SUM(C22:C32)</f>
        <v>1</v>
      </c>
      <c r="D33" s="6" t="n">
        <f aca="false">SUM(D22:D32)</f>
        <v>34</v>
      </c>
      <c r="E33" s="6" t="n">
        <f aca="false">SUM(E22:E32)</f>
        <v>82</v>
      </c>
      <c r="F33" s="6" t="n">
        <f aca="false">SUM(F22:F32)</f>
        <v>85</v>
      </c>
      <c r="G33" s="6" t="n">
        <f aca="false">SUM(G22:G32)</f>
        <v>202</v>
      </c>
      <c r="H33" s="15" t="n">
        <f aca="false">SUM(H22:H32)</f>
        <v>115594.89</v>
      </c>
      <c r="I33" s="15" t="n">
        <f aca="false">SUM(I22:I32)</f>
        <v>399725.14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0"/>
  </cols>
  <sheetData>
    <row r="1" customFormat="false" ht="17.35" hidden="false" customHeight="false" outlineLevel="0" collapsed="false">
      <c r="A1" s="1" t="s">
        <v>38</v>
      </c>
      <c r="B1" s="2"/>
    </row>
    <row r="2" customFormat="false" ht="15" hidden="false" customHeight="false" outlineLevel="0" collapsed="false">
      <c r="A2" s="2"/>
      <c r="B2" s="2"/>
    </row>
    <row r="3" customFormat="false" ht="45" hidden="false" customHeight="true" outlineLevel="0" collapsed="false">
      <c r="A3" s="6" t="s">
        <v>39</v>
      </c>
      <c r="B3" s="16" t="s">
        <v>40</v>
      </c>
    </row>
    <row r="4" customFormat="false" ht="45" hidden="false" customHeight="true" outlineLevel="0" collapsed="false">
      <c r="A4" s="6" t="s">
        <v>41</v>
      </c>
      <c r="B4" s="16" t="s">
        <v>42</v>
      </c>
    </row>
    <row r="5" customFormat="false" ht="45" hidden="false" customHeight="true" outlineLevel="0" collapsed="false">
      <c r="A5" s="6" t="s">
        <v>43</v>
      </c>
      <c r="B5" s="16" t="s">
        <v>44</v>
      </c>
    </row>
    <row r="6" customFormat="false" ht="45" hidden="false" customHeight="true" outlineLevel="0" collapsed="false">
      <c r="A6" s="6" t="s">
        <v>45</v>
      </c>
      <c r="B6" s="16" t="s">
        <v>46</v>
      </c>
    </row>
    <row r="7" customFormat="false" ht="45" hidden="false" customHeight="true" outlineLevel="0" collapsed="false">
      <c r="A7" s="6" t="s">
        <v>47</v>
      </c>
      <c r="B7" s="16" t="s">
        <v>48</v>
      </c>
    </row>
    <row r="8" customFormat="false" ht="45" hidden="false" customHeight="true" outlineLevel="0" collapsed="false">
      <c r="A8" s="6" t="s">
        <v>49</v>
      </c>
      <c r="B8" s="16" t="s">
        <v>50</v>
      </c>
    </row>
    <row r="9" customFormat="false" ht="45" hidden="false" customHeight="true" outlineLevel="0" collapsed="false">
      <c r="A9" s="6" t="s">
        <v>51</v>
      </c>
      <c r="B9" s="16" t="s">
        <v>52</v>
      </c>
    </row>
    <row r="10" customFormat="false" ht="45" hidden="false" customHeight="true" outlineLevel="0" collapsed="false">
      <c r="A10" s="6" t="s">
        <v>53</v>
      </c>
      <c r="B10" s="16" t="s">
        <v>54</v>
      </c>
    </row>
    <row r="11" customFormat="false" ht="45" hidden="false" customHeight="true" outlineLevel="0" collapsed="false">
      <c r="A11" s="6" t="s">
        <v>55</v>
      </c>
      <c r="B11" s="16" t="s">
        <v>56</v>
      </c>
    </row>
    <row r="12" customFormat="false" ht="45" hidden="false" customHeight="true" outlineLevel="0" collapsed="false">
      <c r="A12" s="6" t="s">
        <v>57</v>
      </c>
      <c r="B12" s="16" t="s">
        <v>58</v>
      </c>
    </row>
    <row r="13" customFormat="false" ht="15" hidden="false" customHeight="false" outlineLevel="0" collapsed="false">
      <c r="A13" s="2"/>
      <c r="B13" s="2"/>
    </row>
    <row r="14" customFormat="false" ht="15" hidden="false" customHeight="false" outlineLevel="0" collapsed="false">
      <c r="A14" s="6" t="s">
        <v>59</v>
      </c>
      <c r="B14" s="2"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
    <col collapsed="false" customWidth="true" hidden="false" outlineLevel="0" max="3" min="3" style="0" width="11"/>
    <col collapsed="false" customWidth="true" hidden="false" outlineLevel="0" max="4" min="4" style="0" width="14"/>
    <col collapsed="false" customWidth="true" hidden="false" outlineLevel="0" max="5" min="5" style="0" width="30"/>
    <col collapsed="false" customWidth="true" hidden="false" outlineLevel="0" max="6" min="6" style="0" width="15"/>
    <col collapsed="false" customWidth="true" hidden="false" outlineLevel="0" max="7" min="7" style="0" width="10"/>
    <col collapsed="false" customWidth="true" hidden="false" outlineLevel="0" max="8" min="8" style="0" width="30"/>
    <col collapsed="false" customWidth="true" hidden="false" outlineLevel="0" max="9" min="9" style="0" width="42"/>
    <col collapsed="false" customWidth="true" hidden="false" outlineLevel="0" max="10" min="10" style="0" width="11"/>
    <col collapsed="false" customWidth="true" hidden="false" outlineLevel="0" max="11" min="11" style="0" width="6"/>
    <col collapsed="false" customWidth="true" hidden="false" outlineLevel="0" max="12" min="12" style="0" width="11"/>
    <col collapsed="false" customWidth="true" hidden="false" outlineLevel="0" max="13" min="13" style="0" width="13"/>
    <col collapsed="false" customWidth="true" hidden="false" outlineLevel="0" max="14" min="14" style="0" width="42"/>
    <col collapsed="false" customWidth="true" hidden="false" outlineLevel="0" max="17" min="15" style="0" width="13"/>
    <col collapsed="false" customWidth="true" hidden="false" outlineLevel="0" max="18" min="18" style="0" width="48"/>
    <col collapsed="false" customWidth="true" hidden="false" outlineLevel="0" max="19" min="19" style="0" width="42"/>
    <col collapsed="false" customWidth="true" hidden="false" outlineLevel="0" max="20" min="20" style="0" width="13"/>
    <col collapsed="false" customWidth="true" hidden="false" outlineLevel="0" max="21" min="21" style="0" width="10"/>
    <col collapsed="false" customWidth="true" hidden="false" outlineLevel="0" max="22" min="22" style="0" width="12"/>
    <col collapsed="false" customWidth="true" hidden="false" outlineLevel="0" max="23" min="23" style="0" width="40"/>
    <col collapsed="false" customWidth="true" hidden="false" outlineLevel="0" max="24" min="24" style="0" width="16"/>
    <col collapsed="false" customWidth="true" hidden="false" outlineLevel="0" max="25" min="25" style="0" width="30"/>
  </cols>
  <sheetData>
    <row r="1" customFormat="false" ht="17.35" hidden="false" customHeight="false" outlineLevel="0" collapsed="false">
      <c r="A1" s="1" t="s">
        <v>61</v>
      </c>
      <c r="B1" s="2"/>
      <c r="C1" s="2"/>
      <c r="D1" s="2"/>
      <c r="E1" s="2"/>
      <c r="F1" s="2"/>
      <c r="G1" s="2"/>
      <c r="H1" s="2"/>
      <c r="I1" s="2"/>
      <c r="J1" s="2"/>
      <c r="K1" s="2"/>
      <c r="L1" s="2"/>
      <c r="M1" s="2"/>
      <c r="N1" s="2"/>
      <c r="O1" s="2"/>
      <c r="P1" s="2"/>
      <c r="Q1" s="2"/>
      <c r="R1" s="2"/>
      <c r="S1" s="2"/>
      <c r="T1" s="2"/>
      <c r="U1" s="2"/>
      <c r="V1" s="2"/>
      <c r="W1" s="2"/>
      <c r="X1" s="2"/>
      <c r="Y1" s="2"/>
    </row>
    <row r="2" customFormat="false" ht="15" hidden="false" customHeight="false" outlineLevel="0" collapsed="false">
      <c r="A2" s="3" t="s">
        <v>62</v>
      </c>
      <c r="B2" s="2"/>
      <c r="C2" s="2"/>
      <c r="D2" s="2"/>
      <c r="E2" s="2"/>
      <c r="F2" s="2"/>
      <c r="G2" s="2"/>
      <c r="H2" s="2"/>
      <c r="I2" s="2"/>
      <c r="J2" s="2"/>
      <c r="K2" s="2"/>
      <c r="L2" s="2"/>
      <c r="M2" s="2"/>
      <c r="N2" s="2"/>
      <c r="O2" s="2"/>
      <c r="P2" s="2"/>
      <c r="Q2" s="2"/>
      <c r="R2" s="2"/>
      <c r="S2" s="2"/>
      <c r="T2" s="2"/>
      <c r="U2" s="2"/>
      <c r="V2" s="2"/>
      <c r="W2" s="2"/>
      <c r="X2" s="2"/>
      <c r="Y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row>
    <row r="4" customFormat="false" ht="33.75" hidden="false" customHeight="true" outlineLevel="0" collapsed="false">
      <c r="A4" s="17" t="s">
        <v>63</v>
      </c>
      <c r="B4" s="17" t="s">
        <v>64</v>
      </c>
      <c r="C4" s="17" t="s">
        <v>65</v>
      </c>
      <c r="D4" s="17" t="s">
        <v>66</v>
      </c>
      <c r="E4" s="17" t="s">
        <v>67</v>
      </c>
      <c r="F4" s="17" t="s">
        <v>19</v>
      </c>
      <c r="G4" s="17" t="s">
        <v>47</v>
      </c>
      <c r="H4" s="17" t="s">
        <v>68</v>
      </c>
      <c r="I4" s="17" t="s">
        <v>69</v>
      </c>
      <c r="J4" s="17" t="s">
        <v>70</v>
      </c>
      <c r="K4" s="17" t="s">
        <v>71</v>
      </c>
      <c r="L4" s="17" t="s">
        <v>72</v>
      </c>
      <c r="M4" s="17" t="s">
        <v>73</v>
      </c>
      <c r="N4" s="17" t="s">
        <v>74</v>
      </c>
      <c r="O4" s="17" t="s">
        <v>25</v>
      </c>
      <c r="P4" s="17" t="s">
        <v>26</v>
      </c>
      <c r="Q4" s="17" t="s">
        <v>75</v>
      </c>
      <c r="R4" s="17" t="s">
        <v>76</v>
      </c>
      <c r="S4" s="17" t="s">
        <v>77</v>
      </c>
      <c r="T4" s="17" t="s">
        <v>78</v>
      </c>
      <c r="U4" s="17" t="s">
        <v>79</v>
      </c>
      <c r="V4" s="17" t="s">
        <v>80</v>
      </c>
      <c r="W4" s="17" t="s">
        <v>81</v>
      </c>
      <c r="X4" s="17" t="s">
        <v>82</v>
      </c>
      <c r="Y4" s="17" t="s">
        <v>83</v>
      </c>
    </row>
    <row r="5" customFormat="false" ht="75" hidden="false" customHeight="true" outlineLevel="0" collapsed="false">
      <c r="A5" s="18" t="n">
        <v>1</v>
      </c>
      <c r="B5" s="18" t="s">
        <v>84</v>
      </c>
      <c r="C5" s="18" t="s">
        <v>84</v>
      </c>
      <c r="D5" s="19" t="s">
        <v>85</v>
      </c>
      <c r="E5" s="19" t="s">
        <v>86</v>
      </c>
      <c r="F5" s="18" t="s">
        <v>27</v>
      </c>
      <c r="G5" s="20" t="s">
        <v>20</v>
      </c>
      <c r="H5" s="19" t="s">
        <v>87</v>
      </c>
      <c r="I5" s="19" t="s">
        <v>88</v>
      </c>
      <c r="J5" s="19"/>
      <c r="K5" s="18"/>
      <c r="L5" s="19"/>
      <c r="M5" s="19"/>
      <c r="N5" s="19" t="s">
        <v>89</v>
      </c>
      <c r="O5" s="21" t="n">
        <v>0</v>
      </c>
      <c r="P5" s="21" t="n">
        <v>0</v>
      </c>
      <c r="Q5" s="22" t="n">
        <f aca="false">AVERAGE(O5:P5)</f>
        <v>0</v>
      </c>
      <c r="R5" s="19" t="s">
        <v>90</v>
      </c>
      <c r="S5" s="19" t="s">
        <v>91</v>
      </c>
      <c r="T5" s="18" t="s">
        <v>92</v>
      </c>
      <c r="U5" s="18" t="s">
        <v>93</v>
      </c>
      <c r="V5" s="18" t="s">
        <v>94</v>
      </c>
      <c r="W5" s="19" t="s">
        <v>95</v>
      </c>
      <c r="X5" s="23" t="s">
        <v>96</v>
      </c>
      <c r="Y5" s="24"/>
    </row>
    <row r="6" customFormat="false" ht="75" hidden="false" customHeight="true" outlineLevel="0" collapsed="false">
      <c r="A6" s="18" t="n">
        <v>2</v>
      </c>
      <c r="B6" s="18" t="s">
        <v>84</v>
      </c>
      <c r="C6" s="18" t="s">
        <v>84</v>
      </c>
      <c r="D6" s="19" t="s">
        <v>97</v>
      </c>
      <c r="E6" s="19" t="s">
        <v>98</v>
      </c>
      <c r="F6" s="18" t="s">
        <v>27</v>
      </c>
      <c r="G6" s="25" t="s">
        <v>21</v>
      </c>
      <c r="H6" s="19" t="s">
        <v>99</v>
      </c>
      <c r="I6" s="19" t="s">
        <v>100</v>
      </c>
      <c r="J6" s="19"/>
      <c r="K6" s="18"/>
      <c r="L6" s="19"/>
      <c r="M6" s="19"/>
      <c r="N6" s="19" t="s">
        <v>101</v>
      </c>
      <c r="O6" s="21" t="n">
        <v>0</v>
      </c>
      <c r="P6" s="21" t="n">
        <v>0</v>
      </c>
      <c r="Q6" s="22" t="n">
        <f aca="false">AVERAGE(O6:P6)</f>
        <v>0</v>
      </c>
      <c r="R6" s="19" t="s">
        <v>102</v>
      </c>
      <c r="S6" s="19" t="s">
        <v>103</v>
      </c>
      <c r="T6" s="18" t="s">
        <v>92</v>
      </c>
      <c r="U6" s="18" t="s">
        <v>93</v>
      </c>
      <c r="V6" s="18" t="s">
        <v>94</v>
      </c>
      <c r="W6" s="19" t="s">
        <v>104</v>
      </c>
      <c r="X6" s="23" t="s">
        <v>96</v>
      </c>
      <c r="Y6" s="24"/>
    </row>
    <row r="7" customFormat="false" ht="75" hidden="false" customHeight="true" outlineLevel="0" collapsed="false">
      <c r="A7" s="18" t="n">
        <v>3</v>
      </c>
      <c r="B7" s="18" t="s">
        <v>84</v>
      </c>
      <c r="C7" s="18" t="s">
        <v>84</v>
      </c>
      <c r="D7" s="19" t="s">
        <v>105</v>
      </c>
      <c r="E7" s="19" t="s">
        <v>106</v>
      </c>
      <c r="F7" s="18" t="s">
        <v>28</v>
      </c>
      <c r="G7" s="25" t="s">
        <v>21</v>
      </c>
      <c r="H7" s="19" t="s">
        <v>107</v>
      </c>
      <c r="I7" s="19" t="s">
        <v>108</v>
      </c>
      <c r="J7" s="19"/>
      <c r="K7" s="18"/>
      <c r="L7" s="19"/>
      <c r="M7" s="19"/>
      <c r="N7" s="19" t="s">
        <v>109</v>
      </c>
      <c r="O7" s="21" t="n">
        <v>0</v>
      </c>
      <c r="P7" s="21" t="n">
        <v>0</v>
      </c>
      <c r="Q7" s="22" t="n">
        <f aca="false">AVERAGE(O7:P7)</f>
        <v>0</v>
      </c>
      <c r="R7" s="19" t="s">
        <v>110</v>
      </c>
      <c r="S7" s="19" t="s">
        <v>111</v>
      </c>
      <c r="T7" s="18" t="s">
        <v>92</v>
      </c>
      <c r="U7" s="18" t="s">
        <v>93</v>
      </c>
      <c r="V7" s="18" t="s">
        <v>94</v>
      </c>
      <c r="W7" s="19" t="s">
        <v>112</v>
      </c>
      <c r="X7" s="23" t="s">
        <v>96</v>
      </c>
      <c r="Y7" s="24"/>
    </row>
    <row r="8" customFormat="false" ht="75" hidden="false" customHeight="true" outlineLevel="0" collapsed="false">
      <c r="A8" s="18" t="n">
        <v>4</v>
      </c>
      <c r="B8" s="18" t="s">
        <v>113</v>
      </c>
      <c r="C8" s="18" t="s">
        <v>114</v>
      </c>
      <c r="D8" s="19" t="s">
        <v>115</v>
      </c>
      <c r="E8" s="19" t="s">
        <v>116</v>
      </c>
      <c r="F8" s="18" t="s">
        <v>37</v>
      </c>
      <c r="G8" s="25" t="s">
        <v>21</v>
      </c>
      <c r="H8" s="19" t="s">
        <v>117</v>
      </c>
      <c r="I8" s="19" t="s">
        <v>118</v>
      </c>
      <c r="J8" s="26" t="n">
        <v>599.85</v>
      </c>
      <c r="K8" s="18" t="s">
        <v>119</v>
      </c>
      <c r="L8" s="21" t="n">
        <v>90.03</v>
      </c>
      <c r="M8" s="21" t="n">
        <v>54005.32</v>
      </c>
      <c r="N8" s="19" t="s">
        <v>120</v>
      </c>
      <c r="O8" s="21" t="n">
        <v>0</v>
      </c>
      <c r="P8" s="21" t="n">
        <v>-54005.32</v>
      </c>
      <c r="Q8" s="22" t="n">
        <f aca="false">AVERAGE(O8:P8)</f>
        <v>-27002.66</v>
      </c>
      <c r="R8" s="19" t="s">
        <v>121</v>
      </c>
      <c r="S8" s="19" t="s">
        <v>122</v>
      </c>
      <c r="T8" s="18" t="s">
        <v>123</v>
      </c>
      <c r="U8" s="18" t="s">
        <v>124</v>
      </c>
      <c r="V8" s="18" t="s">
        <v>94</v>
      </c>
      <c r="W8" s="19" t="s">
        <v>125</v>
      </c>
      <c r="X8" s="23" t="s">
        <v>96</v>
      </c>
      <c r="Y8" s="24"/>
    </row>
    <row r="9" customFormat="false" ht="75" hidden="false" customHeight="true" outlineLevel="0" collapsed="false">
      <c r="A9" s="18" t="n">
        <v>5</v>
      </c>
      <c r="B9" s="18" t="s">
        <v>113</v>
      </c>
      <c r="C9" s="18" t="s">
        <v>114</v>
      </c>
      <c r="D9" s="19" t="s">
        <v>126</v>
      </c>
      <c r="E9" s="19" t="s">
        <v>116</v>
      </c>
      <c r="F9" s="18" t="s">
        <v>32</v>
      </c>
      <c r="G9" s="25" t="s">
        <v>21</v>
      </c>
      <c r="H9" s="19" t="s">
        <v>127</v>
      </c>
      <c r="I9" s="19" t="s">
        <v>128</v>
      </c>
      <c r="J9" s="26" t="n">
        <v>599.85</v>
      </c>
      <c r="K9" s="18" t="s">
        <v>119</v>
      </c>
      <c r="L9" s="21" t="n">
        <v>90.03</v>
      </c>
      <c r="M9" s="21" t="n">
        <v>54005.32</v>
      </c>
      <c r="N9" s="19" t="s">
        <v>129</v>
      </c>
      <c r="O9" s="21" t="n">
        <v>-15320.67</v>
      </c>
      <c r="P9" s="21" t="n">
        <v>-23183.21</v>
      </c>
      <c r="Q9" s="22" t="n">
        <f aca="false">AVERAGE(O9:P9)</f>
        <v>-19251.94</v>
      </c>
      <c r="R9" s="19" t="s">
        <v>130</v>
      </c>
      <c r="S9" s="19" t="s">
        <v>131</v>
      </c>
      <c r="T9" s="18" t="s">
        <v>92</v>
      </c>
      <c r="U9" s="18" t="s">
        <v>93</v>
      </c>
      <c r="V9" s="18" t="s">
        <v>94</v>
      </c>
      <c r="W9" s="19" t="s">
        <v>132</v>
      </c>
      <c r="X9" s="23" t="s">
        <v>96</v>
      </c>
      <c r="Y9" s="24"/>
    </row>
    <row r="10" customFormat="false" ht="75" hidden="false" customHeight="true" outlineLevel="0" collapsed="false">
      <c r="A10" s="18" t="n">
        <v>6</v>
      </c>
      <c r="B10" s="18" t="s">
        <v>113</v>
      </c>
      <c r="C10" s="18" t="s">
        <v>133</v>
      </c>
      <c r="D10" s="19" t="s">
        <v>134</v>
      </c>
      <c r="E10" s="19" t="s">
        <v>135</v>
      </c>
      <c r="F10" s="18" t="s">
        <v>29</v>
      </c>
      <c r="G10" s="25" t="s">
        <v>21</v>
      </c>
      <c r="H10" s="19" t="s">
        <v>136</v>
      </c>
      <c r="I10" s="19" t="s">
        <v>137</v>
      </c>
      <c r="J10" s="26" t="n">
        <v>63</v>
      </c>
      <c r="K10" s="18" t="s">
        <v>138</v>
      </c>
      <c r="L10" s="21" t="n">
        <v>317.4</v>
      </c>
      <c r="M10" s="21" t="n">
        <v>19996.33</v>
      </c>
      <c r="N10" s="19" t="s">
        <v>139</v>
      </c>
      <c r="O10" s="21" t="n">
        <v>0</v>
      </c>
      <c r="P10" s="21" t="n">
        <v>-19996.33</v>
      </c>
      <c r="Q10" s="22" t="n">
        <f aca="false">AVERAGE(O10:P10)</f>
        <v>-9998.165</v>
      </c>
      <c r="R10" s="19" t="s">
        <v>140</v>
      </c>
      <c r="S10" s="19" t="s">
        <v>141</v>
      </c>
      <c r="T10" s="18" t="s">
        <v>123</v>
      </c>
      <c r="U10" s="18" t="s">
        <v>93</v>
      </c>
      <c r="V10" s="18" t="s">
        <v>94</v>
      </c>
      <c r="W10" s="19" t="s">
        <v>142</v>
      </c>
      <c r="X10" s="23" t="s">
        <v>96</v>
      </c>
      <c r="Y10" s="24"/>
    </row>
    <row r="11" customFormat="false" ht="75" hidden="false" customHeight="true" outlineLevel="0" collapsed="false">
      <c r="A11" s="18" t="n">
        <v>7</v>
      </c>
      <c r="B11" s="18" t="s">
        <v>113</v>
      </c>
      <c r="C11" s="18" t="s">
        <v>143</v>
      </c>
      <c r="D11" s="19" t="s">
        <v>144</v>
      </c>
      <c r="E11" s="19" t="s">
        <v>145</v>
      </c>
      <c r="F11" s="18" t="s">
        <v>32</v>
      </c>
      <c r="G11" s="25" t="s">
        <v>21</v>
      </c>
      <c r="H11" s="19" t="s">
        <v>146</v>
      </c>
      <c r="I11" s="19" t="s">
        <v>147</v>
      </c>
      <c r="J11" s="26" t="n">
        <v>275.28</v>
      </c>
      <c r="K11" s="18" t="s">
        <v>119</v>
      </c>
      <c r="L11" s="21" t="n">
        <v>74.57</v>
      </c>
      <c r="M11" s="21" t="n">
        <v>20528.28</v>
      </c>
      <c r="N11" s="19" t="s">
        <v>148</v>
      </c>
      <c r="O11" s="21" t="n">
        <v>-20156.04</v>
      </c>
      <c r="P11" s="21" t="n">
        <v>-28721.39</v>
      </c>
      <c r="Q11" s="22" t="n">
        <f aca="false">AVERAGE(O11:P11)</f>
        <v>-24438.715</v>
      </c>
      <c r="R11" s="19" t="s">
        <v>149</v>
      </c>
      <c r="S11" s="19" t="s">
        <v>150</v>
      </c>
      <c r="T11" s="18" t="s">
        <v>92</v>
      </c>
      <c r="U11" s="18" t="s">
        <v>93</v>
      </c>
      <c r="V11" s="18" t="s">
        <v>94</v>
      </c>
      <c r="W11" s="19" t="s">
        <v>151</v>
      </c>
      <c r="X11" s="23" t="s">
        <v>96</v>
      </c>
      <c r="Y11" s="24"/>
    </row>
    <row r="12" customFormat="false" ht="75" hidden="false" customHeight="true" outlineLevel="0" collapsed="false">
      <c r="A12" s="18" t="n">
        <v>8</v>
      </c>
      <c r="B12" s="18" t="s">
        <v>113</v>
      </c>
      <c r="C12" s="18" t="s">
        <v>152</v>
      </c>
      <c r="D12" s="19" t="s">
        <v>153</v>
      </c>
      <c r="E12" s="19" t="s">
        <v>154</v>
      </c>
      <c r="F12" s="18" t="s">
        <v>34</v>
      </c>
      <c r="G12" s="25" t="s">
        <v>21</v>
      </c>
      <c r="H12" s="19" t="s">
        <v>155</v>
      </c>
      <c r="I12" s="19" t="s">
        <v>156</v>
      </c>
      <c r="J12" s="19"/>
      <c r="K12" s="18"/>
      <c r="L12" s="19"/>
      <c r="M12" s="19"/>
      <c r="N12" s="19" t="s">
        <v>157</v>
      </c>
      <c r="O12" s="21" t="n">
        <v>3500</v>
      </c>
      <c r="P12" s="21" t="n">
        <v>7050</v>
      </c>
      <c r="Q12" s="22" t="n">
        <f aca="false">AVERAGE(O12:P12)</f>
        <v>5275</v>
      </c>
      <c r="R12" s="19" t="s">
        <v>158</v>
      </c>
      <c r="S12" s="19" t="s">
        <v>159</v>
      </c>
      <c r="T12" s="18" t="s">
        <v>123</v>
      </c>
      <c r="U12" s="18" t="s">
        <v>93</v>
      </c>
      <c r="V12" s="18" t="s">
        <v>94</v>
      </c>
      <c r="W12" s="19" t="s">
        <v>160</v>
      </c>
      <c r="X12" s="23" t="s">
        <v>96</v>
      </c>
      <c r="Y12" s="24"/>
    </row>
    <row r="13" customFormat="false" ht="75" hidden="false" customHeight="true" outlineLevel="0" collapsed="false">
      <c r="A13" s="18" t="n">
        <v>9</v>
      </c>
      <c r="B13" s="18" t="s">
        <v>113</v>
      </c>
      <c r="C13" s="18" t="s">
        <v>161</v>
      </c>
      <c r="D13" s="19" t="s">
        <v>152</v>
      </c>
      <c r="E13" s="19" t="s">
        <v>162</v>
      </c>
      <c r="F13" s="18" t="s">
        <v>30</v>
      </c>
      <c r="G13" s="25" t="s">
        <v>21</v>
      </c>
      <c r="H13" s="19" t="s">
        <v>163</v>
      </c>
      <c r="I13" s="19" t="s">
        <v>164</v>
      </c>
      <c r="J13" s="26" t="n">
        <v>1</v>
      </c>
      <c r="K13" s="18" t="s">
        <v>165</v>
      </c>
      <c r="L13" s="21" t="n">
        <v>3500</v>
      </c>
      <c r="M13" s="21" t="n">
        <v>3500</v>
      </c>
      <c r="N13" s="19" t="s">
        <v>166</v>
      </c>
      <c r="O13" s="21" t="n">
        <v>6500</v>
      </c>
      <c r="P13" s="21" t="n">
        <v>16500</v>
      </c>
      <c r="Q13" s="22" t="n">
        <f aca="false">AVERAGE(O13:P13)</f>
        <v>11500</v>
      </c>
      <c r="R13" s="19" t="s">
        <v>167</v>
      </c>
      <c r="S13" s="19" t="s">
        <v>168</v>
      </c>
      <c r="T13" s="18" t="s">
        <v>92</v>
      </c>
      <c r="U13" s="18" t="s">
        <v>93</v>
      </c>
      <c r="V13" s="18" t="s">
        <v>94</v>
      </c>
      <c r="W13" s="19" t="s">
        <v>169</v>
      </c>
      <c r="X13" s="23" t="s">
        <v>96</v>
      </c>
      <c r="Y13" s="24"/>
    </row>
    <row r="14" customFormat="false" ht="75" hidden="false" customHeight="true" outlineLevel="0" collapsed="false">
      <c r="A14" s="18" t="n">
        <v>10</v>
      </c>
      <c r="B14" s="18" t="s">
        <v>113</v>
      </c>
      <c r="C14" s="18" t="s">
        <v>170</v>
      </c>
      <c r="D14" s="19" t="s">
        <v>171</v>
      </c>
      <c r="E14" s="19" t="s">
        <v>172</v>
      </c>
      <c r="F14" s="18" t="s">
        <v>28</v>
      </c>
      <c r="G14" s="25" t="s">
        <v>21</v>
      </c>
      <c r="H14" s="19" t="s">
        <v>173</v>
      </c>
      <c r="I14" s="19" t="s">
        <v>174</v>
      </c>
      <c r="J14" s="19"/>
      <c r="K14" s="18"/>
      <c r="L14" s="19"/>
      <c r="M14" s="19"/>
      <c r="N14" s="19" t="s">
        <v>175</v>
      </c>
      <c r="O14" s="21" t="n">
        <v>8000</v>
      </c>
      <c r="P14" s="21" t="n">
        <v>18000</v>
      </c>
      <c r="Q14" s="22" t="n">
        <f aca="false">AVERAGE(O14:P14)</f>
        <v>13000</v>
      </c>
      <c r="R14" s="19" t="s">
        <v>176</v>
      </c>
      <c r="S14" s="19" t="s">
        <v>177</v>
      </c>
      <c r="T14" s="18" t="s">
        <v>123</v>
      </c>
      <c r="U14" s="18" t="s">
        <v>93</v>
      </c>
      <c r="V14" s="18" t="s">
        <v>94</v>
      </c>
      <c r="W14" s="19" t="s">
        <v>178</v>
      </c>
      <c r="X14" s="23" t="s">
        <v>96</v>
      </c>
      <c r="Y14" s="24"/>
    </row>
    <row r="15" customFormat="false" ht="75" hidden="false" customHeight="true" outlineLevel="0" collapsed="false">
      <c r="A15" s="18" t="n">
        <v>11</v>
      </c>
      <c r="B15" s="18" t="s">
        <v>113</v>
      </c>
      <c r="C15" s="18" t="s">
        <v>179</v>
      </c>
      <c r="D15" s="19" t="s">
        <v>180</v>
      </c>
      <c r="E15" s="19" t="s">
        <v>116</v>
      </c>
      <c r="F15" s="18" t="s">
        <v>28</v>
      </c>
      <c r="G15" s="25" t="s">
        <v>21</v>
      </c>
      <c r="H15" s="19" t="s">
        <v>181</v>
      </c>
      <c r="I15" s="19" t="s">
        <v>182</v>
      </c>
      <c r="J15" s="19"/>
      <c r="K15" s="18"/>
      <c r="L15" s="19"/>
      <c r="M15" s="19"/>
      <c r="N15" s="19" t="s">
        <v>183</v>
      </c>
      <c r="O15" s="21" t="n">
        <v>0</v>
      </c>
      <c r="P15" s="21" t="n">
        <v>0</v>
      </c>
      <c r="Q15" s="22" t="n">
        <f aca="false">AVERAGE(O15:P15)</f>
        <v>0</v>
      </c>
      <c r="R15" s="19" t="s">
        <v>184</v>
      </c>
      <c r="S15" s="19" t="s">
        <v>185</v>
      </c>
      <c r="T15" s="18" t="s">
        <v>123</v>
      </c>
      <c r="U15" s="18" t="s">
        <v>93</v>
      </c>
      <c r="V15" s="18" t="s">
        <v>94</v>
      </c>
      <c r="W15" s="19" t="s">
        <v>186</v>
      </c>
      <c r="X15" s="23" t="s">
        <v>96</v>
      </c>
      <c r="Y15" s="24"/>
    </row>
    <row r="16" customFormat="false" ht="75" hidden="false" customHeight="true" outlineLevel="0" collapsed="false">
      <c r="A16" s="18" t="n">
        <v>12</v>
      </c>
      <c r="B16" s="18" t="s">
        <v>113</v>
      </c>
      <c r="C16" s="18" t="s">
        <v>187</v>
      </c>
      <c r="D16" s="19" t="s">
        <v>133</v>
      </c>
      <c r="E16" s="19" t="s">
        <v>135</v>
      </c>
      <c r="F16" s="18" t="s">
        <v>29</v>
      </c>
      <c r="G16" s="25" t="s">
        <v>21</v>
      </c>
      <c r="H16" s="19" t="s">
        <v>188</v>
      </c>
      <c r="I16" s="19" t="s">
        <v>189</v>
      </c>
      <c r="J16" s="26" t="n">
        <v>63.11</v>
      </c>
      <c r="K16" s="18" t="s">
        <v>138</v>
      </c>
      <c r="L16" s="21" t="n">
        <v>318.79</v>
      </c>
      <c r="M16" s="21" t="n">
        <v>20119.03</v>
      </c>
      <c r="N16" s="19" t="s">
        <v>190</v>
      </c>
      <c r="O16" s="21" t="n">
        <v>0</v>
      </c>
      <c r="P16" s="21" t="n">
        <v>0</v>
      </c>
      <c r="Q16" s="22" t="n">
        <f aca="false">AVERAGE(O16:P16)</f>
        <v>0</v>
      </c>
      <c r="R16" s="19" t="s">
        <v>191</v>
      </c>
      <c r="S16" s="19" t="s">
        <v>192</v>
      </c>
      <c r="T16" s="18" t="s">
        <v>123</v>
      </c>
      <c r="U16" s="18" t="s">
        <v>93</v>
      </c>
      <c r="V16" s="18" t="s">
        <v>94</v>
      </c>
      <c r="W16" s="19" t="s">
        <v>193</v>
      </c>
      <c r="X16" s="23" t="s">
        <v>96</v>
      </c>
      <c r="Y16" s="24"/>
    </row>
    <row r="17" customFormat="false" ht="75" hidden="false" customHeight="true" outlineLevel="0" collapsed="false">
      <c r="A17" s="18" t="n">
        <v>13</v>
      </c>
      <c r="B17" s="18" t="s">
        <v>113</v>
      </c>
      <c r="C17" s="18" t="s">
        <v>194</v>
      </c>
      <c r="D17" s="19" t="s">
        <v>195</v>
      </c>
      <c r="E17" s="19" t="s">
        <v>196</v>
      </c>
      <c r="F17" s="18" t="s">
        <v>33</v>
      </c>
      <c r="G17" s="25" t="s">
        <v>21</v>
      </c>
      <c r="H17" s="19" t="s">
        <v>197</v>
      </c>
      <c r="I17" s="19" t="s">
        <v>198</v>
      </c>
      <c r="J17" s="26" t="n">
        <v>101.63</v>
      </c>
      <c r="K17" s="18" t="s">
        <v>138</v>
      </c>
      <c r="L17" s="21" t="n">
        <v>566.23</v>
      </c>
      <c r="M17" s="21" t="n">
        <v>57546.06</v>
      </c>
      <c r="N17" s="19" t="s">
        <v>199</v>
      </c>
      <c r="O17" s="21" t="n">
        <v>0</v>
      </c>
      <c r="P17" s="21" t="n">
        <v>0</v>
      </c>
      <c r="Q17" s="22" t="n">
        <f aca="false">AVERAGE(O17:P17)</f>
        <v>0</v>
      </c>
      <c r="R17" s="19" t="s">
        <v>200</v>
      </c>
      <c r="S17" s="19" t="s">
        <v>201</v>
      </c>
      <c r="T17" s="18" t="s">
        <v>123</v>
      </c>
      <c r="U17" s="18" t="s">
        <v>93</v>
      </c>
      <c r="V17" s="18" t="s">
        <v>94</v>
      </c>
      <c r="W17" s="19" t="s">
        <v>202</v>
      </c>
      <c r="X17" s="23" t="s">
        <v>96</v>
      </c>
      <c r="Y17" s="24"/>
    </row>
    <row r="18" customFormat="false" ht="75" hidden="false" customHeight="true" outlineLevel="0" collapsed="false">
      <c r="A18" s="18" t="n">
        <v>14</v>
      </c>
      <c r="B18" s="18" t="s">
        <v>113</v>
      </c>
      <c r="C18" s="18" t="s">
        <v>203</v>
      </c>
      <c r="D18" s="19" t="s">
        <v>204</v>
      </c>
      <c r="E18" s="19" t="s">
        <v>205</v>
      </c>
      <c r="F18" s="18" t="s">
        <v>34</v>
      </c>
      <c r="G18" s="25" t="s">
        <v>21</v>
      </c>
      <c r="H18" s="19" t="s">
        <v>206</v>
      </c>
      <c r="I18" s="19" t="s">
        <v>207</v>
      </c>
      <c r="J18" s="19"/>
      <c r="K18" s="18"/>
      <c r="L18" s="19"/>
      <c r="M18" s="19"/>
      <c r="N18" s="19" t="s">
        <v>208</v>
      </c>
      <c r="O18" s="21" t="n">
        <v>0</v>
      </c>
      <c r="P18" s="21" t="n">
        <v>-73963.92</v>
      </c>
      <c r="Q18" s="22" t="n">
        <f aca="false">AVERAGE(O18:P18)</f>
        <v>-36981.96</v>
      </c>
      <c r="R18" s="19" t="s">
        <v>209</v>
      </c>
      <c r="S18" s="19" t="s">
        <v>210</v>
      </c>
      <c r="T18" s="18" t="s">
        <v>123</v>
      </c>
      <c r="U18" s="18" t="s">
        <v>93</v>
      </c>
      <c r="V18" s="18" t="s">
        <v>211</v>
      </c>
      <c r="W18" s="19" t="s">
        <v>212</v>
      </c>
      <c r="X18" s="23" t="s">
        <v>96</v>
      </c>
      <c r="Y18" s="24"/>
    </row>
    <row r="19" customFormat="false" ht="75" hidden="false" customHeight="true" outlineLevel="0" collapsed="false">
      <c r="A19" s="18" t="n">
        <v>15</v>
      </c>
      <c r="B19" s="18" t="s">
        <v>213</v>
      </c>
      <c r="C19" s="18" t="s">
        <v>214</v>
      </c>
      <c r="D19" s="19" t="s">
        <v>215</v>
      </c>
      <c r="E19" s="19" t="s">
        <v>216</v>
      </c>
      <c r="F19" s="18" t="s">
        <v>28</v>
      </c>
      <c r="G19" s="25" t="s">
        <v>21</v>
      </c>
      <c r="H19" s="19" t="s">
        <v>217</v>
      </c>
      <c r="I19" s="19" t="s">
        <v>218</v>
      </c>
      <c r="J19" s="26" t="n">
        <v>9000</v>
      </c>
      <c r="K19" s="18" t="s">
        <v>138</v>
      </c>
      <c r="L19" s="21" t="n">
        <v>4.55</v>
      </c>
      <c r="M19" s="21" t="n">
        <v>40950</v>
      </c>
      <c r="N19" s="19" t="s">
        <v>219</v>
      </c>
      <c r="O19" s="21" t="n">
        <v>0</v>
      </c>
      <c r="P19" s="21" t="n">
        <v>30000</v>
      </c>
      <c r="Q19" s="22" t="n">
        <f aca="false">AVERAGE(O19:P19)</f>
        <v>15000</v>
      </c>
      <c r="R19" s="19" t="s">
        <v>220</v>
      </c>
      <c r="S19" s="19" t="s">
        <v>221</v>
      </c>
      <c r="T19" s="18" t="s">
        <v>123</v>
      </c>
      <c r="U19" s="18" t="s">
        <v>93</v>
      </c>
      <c r="V19" s="18" t="s">
        <v>94</v>
      </c>
      <c r="W19" s="19" t="s">
        <v>222</v>
      </c>
      <c r="X19" s="23" t="s">
        <v>96</v>
      </c>
      <c r="Y19" s="24"/>
    </row>
    <row r="20" customFormat="false" ht="75" hidden="false" customHeight="true" outlineLevel="0" collapsed="false">
      <c r="A20" s="18" t="n">
        <v>16</v>
      </c>
      <c r="B20" s="18" t="s">
        <v>213</v>
      </c>
      <c r="C20" s="18" t="s">
        <v>223</v>
      </c>
      <c r="D20" s="19" t="s">
        <v>224</v>
      </c>
      <c r="E20" s="19" t="s">
        <v>225</v>
      </c>
      <c r="F20" s="18" t="s">
        <v>28</v>
      </c>
      <c r="G20" s="25" t="s">
        <v>21</v>
      </c>
      <c r="H20" s="19" t="s">
        <v>226</v>
      </c>
      <c r="I20" s="19" t="s">
        <v>227</v>
      </c>
      <c r="J20" s="26" t="n">
        <v>1000</v>
      </c>
      <c r="K20" s="18" t="s">
        <v>228</v>
      </c>
      <c r="L20" s="21" t="n">
        <v>14</v>
      </c>
      <c r="M20" s="21" t="n">
        <v>14000</v>
      </c>
      <c r="N20" s="19" t="s">
        <v>229</v>
      </c>
      <c r="O20" s="21" t="n">
        <v>0</v>
      </c>
      <c r="P20" s="21" t="n">
        <v>22000</v>
      </c>
      <c r="Q20" s="22" t="n">
        <f aca="false">AVERAGE(O20:P20)</f>
        <v>11000</v>
      </c>
      <c r="R20" s="19" t="s">
        <v>230</v>
      </c>
      <c r="S20" s="19" t="s">
        <v>231</v>
      </c>
      <c r="T20" s="18" t="s">
        <v>123</v>
      </c>
      <c r="U20" s="18" t="s">
        <v>93</v>
      </c>
      <c r="V20" s="18" t="s">
        <v>211</v>
      </c>
      <c r="W20" s="19" t="s">
        <v>232</v>
      </c>
      <c r="X20" s="23" t="s">
        <v>96</v>
      </c>
      <c r="Y20" s="24"/>
    </row>
    <row r="21" customFormat="false" ht="75" hidden="false" customHeight="true" outlineLevel="0" collapsed="false">
      <c r="A21" s="18" t="n">
        <v>17</v>
      </c>
      <c r="B21" s="18" t="s">
        <v>213</v>
      </c>
      <c r="C21" s="18" t="s">
        <v>233</v>
      </c>
      <c r="D21" s="19" t="s">
        <v>234</v>
      </c>
      <c r="E21" s="19" t="s">
        <v>235</v>
      </c>
      <c r="F21" s="18" t="s">
        <v>30</v>
      </c>
      <c r="G21" s="25" t="s">
        <v>21</v>
      </c>
      <c r="H21" s="19" t="s">
        <v>236</v>
      </c>
      <c r="I21" s="19" t="s">
        <v>237</v>
      </c>
      <c r="J21" s="19"/>
      <c r="K21" s="18"/>
      <c r="L21" s="19"/>
      <c r="M21" s="19"/>
      <c r="N21" s="19" t="s">
        <v>238</v>
      </c>
      <c r="O21" s="21" t="n">
        <v>4774</v>
      </c>
      <c r="P21" s="21" t="n">
        <v>9114</v>
      </c>
      <c r="Q21" s="22" t="n">
        <f aca="false">AVERAGE(O21:P21)</f>
        <v>6944</v>
      </c>
      <c r="R21" s="19" t="s">
        <v>239</v>
      </c>
      <c r="S21" s="19" t="s">
        <v>240</v>
      </c>
      <c r="T21" s="18" t="s">
        <v>92</v>
      </c>
      <c r="U21" s="18" t="s">
        <v>93</v>
      </c>
      <c r="V21" s="18" t="s">
        <v>94</v>
      </c>
      <c r="W21" s="19" t="s">
        <v>241</v>
      </c>
      <c r="X21" s="23" t="s">
        <v>96</v>
      </c>
      <c r="Y21" s="24"/>
    </row>
    <row r="22" customFormat="false" ht="75" hidden="false" customHeight="true" outlineLevel="0" collapsed="false">
      <c r="A22" s="18" t="n">
        <v>18</v>
      </c>
      <c r="B22" s="18" t="s">
        <v>213</v>
      </c>
      <c r="C22" s="18" t="s">
        <v>242</v>
      </c>
      <c r="D22" s="19" t="s">
        <v>243</v>
      </c>
      <c r="E22" s="19" t="s">
        <v>244</v>
      </c>
      <c r="F22" s="18" t="s">
        <v>28</v>
      </c>
      <c r="G22" s="25" t="s">
        <v>21</v>
      </c>
      <c r="H22" s="19" t="s">
        <v>245</v>
      </c>
      <c r="I22" s="19" t="s">
        <v>246</v>
      </c>
      <c r="J22" s="19"/>
      <c r="K22" s="18"/>
      <c r="L22" s="19"/>
      <c r="M22" s="19"/>
      <c r="N22" s="19" t="s">
        <v>247</v>
      </c>
      <c r="O22" s="21" t="n">
        <v>8000</v>
      </c>
      <c r="P22" s="21" t="n">
        <v>18000</v>
      </c>
      <c r="Q22" s="22" t="n">
        <f aca="false">AVERAGE(O22:P22)</f>
        <v>13000</v>
      </c>
      <c r="R22" s="19" t="s">
        <v>248</v>
      </c>
      <c r="S22" s="19" t="s">
        <v>249</v>
      </c>
      <c r="T22" s="18" t="s">
        <v>123</v>
      </c>
      <c r="U22" s="18" t="s">
        <v>93</v>
      </c>
      <c r="V22" s="18" t="s">
        <v>94</v>
      </c>
      <c r="W22" s="19" t="s">
        <v>250</v>
      </c>
      <c r="X22" s="23" t="s">
        <v>96</v>
      </c>
      <c r="Y22" s="24"/>
    </row>
    <row r="23" customFormat="false" ht="75" hidden="false" customHeight="true" outlineLevel="0" collapsed="false">
      <c r="A23" s="18" t="n">
        <v>19</v>
      </c>
      <c r="B23" s="18" t="s">
        <v>213</v>
      </c>
      <c r="C23" s="18" t="s">
        <v>251</v>
      </c>
      <c r="D23" s="19" t="s">
        <v>252</v>
      </c>
      <c r="E23" s="19" t="s">
        <v>253</v>
      </c>
      <c r="F23" s="18" t="s">
        <v>29</v>
      </c>
      <c r="G23" s="25" t="s">
        <v>21</v>
      </c>
      <c r="H23" s="19" t="s">
        <v>254</v>
      </c>
      <c r="I23" s="19" t="s">
        <v>255</v>
      </c>
      <c r="J23" s="19"/>
      <c r="K23" s="18"/>
      <c r="L23" s="19"/>
      <c r="M23" s="19"/>
      <c r="N23" s="19" t="s">
        <v>256</v>
      </c>
      <c r="O23" s="21" t="n">
        <v>-9940</v>
      </c>
      <c r="P23" s="21" t="n">
        <v>-9940</v>
      </c>
      <c r="Q23" s="22" t="n">
        <f aca="false">AVERAGE(O23:P23)</f>
        <v>-9940</v>
      </c>
      <c r="R23" s="19" t="s">
        <v>257</v>
      </c>
      <c r="S23" s="19" t="s">
        <v>258</v>
      </c>
      <c r="T23" s="18" t="s">
        <v>123</v>
      </c>
      <c r="U23" s="18" t="s">
        <v>124</v>
      </c>
      <c r="V23" s="18" t="s">
        <v>94</v>
      </c>
      <c r="W23" s="19" t="s">
        <v>259</v>
      </c>
      <c r="X23" s="23" t="s">
        <v>96</v>
      </c>
      <c r="Y23" s="24"/>
    </row>
    <row r="24" customFormat="false" ht="75" hidden="false" customHeight="true" outlineLevel="0" collapsed="false">
      <c r="A24" s="18" t="n">
        <v>20</v>
      </c>
      <c r="B24" s="18" t="s">
        <v>213</v>
      </c>
      <c r="C24" s="18" t="s">
        <v>260</v>
      </c>
      <c r="D24" s="19" t="s">
        <v>261</v>
      </c>
      <c r="E24" s="19" t="s">
        <v>262</v>
      </c>
      <c r="F24" s="18" t="s">
        <v>27</v>
      </c>
      <c r="G24" s="25" t="s">
        <v>21</v>
      </c>
      <c r="H24" s="19" t="s">
        <v>263</v>
      </c>
      <c r="I24" s="19" t="s">
        <v>264</v>
      </c>
      <c r="J24" s="26" t="n">
        <v>2</v>
      </c>
      <c r="K24" s="18" t="s">
        <v>165</v>
      </c>
      <c r="L24" s="21" t="n">
        <v>5174.4</v>
      </c>
      <c r="M24" s="21" t="n">
        <v>10348.8</v>
      </c>
      <c r="N24" s="19" t="s">
        <v>265</v>
      </c>
      <c r="O24" s="21" t="n">
        <v>0</v>
      </c>
      <c r="P24" s="21" t="n">
        <v>-10348.8</v>
      </c>
      <c r="Q24" s="22" t="n">
        <f aca="false">AVERAGE(O24:P24)</f>
        <v>-5174.4</v>
      </c>
      <c r="R24" s="19" t="s">
        <v>266</v>
      </c>
      <c r="S24" s="19" t="s">
        <v>267</v>
      </c>
      <c r="T24" s="18" t="s">
        <v>123</v>
      </c>
      <c r="U24" s="18" t="s">
        <v>93</v>
      </c>
      <c r="V24" s="18" t="s">
        <v>94</v>
      </c>
      <c r="W24" s="19" t="s">
        <v>268</v>
      </c>
      <c r="X24" s="23" t="s">
        <v>96</v>
      </c>
      <c r="Y24" s="24"/>
    </row>
    <row r="25" customFormat="false" ht="75" hidden="false" customHeight="true" outlineLevel="0" collapsed="false">
      <c r="A25" s="18" t="n">
        <v>21</v>
      </c>
      <c r="B25" s="18" t="s">
        <v>213</v>
      </c>
      <c r="C25" s="18" t="s">
        <v>269</v>
      </c>
      <c r="D25" s="19" t="s">
        <v>270</v>
      </c>
      <c r="E25" s="19" t="s">
        <v>271</v>
      </c>
      <c r="F25" s="18" t="s">
        <v>28</v>
      </c>
      <c r="G25" s="25" t="s">
        <v>21</v>
      </c>
      <c r="H25" s="19" t="s">
        <v>272</v>
      </c>
      <c r="I25" s="19" t="s">
        <v>273</v>
      </c>
      <c r="J25" s="19"/>
      <c r="K25" s="18"/>
      <c r="L25" s="19"/>
      <c r="M25" s="19"/>
      <c r="N25" s="19" t="s">
        <v>274</v>
      </c>
      <c r="O25" s="21" t="n">
        <v>0</v>
      </c>
      <c r="P25" s="21" t="n">
        <v>0</v>
      </c>
      <c r="Q25" s="22" t="n">
        <f aca="false">AVERAGE(O25:P25)</f>
        <v>0</v>
      </c>
      <c r="R25" s="19" t="s">
        <v>275</v>
      </c>
      <c r="S25" s="19" t="s">
        <v>276</v>
      </c>
      <c r="T25" s="18" t="s">
        <v>123</v>
      </c>
      <c r="U25" s="18" t="s">
        <v>93</v>
      </c>
      <c r="V25" s="18" t="s">
        <v>94</v>
      </c>
      <c r="W25" s="19" t="s">
        <v>277</v>
      </c>
      <c r="X25" s="23" t="s">
        <v>96</v>
      </c>
      <c r="Y25" s="24"/>
    </row>
    <row r="26" customFormat="false" ht="75" hidden="false" customHeight="true" outlineLevel="0" collapsed="false">
      <c r="A26" s="18" t="n">
        <v>22</v>
      </c>
      <c r="B26" s="18" t="s">
        <v>213</v>
      </c>
      <c r="C26" s="18" t="s">
        <v>278</v>
      </c>
      <c r="D26" s="19" t="s">
        <v>279</v>
      </c>
      <c r="E26" s="19" t="s">
        <v>280</v>
      </c>
      <c r="F26" s="18" t="s">
        <v>28</v>
      </c>
      <c r="G26" s="25" t="s">
        <v>21</v>
      </c>
      <c r="H26" s="19" t="s">
        <v>281</v>
      </c>
      <c r="I26" s="19" t="s">
        <v>282</v>
      </c>
      <c r="J26" s="19"/>
      <c r="K26" s="18"/>
      <c r="L26" s="19"/>
      <c r="M26" s="19"/>
      <c r="N26" s="19" t="s">
        <v>283</v>
      </c>
      <c r="O26" s="21" t="n">
        <v>0</v>
      </c>
      <c r="P26" s="21" t="n">
        <v>24000</v>
      </c>
      <c r="Q26" s="22" t="n">
        <f aca="false">AVERAGE(O26:P26)</f>
        <v>12000</v>
      </c>
      <c r="R26" s="19" t="s">
        <v>284</v>
      </c>
      <c r="S26" s="19" t="s">
        <v>285</v>
      </c>
      <c r="T26" s="18" t="s">
        <v>123</v>
      </c>
      <c r="U26" s="18" t="s">
        <v>93</v>
      </c>
      <c r="V26" s="18" t="s">
        <v>94</v>
      </c>
      <c r="W26" s="19" t="s">
        <v>286</v>
      </c>
      <c r="X26" s="23" t="s">
        <v>96</v>
      </c>
      <c r="Y26" s="24"/>
    </row>
    <row r="27" customFormat="false" ht="75" hidden="false" customHeight="true" outlineLevel="0" collapsed="false">
      <c r="A27" s="18" t="n">
        <v>23</v>
      </c>
      <c r="B27" s="18" t="s">
        <v>213</v>
      </c>
      <c r="C27" s="18" t="s">
        <v>287</v>
      </c>
      <c r="D27" s="19" t="s">
        <v>288</v>
      </c>
      <c r="E27" s="19" t="s">
        <v>289</v>
      </c>
      <c r="F27" s="18" t="s">
        <v>28</v>
      </c>
      <c r="G27" s="25" t="s">
        <v>21</v>
      </c>
      <c r="H27" s="19" t="s">
        <v>290</v>
      </c>
      <c r="I27" s="19" t="s">
        <v>291</v>
      </c>
      <c r="J27" s="19"/>
      <c r="K27" s="18"/>
      <c r="L27" s="19"/>
      <c r="M27" s="19"/>
      <c r="N27" s="19" t="s">
        <v>292</v>
      </c>
      <c r="O27" s="21" t="n">
        <v>1500</v>
      </c>
      <c r="P27" s="21" t="n">
        <v>6345</v>
      </c>
      <c r="Q27" s="22" t="n">
        <f aca="false">AVERAGE(O27:P27)</f>
        <v>3922.5</v>
      </c>
      <c r="R27" s="19" t="s">
        <v>293</v>
      </c>
      <c r="S27" s="19" t="s">
        <v>294</v>
      </c>
      <c r="T27" s="18" t="s">
        <v>123</v>
      </c>
      <c r="U27" s="18" t="s">
        <v>93</v>
      </c>
      <c r="V27" s="18" t="s">
        <v>94</v>
      </c>
      <c r="W27" s="19" t="s">
        <v>295</v>
      </c>
      <c r="X27" s="23" t="s">
        <v>96</v>
      </c>
      <c r="Y27" s="24"/>
    </row>
    <row r="28" customFormat="false" ht="75" hidden="false" customHeight="true" outlineLevel="0" collapsed="false">
      <c r="A28" s="18" t="n">
        <v>24</v>
      </c>
      <c r="B28" s="18" t="s">
        <v>213</v>
      </c>
      <c r="C28" s="18" t="s">
        <v>296</v>
      </c>
      <c r="D28" s="19" t="s">
        <v>297</v>
      </c>
      <c r="E28" s="19" t="s">
        <v>298</v>
      </c>
      <c r="F28" s="18" t="s">
        <v>28</v>
      </c>
      <c r="G28" s="25" t="s">
        <v>21</v>
      </c>
      <c r="H28" s="19" t="s">
        <v>299</v>
      </c>
      <c r="I28" s="19" t="s">
        <v>300</v>
      </c>
      <c r="J28" s="19"/>
      <c r="K28" s="18"/>
      <c r="L28" s="19"/>
      <c r="M28" s="19"/>
      <c r="N28" s="19" t="s">
        <v>301</v>
      </c>
      <c r="O28" s="21" t="n">
        <v>35000</v>
      </c>
      <c r="P28" s="21" t="n">
        <v>70000</v>
      </c>
      <c r="Q28" s="22" t="n">
        <f aca="false">AVERAGE(O28:P28)</f>
        <v>52500</v>
      </c>
      <c r="R28" s="19" t="s">
        <v>302</v>
      </c>
      <c r="S28" s="19" t="s">
        <v>303</v>
      </c>
      <c r="T28" s="18" t="s">
        <v>304</v>
      </c>
      <c r="U28" s="18" t="s">
        <v>93</v>
      </c>
      <c r="V28" s="18" t="s">
        <v>94</v>
      </c>
      <c r="W28" s="19" t="s">
        <v>305</v>
      </c>
      <c r="X28" s="23" t="s">
        <v>96</v>
      </c>
      <c r="Y28" s="24"/>
    </row>
    <row r="29" customFormat="false" ht="75" hidden="false" customHeight="true" outlineLevel="0" collapsed="false">
      <c r="A29" s="18" t="n">
        <v>25</v>
      </c>
      <c r="B29" s="18" t="s">
        <v>306</v>
      </c>
      <c r="C29" s="18" t="s">
        <v>307</v>
      </c>
      <c r="D29" s="19" t="s">
        <v>308</v>
      </c>
      <c r="E29" s="19" t="s">
        <v>309</v>
      </c>
      <c r="F29" s="18" t="s">
        <v>29</v>
      </c>
      <c r="G29" s="25" t="s">
        <v>21</v>
      </c>
      <c r="H29" s="19" t="s">
        <v>310</v>
      </c>
      <c r="I29" s="19" t="s">
        <v>311</v>
      </c>
      <c r="J29" s="26" t="n">
        <v>25.6</v>
      </c>
      <c r="K29" s="18" t="s">
        <v>312</v>
      </c>
      <c r="L29" s="21" t="n">
        <v>220</v>
      </c>
      <c r="M29" s="21" t="n">
        <v>5632</v>
      </c>
      <c r="N29" s="19" t="s">
        <v>313</v>
      </c>
      <c r="O29" s="21" t="n">
        <v>0</v>
      </c>
      <c r="P29" s="21" t="n">
        <v>0</v>
      </c>
      <c r="Q29" s="22" t="n">
        <f aca="false">AVERAGE(O29:P29)</f>
        <v>0</v>
      </c>
      <c r="R29" s="19" t="s">
        <v>314</v>
      </c>
      <c r="S29" s="19" t="s">
        <v>315</v>
      </c>
      <c r="T29" s="18" t="s">
        <v>123</v>
      </c>
      <c r="U29" s="18" t="s">
        <v>93</v>
      </c>
      <c r="V29" s="18" t="s">
        <v>94</v>
      </c>
      <c r="W29" s="19" t="s">
        <v>316</v>
      </c>
      <c r="X29" s="23" t="s">
        <v>96</v>
      </c>
      <c r="Y29" s="24"/>
    </row>
    <row r="30" customFormat="false" ht="75" hidden="false" customHeight="true" outlineLevel="0" collapsed="false">
      <c r="A30" s="18" t="n">
        <v>26</v>
      </c>
      <c r="B30" s="18" t="s">
        <v>317</v>
      </c>
      <c r="C30" s="18" t="s">
        <v>318</v>
      </c>
      <c r="D30" s="19" t="s">
        <v>319</v>
      </c>
      <c r="E30" s="19" t="s">
        <v>320</v>
      </c>
      <c r="F30" s="18" t="s">
        <v>30</v>
      </c>
      <c r="G30" s="25" t="s">
        <v>21</v>
      </c>
      <c r="H30" s="19" t="s">
        <v>321</v>
      </c>
      <c r="I30" s="19" t="s">
        <v>322</v>
      </c>
      <c r="J30" s="26" t="n">
        <v>708.21</v>
      </c>
      <c r="K30" s="18" t="s">
        <v>138</v>
      </c>
      <c r="L30" s="21" t="n">
        <v>5.5</v>
      </c>
      <c r="M30" s="21" t="n">
        <v>3895.16</v>
      </c>
      <c r="N30" s="19" t="s">
        <v>323</v>
      </c>
      <c r="O30" s="21" t="n">
        <v>4603.37</v>
      </c>
      <c r="P30" s="21" t="n">
        <v>8852.63</v>
      </c>
      <c r="Q30" s="22" t="n">
        <f aca="false">AVERAGE(O30:P30)</f>
        <v>6728</v>
      </c>
      <c r="R30" s="19" t="s">
        <v>324</v>
      </c>
      <c r="S30" s="19" t="s">
        <v>325</v>
      </c>
      <c r="T30" s="18" t="s">
        <v>92</v>
      </c>
      <c r="U30" s="18" t="s">
        <v>93</v>
      </c>
      <c r="V30" s="18" t="s">
        <v>94</v>
      </c>
      <c r="W30" s="19" t="s">
        <v>326</v>
      </c>
      <c r="X30" s="23" t="s">
        <v>96</v>
      </c>
      <c r="Y30" s="24"/>
    </row>
    <row r="31" customFormat="false" ht="75" hidden="false" customHeight="true" outlineLevel="0" collapsed="false">
      <c r="A31" s="18" t="n">
        <v>27</v>
      </c>
      <c r="B31" s="18" t="s">
        <v>317</v>
      </c>
      <c r="C31" s="18" t="s">
        <v>327</v>
      </c>
      <c r="D31" s="19" t="s">
        <v>328</v>
      </c>
      <c r="E31" s="19" t="s">
        <v>329</v>
      </c>
      <c r="F31" s="18" t="s">
        <v>30</v>
      </c>
      <c r="G31" s="25" t="s">
        <v>21</v>
      </c>
      <c r="H31" s="19" t="s">
        <v>330</v>
      </c>
      <c r="I31" s="19" t="s">
        <v>331</v>
      </c>
      <c r="J31" s="19"/>
      <c r="K31" s="18"/>
      <c r="L31" s="19"/>
      <c r="M31" s="19"/>
      <c r="N31" s="19" t="s">
        <v>332</v>
      </c>
      <c r="O31" s="21" t="n">
        <v>8149</v>
      </c>
      <c r="P31" s="21" t="n">
        <v>15892</v>
      </c>
      <c r="Q31" s="22" t="n">
        <f aca="false">AVERAGE(O31:P31)</f>
        <v>12020.5</v>
      </c>
      <c r="R31" s="19" t="s">
        <v>333</v>
      </c>
      <c r="S31" s="19" t="s">
        <v>334</v>
      </c>
      <c r="T31" s="18" t="s">
        <v>92</v>
      </c>
      <c r="U31" s="18" t="s">
        <v>93</v>
      </c>
      <c r="V31" s="18" t="s">
        <v>94</v>
      </c>
      <c r="W31" s="19" t="s">
        <v>335</v>
      </c>
      <c r="X31" s="23" t="s">
        <v>96</v>
      </c>
      <c r="Y31" s="24"/>
    </row>
    <row r="32" customFormat="false" ht="75" hidden="false" customHeight="true" outlineLevel="0" collapsed="false">
      <c r="A32" s="18" t="n">
        <v>28</v>
      </c>
      <c r="B32" s="18" t="s">
        <v>317</v>
      </c>
      <c r="C32" s="18" t="s">
        <v>336</v>
      </c>
      <c r="D32" s="19" t="s">
        <v>337</v>
      </c>
      <c r="E32" s="19" t="s">
        <v>338</v>
      </c>
      <c r="F32" s="18" t="s">
        <v>30</v>
      </c>
      <c r="G32" s="25" t="s">
        <v>21</v>
      </c>
      <c r="H32" s="19" t="s">
        <v>339</v>
      </c>
      <c r="I32" s="19" t="s">
        <v>340</v>
      </c>
      <c r="J32" s="19"/>
      <c r="K32" s="18"/>
      <c r="L32" s="19"/>
      <c r="M32" s="19"/>
      <c r="N32" s="19" t="s">
        <v>341</v>
      </c>
      <c r="O32" s="21" t="n">
        <v>1954.38</v>
      </c>
      <c r="P32" s="21" t="n">
        <v>4454.38</v>
      </c>
      <c r="Q32" s="22" t="n">
        <f aca="false">AVERAGE(O32:P32)</f>
        <v>3204.38</v>
      </c>
      <c r="R32" s="19" t="s">
        <v>342</v>
      </c>
      <c r="S32" s="19" t="s">
        <v>343</v>
      </c>
      <c r="T32" s="18" t="s">
        <v>92</v>
      </c>
      <c r="U32" s="18" t="s">
        <v>93</v>
      </c>
      <c r="V32" s="18" t="s">
        <v>94</v>
      </c>
      <c r="W32" s="19" t="s">
        <v>344</v>
      </c>
      <c r="X32" s="23" t="s">
        <v>96</v>
      </c>
      <c r="Y32" s="24"/>
    </row>
    <row r="33" customFormat="false" ht="75" hidden="false" customHeight="true" outlineLevel="0" collapsed="false">
      <c r="A33" s="18" t="n">
        <v>29</v>
      </c>
      <c r="B33" s="18" t="s">
        <v>317</v>
      </c>
      <c r="C33" s="18" t="s">
        <v>345</v>
      </c>
      <c r="D33" s="19" t="s">
        <v>346</v>
      </c>
      <c r="E33" s="19" t="s">
        <v>347</v>
      </c>
      <c r="F33" s="18" t="s">
        <v>29</v>
      </c>
      <c r="G33" s="25" t="s">
        <v>21</v>
      </c>
      <c r="H33" s="19" t="s">
        <v>348</v>
      </c>
      <c r="I33" s="19" t="s">
        <v>349</v>
      </c>
      <c r="J33" s="19"/>
      <c r="K33" s="18"/>
      <c r="L33" s="19"/>
      <c r="M33" s="19"/>
      <c r="N33" s="19" t="s">
        <v>350</v>
      </c>
      <c r="O33" s="21" t="n">
        <v>-7864</v>
      </c>
      <c r="P33" s="21" t="n">
        <v>-7864</v>
      </c>
      <c r="Q33" s="22" t="n">
        <f aca="false">AVERAGE(O33:P33)</f>
        <v>-7864</v>
      </c>
      <c r="R33" s="19" t="s">
        <v>351</v>
      </c>
      <c r="S33" s="19" t="s">
        <v>352</v>
      </c>
      <c r="T33" s="18" t="s">
        <v>123</v>
      </c>
      <c r="U33" s="18" t="s">
        <v>93</v>
      </c>
      <c r="V33" s="18" t="s">
        <v>94</v>
      </c>
      <c r="W33" s="19" t="s">
        <v>353</v>
      </c>
      <c r="X33" s="23" t="s">
        <v>96</v>
      </c>
      <c r="Y33" s="24"/>
    </row>
    <row r="34" customFormat="false" ht="75" hidden="false" customHeight="true" outlineLevel="0" collapsed="false">
      <c r="A34" s="18" t="n">
        <v>30</v>
      </c>
      <c r="B34" s="18" t="s">
        <v>354</v>
      </c>
      <c r="C34" s="18" t="s">
        <v>354</v>
      </c>
      <c r="D34" s="19" t="s">
        <v>355</v>
      </c>
      <c r="E34" s="19" t="s">
        <v>356</v>
      </c>
      <c r="F34" s="18" t="s">
        <v>33</v>
      </c>
      <c r="G34" s="25" t="s">
        <v>21</v>
      </c>
      <c r="H34" s="19" t="s">
        <v>357</v>
      </c>
      <c r="I34" s="19" t="s">
        <v>358</v>
      </c>
      <c r="J34" s="19"/>
      <c r="K34" s="18"/>
      <c r="L34" s="19"/>
      <c r="M34" s="21" t="n">
        <v>265980.37</v>
      </c>
      <c r="N34" s="19" t="s">
        <v>359</v>
      </c>
      <c r="O34" s="21" t="n">
        <v>0</v>
      </c>
      <c r="P34" s="21" t="n">
        <v>0</v>
      </c>
      <c r="Q34" s="22" t="n">
        <f aca="false">AVERAGE(O34:P34)</f>
        <v>0</v>
      </c>
      <c r="R34" s="19" t="s">
        <v>360</v>
      </c>
      <c r="S34" s="19" t="s">
        <v>361</v>
      </c>
      <c r="T34" s="18" t="s">
        <v>123</v>
      </c>
      <c r="U34" s="18" t="s">
        <v>93</v>
      </c>
      <c r="V34" s="18" t="s">
        <v>94</v>
      </c>
      <c r="W34" s="19" t="s">
        <v>362</v>
      </c>
      <c r="X34" s="23" t="s">
        <v>96</v>
      </c>
      <c r="Y34" s="24"/>
    </row>
    <row r="35" customFormat="false" ht="75" hidden="false" customHeight="true" outlineLevel="0" collapsed="false">
      <c r="A35" s="18" t="n">
        <v>31</v>
      </c>
      <c r="B35" s="18" t="s">
        <v>354</v>
      </c>
      <c r="C35" s="18" t="s">
        <v>363</v>
      </c>
      <c r="D35" s="19" t="s">
        <v>364</v>
      </c>
      <c r="E35" s="19" t="s">
        <v>365</v>
      </c>
      <c r="F35" s="18" t="s">
        <v>28</v>
      </c>
      <c r="G35" s="25" t="s">
        <v>21</v>
      </c>
      <c r="H35" s="19" t="s">
        <v>366</v>
      </c>
      <c r="I35" s="19" t="s">
        <v>367</v>
      </c>
      <c r="J35" s="19"/>
      <c r="K35" s="18"/>
      <c r="L35" s="19"/>
      <c r="M35" s="19"/>
      <c r="N35" s="19" t="s">
        <v>368</v>
      </c>
      <c r="O35" s="21" t="n">
        <v>1000</v>
      </c>
      <c r="P35" s="21" t="n">
        <v>20000</v>
      </c>
      <c r="Q35" s="22" t="n">
        <f aca="false">AVERAGE(O35:P35)</f>
        <v>10500</v>
      </c>
      <c r="R35" s="19" t="s">
        <v>369</v>
      </c>
      <c r="S35" s="19" t="s">
        <v>370</v>
      </c>
      <c r="T35" s="18" t="s">
        <v>123</v>
      </c>
      <c r="U35" s="18" t="s">
        <v>93</v>
      </c>
      <c r="V35" s="18" t="s">
        <v>211</v>
      </c>
      <c r="W35" s="19" t="s">
        <v>371</v>
      </c>
      <c r="X35" s="23" t="s">
        <v>96</v>
      </c>
      <c r="Y35" s="24"/>
    </row>
    <row r="36" customFormat="false" ht="75" hidden="false" customHeight="true" outlineLevel="0" collapsed="false">
      <c r="A36" s="18" t="n">
        <v>32</v>
      </c>
      <c r="B36" s="18" t="s">
        <v>354</v>
      </c>
      <c r="C36" s="18" t="s">
        <v>372</v>
      </c>
      <c r="D36" s="19" t="s">
        <v>373</v>
      </c>
      <c r="E36" s="19" t="s">
        <v>374</v>
      </c>
      <c r="F36" s="18" t="s">
        <v>33</v>
      </c>
      <c r="G36" s="25" t="s">
        <v>21</v>
      </c>
      <c r="H36" s="19" t="s">
        <v>375</v>
      </c>
      <c r="I36" s="19" t="s">
        <v>376</v>
      </c>
      <c r="J36" s="26" t="n">
        <v>192</v>
      </c>
      <c r="K36" s="18" t="s">
        <v>165</v>
      </c>
      <c r="L36" s="21" t="n">
        <v>132.84</v>
      </c>
      <c r="M36" s="21" t="n">
        <v>25505.28</v>
      </c>
      <c r="N36" s="19" t="s">
        <v>377</v>
      </c>
      <c r="O36" s="21" t="n">
        <v>0</v>
      </c>
      <c r="P36" s="21" t="n">
        <v>2500</v>
      </c>
      <c r="Q36" s="22" t="n">
        <f aca="false">AVERAGE(O36:P36)</f>
        <v>1250</v>
      </c>
      <c r="R36" s="19" t="s">
        <v>378</v>
      </c>
      <c r="S36" s="19" t="s">
        <v>379</v>
      </c>
      <c r="T36" s="18" t="s">
        <v>123</v>
      </c>
      <c r="U36" s="18" t="s">
        <v>93</v>
      </c>
      <c r="V36" s="18" t="s">
        <v>211</v>
      </c>
      <c r="W36" s="19" t="s">
        <v>380</v>
      </c>
      <c r="X36" s="23" t="s">
        <v>96</v>
      </c>
      <c r="Y36" s="24"/>
    </row>
    <row r="37" customFormat="false" ht="75" hidden="false" customHeight="true" outlineLevel="0" collapsed="false">
      <c r="A37" s="18" t="n">
        <v>33</v>
      </c>
      <c r="B37" s="18" t="s">
        <v>354</v>
      </c>
      <c r="C37" s="18" t="s">
        <v>381</v>
      </c>
      <c r="D37" s="19" t="s">
        <v>382</v>
      </c>
      <c r="E37" s="19" t="s">
        <v>383</v>
      </c>
      <c r="F37" s="18" t="s">
        <v>30</v>
      </c>
      <c r="G37" s="25" t="s">
        <v>21</v>
      </c>
      <c r="H37" s="19" t="s">
        <v>384</v>
      </c>
      <c r="I37" s="19" t="s">
        <v>385</v>
      </c>
      <c r="J37" s="26" t="n">
        <v>4</v>
      </c>
      <c r="K37" s="18" t="s">
        <v>165</v>
      </c>
      <c r="L37" s="21" t="n">
        <v>570.65</v>
      </c>
      <c r="M37" s="21" t="n">
        <v>2282.6</v>
      </c>
      <c r="N37" s="19" t="s">
        <v>386</v>
      </c>
      <c r="O37" s="21" t="n">
        <v>3717.4</v>
      </c>
      <c r="P37" s="21" t="n">
        <v>7717.4</v>
      </c>
      <c r="Q37" s="22" t="n">
        <f aca="false">AVERAGE(O37:P37)</f>
        <v>5717.4</v>
      </c>
      <c r="R37" s="19" t="s">
        <v>387</v>
      </c>
      <c r="S37" s="19" t="s">
        <v>388</v>
      </c>
      <c r="T37" s="18" t="s">
        <v>92</v>
      </c>
      <c r="U37" s="18" t="s">
        <v>93</v>
      </c>
      <c r="V37" s="18" t="s">
        <v>94</v>
      </c>
      <c r="W37" s="19" t="s">
        <v>389</v>
      </c>
      <c r="X37" s="23" t="s">
        <v>96</v>
      </c>
      <c r="Y37" s="24"/>
    </row>
    <row r="38" customFormat="false" ht="75" hidden="false" customHeight="true" outlineLevel="0" collapsed="false">
      <c r="A38" s="18" t="n">
        <v>34</v>
      </c>
      <c r="B38" s="18" t="s">
        <v>390</v>
      </c>
      <c r="C38" s="18" t="s">
        <v>391</v>
      </c>
      <c r="D38" s="19" t="s">
        <v>392</v>
      </c>
      <c r="E38" s="19" t="s">
        <v>393</v>
      </c>
      <c r="F38" s="18" t="s">
        <v>28</v>
      </c>
      <c r="G38" s="25" t="s">
        <v>21</v>
      </c>
      <c r="H38" s="19" t="s">
        <v>394</v>
      </c>
      <c r="I38" s="19" t="s">
        <v>395</v>
      </c>
      <c r="J38" s="19"/>
      <c r="K38" s="18"/>
      <c r="L38" s="19"/>
      <c r="M38" s="19"/>
      <c r="N38" s="19" t="s">
        <v>396</v>
      </c>
      <c r="O38" s="21" t="n">
        <v>8000</v>
      </c>
      <c r="P38" s="21" t="n">
        <v>32000</v>
      </c>
      <c r="Q38" s="22" t="n">
        <f aca="false">AVERAGE(O38:P38)</f>
        <v>20000</v>
      </c>
      <c r="R38" s="19" t="s">
        <v>397</v>
      </c>
      <c r="S38" s="19" t="s">
        <v>398</v>
      </c>
      <c r="T38" s="18" t="s">
        <v>123</v>
      </c>
      <c r="U38" s="18" t="s">
        <v>93</v>
      </c>
      <c r="V38" s="18" t="s">
        <v>94</v>
      </c>
      <c r="W38" s="19" t="s">
        <v>399</v>
      </c>
      <c r="X38" s="23" t="s">
        <v>96</v>
      </c>
      <c r="Y38" s="24"/>
    </row>
    <row r="39" customFormat="false" ht="75" hidden="false" customHeight="true" outlineLevel="0" collapsed="false">
      <c r="A39" s="18" t="n">
        <v>35</v>
      </c>
      <c r="B39" s="18" t="s">
        <v>400</v>
      </c>
      <c r="C39" s="18" t="s">
        <v>401</v>
      </c>
      <c r="D39" s="19" t="s">
        <v>402</v>
      </c>
      <c r="E39" s="19" t="s">
        <v>403</v>
      </c>
      <c r="F39" s="18" t="s">
        <v>27</v>
      </c>
      <c r="G39" s="25" t="s">
        <v>21</v>
      </c>
      <c r="H39" s="19" t="s">
        <v>404</v>
      </c>
      <c r="I39" s="19" t="s">
        <v>405</v>
      </c>
      <c r="J39" s="26" t="n">
        <v>110</v>
      </c>
      <c r="K39" s="18" t="s">
        <v>312</v>
      </c>
      <c r="L39" s="21" t="n">
        <v>120.76</v>
      </c>
      <c r="M39" s="21" t="n">
        <v>13283.6</v>
      </c>
      <c r="N39" s="19" t="s">
        <v>406</v>
      </c>
      <c r="O39" s="21" t="n">
        <v>-12898.6</v>
      </c>
      <c r="P39" s="21" t="n">
        <v>-13019.6</v>
      </c>
      <c r="Q39" s="22" t="n">
        <f aca="false">AVERAGE(O39:P39)</f>
        <v>-12959.1</v>
      </c>
      <c r="R39" s="19" t="s">
        <v>407</v>
      </c>
      <c r="S39" s="19" t="s">
        <v>408</v>
      </c>
      <c r="T39" s="18" t="s">
        <v>92</v>
      </c>
      <c r="U39" s="18" t="s">
        <v>93</v>
      </c>
      <c r="V39" s="18" t="s">
        <v>94</v>
      </c>
      <c r="W39" s="19" t="s">
        <v>409</v>
      </c>
      <c r="X39" s="23" t="s">
        <v>96</v>
      </c>
      <c r="Y39" s="24"/>
    </row>
    <row r="40" customFormat="false" ht="75" hidden="false" customHeight="true" outlineLevel="0" collapsed="false">
      <c r="A40" s="18" t="n">
        <v>36</v>
      </c>
      <c r="B40" s="18" t="s">
        <v>84</v>
      </c>
      <c r="C40" s="18" t="s">
        <v>84</v>
      </c>
      <c r="D40" s="19" t="s">
        <v>410</v>
      </c>
      <c r="E40" s="19" t="s">
        <v>411</v>
      </c>
      <c r="F40" s="18" t="s">
        <v>27</v>
      </c>
      <c r="G40" s="27" t="s">
        <v>22</v>
      </c>
      <c r="H40" s="19" t="s">
        <v>412</v>
      </c>
      <c r="I40" s="19" t="s">
        <v>413</v>
      </c>
      <c r="J40" s="19"/>
      <c r="K40" s="18"/>
      <c r="L40" s="19"/>
      <c r="M40" s="19"/>
      <c r="N40" s="19" t="s">
        <v>414</v>
      </c>
      <c r="O40" s="21" t="n">
        <v>-12.12</v>
      </c>
      <c r="P40" s="21" t="n">
        <v>-12.12</v>
      </c>
      <c r="Q40" s="22" t="n">
        <f aca="false">AVERAGE(O40:P40)</f>
        <v>-12.12</v>
      </c>
      <c r="R40" s="19" t="s">
        <v>415</v>
      </c>
      <c r="S40" s="19" t="s">
        <v>416</v>
      </c>
      <c r="T40" s="18" t="s">
        <v>92</v>
      </c>
      <c r="U40" s="18" t="s">
        <v>93</v>
      </c>
      <c r="V40" s="18" t="s">
        <v>94</v>
      </c>
      <c r="W40" s="19" t="s">
        <v>104</v>
      </c>
      <c r="X40" s="23" t="s">
        <v>96</v>
      </c>
      <c r="Y40" s="24"/>
    </row>
    <row r="41" customFormat="false" ht="75" hidden="false" customHeight="true" outlineLevel="0" collapsed="false">
      <c r="A41" s="18" t="n">
        <v>37</v>
      </c>
      <c r="B41" s="18" t="s">
        <v>84</v>
      </c>
      <c r="C41" s="18" t="s">
        <v>84</v>
      </c>
      <c r="D41" s="19" t="s">
        <v>417</v>
      </c>
      <c r="E41" s="19" t="s">
        <v>418</v>
      </c>
      <c r="F41" s="18" t="s">
        <v>37</v>
      </c>
      <c r="G41" s="27" t="s">
        <v>22</v>
      </c>
      <c r="H41" s="19" t="s">
        <v>419</v>
      </c>
      <c r="I41" s="19" t="s">
        <v>420</v>
      </c>
      <c r="J41" s="19"/>
      <c r="K41" s="18"/>
      <c r="L41" s="19"/>
      <c r="M41" s="19"/>
      <c r="N41" s="19" t="s">
        <v>421</v>
      </c>
      <c r="O41" s="21" t="n">
        <v>0</v>
      </c>
      <c r="P41" s="21" t="n">
        <v>0</v>
      </c>
      <c r="Q41" s="22" t="n">
        <f aca="false">AVERAGE(O41:P41)</f>
        <v>0</v>
      </c>
      <c r="R41" s="19" t="s">
        <v>422</v>
      </c>
      <c r="S41" s="19" t="s">
        <v>423</v>
      </c>
      <c r="T41" s="18" t="s">
        <v>123</v>
      </c>
      <c r="U41" s="18" t="s">
        <v>93</v>
      </c>
      <c r="V41" s="18" t="s">
        <v>94</v>
      </c>
      <c r="W41" s="19" t="s">
        <v>104</v>
      </c>
      <c r="X41" s="23" t="s">
        <v>96</v>
      </c>
      <c r="Y41" s="24"/>
    </row>
    <row r="42" customFormat="false" ht="75" hidden="false" customHeight="true" outlineLevel="0" collapsed="false">
      <c r="A42" s="18" t="n">
        <v>38</v>
      </c>
      <c r="B42" s="18" t="s">
        <v>424</v>
      </c>
      <c r="C42" s="18" t="s">
        <v>425</v>
      </c>
      <c r="D42" s="19" t="s">
        <v>426</v>
      </c>
      <c r="E42" s="19" t="s">
        <v>427</v>
      </c>
      <c r="F42" s="18" t="s">
        <v>30</v>
      </c>
      <c r="G42" s="27" t="s">
        <v>22</v>
      </c>
      <c r="H42" s="19" t="s">
        <v>428</v>
      </c>
      <c r="I42" s="19" t="s">
        <v>429</v>
      </c>
      <c r="J42" s="26" t="n">
        <v>1</v>
      </c>
      <c r="K42" s="18" t="s">
        <v>165</v>
      </c>
      <c r="L42" s="21" t="n">
        <v>2000</v>
      </c>
      <c r="M42" s="21" t="n">
        <v>2000</v>
      </c>
      <c r="N42" s="19" t="s">
        <v>430</v>
      </c>
      <c r="O42" s="21" t="n">
        <v>0</v>
      </c>
      <c r="P42" s="21" t="n">
        <v>15000</v>
      </c>
      <c r="Q42" s="22" t="n">
        <f aca="false">AVERAGE(O42:P42)</f>
        <v>7500</v>
      </c>
      <c r="R42" s="19" t="s">
        <v>431</v>
      </c>
      <c r="S42" s="19" t="s">
        <v>432</v>
      </c>
      <c r="T42" s="18" t="s">
        <v>92</v>
      </c>
      <c r="U42" s="18" t="s">
        <v>93</v>
      </c>
      <c r="V42" s="18" t="s">
        <v>211</v>
      </c>
      <c r="W42" s="19" t="s">
        <v>433</v>
      </c>
      <c r="X42" s="23" t="s">
        <v>96</v>
      </c>
      <c r="Y42" s="24"/>
    </row>
    <row r="43" customFormat="false" ht="75" hidden="false" customHeight="true" outlineLevel="0" collapsed="false">
      <c r="A43" s="18" t="n">
        <v>39</v>
      </c>
      <c r="B43" s="18" t="s">
        <v>424</v>
      </c>
      <c r="C43" s="18" t="s">
        <v>434</v>
      </c>
      <c r="D43" s="19" t="s">
        <v>435</v>
      </c>
      <c r="E43" s="19" t="s">
        <v>436</v>
      </c>
      <c r="F43" s="18" t="s">
        <v>30</v>
      </c>
      <c r="G43" s="27" t="s">
        <v>22</v>
      </c>
      <c r="H43" s="19" t="s">
        <v>437</v>
      </c>
      <c r="I43" s="19" t="s">
        <v>438</v>
      </c>
      <c r="J43" s="26" t="n">
        <v>1</v>
      </c>
      <c r="K43" s="18" t="s">
        <v>165</v>
      </c>
      <c r="L43" s="21" t="n">
        <v>3000</v>
      </c>
      <c r="M43" s="21" t="n">
        <v>3000</v>
      </c>
      <c r="N43" s="19" t="s">
        <v>439</v>
      </c>
      <c r="O43" s="21" t="n">
        <v>2000</v>
      </c>
      <c r="P43" s="21" t="n">
        <v>5000</v>
      </c>
      <c r="Q43" s="22" t="n">
        <f aca="false">AVERAGE(O43:P43)</f>
        <v>3500</v>
      </c>
      <c r="R43" s="19" t="s">
        <v>440</v>
      </c>
      <c r="S43" s="19" t="s">
        <v>441</v>
      </c>
      <c r="T43" s="18" t="s">
        <v>92</v>
      </c>
      <c r="U43" s="18" t="s">
        <v>93</v>
      </c>
      <c r="V43" s="18" t="s">
        <v>94</v>
      </c>
      <c r="W43" s="19" t="s">
        <v>442</v>
      </c>
      <c r="X43" s="23" t="s">
        <v>96</v>
      </c>
      <c r="Y43" s="24"/>
    </row>
    <row r="44" customFormat="false" ht="75" hidden="false" customHeight="true" outlineLevel="0" collapsed="false">
      <c r="A44" s="18" t="n">
        <v>40</v>
      </c>
      <c r="B44" s="18" t="s">
        <v>424</v>
      </c>
      <c r="C44" s="18" t="s">
        <v>443</v>
      </c>
      <c r="D44" s="19" t="s">
        <v>444</v>
      </c>
      <c r="E44" s="19" t="s">
        <v>445</v>
      </c>
      <c r="F44" s="18" t="s">
        <v>33</v>
      </c>
      <c r="G44" s="27" t="s">
        <v>22</v>
      </c>
      <c r="H44" s="19" t="s">
        <v>446</v>
      </c>
      <c r="I44" s="19" t="s">
        <v>447</v>
      </c>
      <c r="J44" s="26" t="n">
        <v>1</v>
      </c>
      <c r="K44" s="18" t="s">
        <v>165</v>
      </c>
      <c r="L44" s="21" t="n">
        <v>2000</v>
      </c>
      <c r="M44" s="21" t="n">
        <v>2000</v>
      </c>
      <c r="N44" s="19" t="s">
        <v>448</v>
      </c>
      <c r="O44" s="21" t="n">
        <v>0</v>
      </c>
      <c r="P44" s="21" t="n">
        <v>-2000</v>
      </c>
      <c r="Q44" s="22" t="n">
        <f aca="false">AVERAGE(O44:P44)</f>
        <v>-1000</v>
      </c>
      <c r="R44" s="19" t="s">
        <v>449</v>
      </c>
      <c r="S44" s="19" t="s">
        <v>450</v>
      </c>
      <c r="T44" s="18" t="s">
        <v>123</v>
      </c>
      <c r="U44" s="18" t="s">
        <v>93</v>
      </c>
      <c r="V44" s="18" t="s">
        <v>94</v>
      </c>
      <c r="W44" s="19" t="s">
        <v>451</v>
      </c>
      <c r="X44" s="23" t="s">
        <v>96</v>
      </c>
      <c r="Y44" s="24"/>
    </row>
    <row r="45" customFormat="false" ht="75" hidden="false" customHeight="true" outlineLevel="0" collapsed="false">
      <c r="A45" s="18" t="n">
        <v>41</v>
      </c>
      <c r="B45" s="18" t="s">
        <v>113</v>
      </c>
      <c r="C45" s="18" t="s">
        <v>452</v>
      </c>
      <c r="D45" s="19" t="s">
        <v>453</v>
      </c>
      <c r="E45" s="19" t="s">
        <v>454</v>
      </c>
      <c r="F45" s="18" t="s">
        <v>29</v>
      </c>
      <c r="G45" s="27" t="s">
        <v>22</v>
      </c>
      <c r="H45" s="19" t="s">
        <v>455</v>
      </c>
      <c r="I45" s="19" t="s">
        <v>456</v>
      </c>
      <c r="J45" s="26" t="n">
        <v>9861.9</v>
      </c>
      <c r="K45" s="18" t="s">
        <v>138</v>
      </c>
      <c r="L45" s="21" t="n">
        <v>5.5</v>
      </c>
      <c r="M45" s="21" t="n">
        <v>54240.45</v>
      </c>
      <c r="N45" s="19" t="s">
        <v>457</v>
      </c>
      <c r="O45" s="21" t="n">
        <v>0</v>
      </c>
      <c r="P45" s="21" t="n">
        <v>-8171.56</v>
      </c>
      <c r="Q45" s="22" t="n">
        <f aca="false">AVERAGE(O45:P45)</f>
        <v>-4085.78</v>
      </c>
      <c r="R45" s="19" t="s">
        <v>458</v>
      </c>
      <c r="S45" s="19" t="s">
        <v>459</v>
      </c>
      <c r="T45" s="18" t="s">
        <v>123</v>
      </c>
      <c r="U45" s="18" t="s">
        <v>93</v>
      </c>
      <c r="V45" s="18" t="s">
        <v>94</v>
      </c>
      <c r="W45" s="19" t="s">
        <v>460</v>
      </c>
      <c r="X45" s="23" t="s">
        <v>96</v>
      </c>
      <c r="Y45" s="24"/>
    </row>
    <row r="46" customFormat="false" ht="75" hidden="false" customHeight="true" outlineLevel="0" collapsed="false">
      <c r="A46" s="18" t="n">
        <v>42</v>
      </c>
      <c r="B46" s="18" t="s">
        <v>113</v>
      </c>
      <c r="C46" s="18" t="s">
        <v>453</v>
      </c>
      <c r="D46" s="19" t="s">
        <v>461</v>
      </c>
      <c r="E46" s="19" t="s">
        <v>462</v>
      </c>
      <c r="F46" s="18" t="s">
        <v>30</v>
      </c>
      <c r="G46" s="27" t="s">
        <v>22</v>
      </c>
      <c r="H46" s="19" t="s">
        <v>463</v>
      </c>
      <c r="I46" s="19" t="s">
        <v>464</v>
      </c>
      <c r="J46" s="26" t="n">
        <v>8171.56</v>
      </c>
      <c r="K46" s="18" t="s">
        <v>138</v>
      </c>
      <c r="L46" s="21" t="n">
        <v>5.5</v>
      </c>
      <c r="M46" s="21" t="n">
        <v>44943.58</v>
      </c>
      <c r="N46" s="19" t="s">
        <v>465</v>
      </c>
      <c r="O46" s="21" t="n">
        <v>12257.34</v>
      </c>
      <c r="P46" s="21" t="n">
        <v>28600.46</v>
      </c>
      <c r="Q46" s="22" t="n">
        <f aca="false">AVERAGE(O46:P46)</f>
        <v>20428.9</v>
      </c>
      <c r="R46" s="19" t="s">
        <v>466</v>
      </c>
      <c r="S46" s="19" t="s">
        <v>467</v>
      </c>
      <c r="T46" s="18" t="s">
        <v>92</v>
      </c>
      <c r="U46" s="18" t="s">
        <v>93</v>
      </c>
      <c r="V46" s="18" t="s">
        <v>94</v>
      </c>
      <c r="W46" s="19" t="s">
        <v>468</v>
      </c>
      <c r="X46" s="23" t="s">
        <v>96</v>
      </c>
      <c r="Y46" s="24"/>
    </row>
    <row r="47" customFormat="false" ht="75" hidden="false" customHeight="true" outlineLevel="0" collapsed="false">
      <c r="A47" s="18" t="n">
        <v>43</v>
      </c>
      <c r="B47" s="18" t="s">
        <v>113</v>
      </c>
      <c r="C47" s="18" t="s">
        <v>469</v>
      </c>
      <c r="D47" s="19" t="s">
        <v>470</v>
      </c>
      <c r="E47" s="19" t="s">
        <v>471</v>
      </c>
      <c r="F47" s="18" t="s">
        <v>33</v>
      </c>
      <c r="G47" s="27" t="s">
        <v>22</v>
      </c>
      <c r="H47" s="19" t="s">
        <v>472</v>
      </c>
      <c r="I47" s="19" t="s">
        <v>473</v>
      </c>
      <c r="J47" s="26" t="n">
        <v>291.5</v>
      </c>
      <c r="K47" s="18" t="s">
        <v>119</v>
      </c>
      <c r="L47" s="21" t="n">
        <v>88.89</v>
      </c>
      <c r="M47" s="21" t="n">
        <v>25912.71</v>
      </c>
      <c r="N47" s="19" t="s">
        <v>474</v>
      </c>
      <c r="O47" s="21" t="n">
        <v>0</v>
      </c>
      <c r="P47" s="21" t="n">
        <v>0</v>
      </c>
      <c r="Q47" s="22" t="n">
        <f aca="false">AVERAGE(O47:P47)</f>
        <v>0</v>
      </c>
      <c r="R47" s="19" t="s">
        <v>475</v>
      </c>
      <c r="S47" s="19" t="s">
        <v>476</v>
      </c>
      <c r="T47" s="18" t="s">
        <v>123</v>
      </c>
      <c r="U47" s="18" t="s">
        <v>93</v>
      </c>
      <c r="V47" s="18" t="s">
        <v>94</v>
      </c>
      <c r="W47" s="19" t="s">
        <v>477</v>
      </c>
      <c r="X47" s="23" t="s">
        <v>96</v>
      </c>
      <c r="Y47" s="24"/>
    </row>
    <row r="48" customFormat="false" ht="75" hidden="false" customHeight="true" outlineLevel="0" collapsed="false">
      <c r="A48" s="18" t="n">
        <v>44</v>
      </c>
      <c r="B48" s="18" t="s">
        <v>113</v>
      </c>
      <c r="C48" s="18" t="s">
        <v>478</v>
      </c>
      <c r="D48" s="19" t="s">
        <v>479</v>
      </c>
      <c r="E48" s="19" t="s">
        <v>480</v>
      </c>
      <c r="F48" s="18" t="s">
        <v>33</v>
      </c>
      <c r="G48" s="27" t="s">
        <v>22</v>
      </c>
      <c r="H48" s="19" t="s">
        <v>481</v>
      </c>
      <c r="I48" s="19" t="s">
        <v>482</v>
      </c>
      <c r="J48" s="26" t="n">
        <v>333.2</v>
      </c>
      <c r="K48" s="18" t="s">
        <v>119</v>
      </c>
      <c r="L48" s="21" t="n">
        <v>100.61</v>
      </c>
      <c r="M48" s="21" t="n">
        <v>33521.71</v>
      </c>
      <c r="N48" s="19" t="s">
        <v>483</v>
      </c>
      <c r="O48" s="21" t="n">
        <v>0</v>
      </c>
      <c r="P48" s="21" t="n">
        <v>0</v>
      </c>
      <c r="Q48" s="22" t="n">
        <f aca="false">AVERAGE(O48:P48)</f>
        <v>0</v>
      </c>
      <c r="R48" s="19" t="s">
        <v>484</v>
      </c>
      <c r="S48" s="19" t="s">
        <v>485</v>
      </c>
      <c r="T48" s="18" t="s">
        <v>123</v>
      </c>
      <c r="U48" s="18" t="s">
        <v>93</v>
      </c>
      <c r="V48" s="18" t="s">
        <v>94</v>
      </c>
      <c r="W48" s="19" t="s">
        <v>486</v>
      </c>
      <c r="X48" s="23" t="s">
        <v>96</v>
      </c>
      <c r="Y48" s="24"/>
    </row>
    <row r="49" customFormat="false" ht="75" hidden="false" customHeight="true" outlineLevel="0" collapsed="false">
      <c r="A49" s="18" t="n">
        <v>45</v>
      </c>
      <c r="B49" s="18" t="s">
        <v>113</v>
      </c>
      <c r="C49" s="18" t="s">
        <v>487</v>
      </c>
      <c r="D49" s="19" t="s">
        <v>488</v>
      </c>
      <c r="E49" s="19" t="s">
        <v>489</v>
      </c>
      <c r="F49" s="18" t="s">
        <v>28</v>
      </c>
      <c r="G49" s="27" t="s">
        <v>22</v>
      </c>
      <c r="H49" s="19" t="s">
        <v>490</v>
      </c>
      <c r="I49" s="19" t="s">
        <v>491</v>
      </c>
      <c r="J49" s="19"/>
      <c r="K49" s="18"/>
      <c r="L49" s="19"/>
      <c r="M49" s="19"/>
      <c r="N49" s="19" t="s">
        <v>492</v>
      </c>
      <c r="O49" s="21" t="n">
        <v>1538.64</v>
      </c>
      <c r="P49" s="21" t="n">
        <v>3846.6</v>
      </c>
      <c r="Q49" s="22" t="n">
        <f aca="false">AVERAGE(O49:P49)</f>
        <v>2692.62</v>
      </c>
      <c r="R49" s="19" t="s">
        <v>493</v>
      </c>
      <c r="S49" s="19" t="s">
        <v>494</v>
      </c>
      <c r="T49" s="18" t="s">
        <v>123</v>
      </c>
      <c r="U49" s="18" t="s">
        <v>93</v>
      </c>
      <c r="V49" s="18" t="s">
        <v>94</v>
      </c>
      <c r="W49" s="19" t="s">
        <v>495</v>
      </c>
      <c r="X49" s="23" t="s">
        <v>96</v>
      </c>
      <c r="Y49" s="24"/>
    </row>
    <row r="50" customFormat="false" ht="75" hidden="false" customHeight="true" outlineLevel="0" collapsed="false">
      <c r="A50" s="18" t="n">
        <v>46</v>
      </c>
      <c r="B50" s="18" t="s">
        <v>113</v>
      </c>
      <c r="C50" s="18" t="s">
        <v>488</v>
      </c>
      <c r="D50" s="19" t="s">
        <v>487</v>
      </c>
      <c r="E50" s="19" t="s">
        <v>496</v>
      </c>
      <c r="F50" s="18" t="s">
        <v>37</v>
      </c>
      <c r="G50" s="27" t="s">
        <v>22</v>
      </c>
      <c r="H50" s="19" t="s">
        <v>497</v>
      </c>
      <c r="I50" s="19" t="s">
        <v>498</v>
      </c>
      <c r="J50" s="19"/>
      <c r="K50" s="18"/>
      <c r="L50" s="19"/>
      <c r="M50" s="19"/>
      <c r="N50" s="19" t="s">
        <v>499</v>
      </c>
      <c r="O50" s="21" t="n">
        <v>0</v>
      </c>
      <c r="P50" s="21" t="n">
        <v>0</v>
      </c>
      <c r="Q50" s="22" t="n">
        <f aca="false">AVERAGE(O50:P50)</f>
        <v>0</v>
      </c>
      <c r="R50" s="19" t="s">
        <v>500</v>
      </c>
      <c r="S50" s="19" t="s">
        <v>501</v>
      </c>
      <c r="T50" s="18" t="s">
        <v>123</v>
      </c>
      <c r="U50" s="18" t="s">
        <v>93</v>
      </c>
      <c r="V50" s="18" t="s">
        <v>94</v>
      </c>
      <c r="W50" s="19" t="s">
        <v>502</v>
      </c>
      <c r="X50" s="23" t="s">
        <v>96</v>
      </c>
      <c r="Y50" s="24"/>
    </row>
    <row r="51" customFormat="false" ht="75" hidden="false" customHeight="true" outlineLevel="0" collapsed="false">
      <c r="A51" s="18" t="n">
        <v>47</v>
      </c>
      <c r="B51" s="18" t="s">
        <v>113</v>
      </c>
      <c r="C51" s="18" t="s">
        <v>503</v>
      </c>
      <c r="D51" s="19" t="s">
        <v>504</v>
      </c>
      <c r="E51" s="19" t="s">
        <v>505</v>
      </c>
      <c r="F51" s="18" t="s">
        <v>34</v>
      </c>
      <c r="G51" s="27" t="s">
        <v>22</v>
      </c>
      <c r="H51" s="19" t="s">
        <v>506</v>
      </c>
      <c r="I51" s="19" t="s">
        <v>507</v>
      </c>
      <c r="J51" s="26" t="n">
        <v>262.53</v>
      </c>
      <c r="K51" s="18" t="s">
        <v>138</v>
      </c>
      <c r="L51" s="21" t="n">
        <v>657.49</v>
      </c>
      <c r="M51" s="21" t="n">
        <v>172610.32</v>
      </c>
      <c r="N51" s="19" t="s">
        <v>508</v>
      </c>
      <c r="O51" s="21" t="n">
        <v>0</v>
      </c>
      <c r="P51" s="21" t="n">
        <v>0</v>
      </c>
      <c r="Q51" s="22" t="n">
        <f aca="false">AVERAGE(O51:P51)</f>
        <v>0</v>
      </c>
      <c r="R51" s="19" t="s">
        <v>509</v>
      </c>
      <c r="S51" s="19" t="s">
        <v>510</v>
      </c>
      <c r="T51" s="18" t="s">
        <v>123</v>
      </c>
      <c r="U51" s="18" t="s">
        <v>93</v>
      </c>
      <c r="V51" s="18" t="s">
        <v>94</v>
      </c>
      <c r="W51" s="19" t="s">
        <v>511</v>
      </c>
      <c r="X51" s="23" t="s">
        <v>96</v>
      </c>
      <c r="Y51" s="24"/>
    </row>
    <row r="52" customFormat="false" ht="75" hidden="false" customHeight="true" outlineLevel="0" collapsed="false">
      <c r="A52" s="18" t="n">
        <v>48</v>
      </c>
      <c r="B52" s="18" t="s">
        <v>113</v>
      </c>
      <c r="C52" s="18" t="s">
        <v>512</v>
      </c>
      <c r="D52" s="19" t="s">
        <v>513</v>
      </c>
      <c r="E52" s="19" t="s">
        <v>514</v>
      </c>
      <c r="F52" s="18" t="s">
        <v>37</v>
      </c>
      <c r="G52" s="27" t="s">
        <v>22</v>
      </c>
      <c r="H52" s="19" t="s">
        <v>515</v>
      </c>
      <c r="I52" s="19" t="s">
        <v>516</v>
      </c>
      <c r="J52" s="26" t="n">
        <v>243.09</v>
      </c>
      <c r="K52" s="18" t="s">
        <v>138</v>
      </c>
      <c r="L52" s="21" t="n">
        <v>435.21</v>
      </c>
      <c r="M52" s="21" t="n">
        <v>105794.23</v>
      </c>
      <c r="N52" s="19" t="s">
        <v>517</v>
      </c>
      <c r="O52" s="21" t="n">
        <v>0</v>
      </c>
      <c r="P52" s="21" t="n">
        <v>0</v>
      </c>
      <c r="Q52" s="22" t="n">
        <f aca="false">AVERAGE(O52:P52)</f>
        <v>0</v>
      </c>
      <c r="R52" s="19" t="s">
        <v>518</v>
      </c>
      <c r="S52" s="19" t="s">
        <v>519</v>
      </c>
      <c r="T52" s="18" t="s">
        <v>123</v>
      </c>
      <c r="U52" s="18" t="s">
        <v>93</v>
      </c>
      <c r="V52" s="18" t="s">
        <v>94</v>
      </c>
      <c r="W52" s="19" t="s">
        <v>520</v>
      </c>
      <c r="X52" s="23" t="s">
        <v>96</v>
      </c>
      <c r="Y52" s="24"/>
    </row>
    <row r="53" customFormat="false" ht="75" hidden="false" customHeight="true" outlineLevel="0" collapsed="false">
      <c r="A53" s="18" t="n">
        <v>49</v>
      </c>
      <c r="B53" s="18" t="s">
        <v>113</v>
      </c>
      <c r="C53" s="18" t="s">
        <v>521</v>
      </c>
      <c r="D53" s="19" t="s">
        <v>522</v>
      </c>
      <c r="E53" s="19" t="s">
        <v>523</v>
      </c>
      <c r="F53" s="18" t="s">
        <v>33</v>
      </c>
      <c r="G53" s="27" t="s">
        <v>22</v>
      </c>
      <c r="H53" s="19" t="s">
        <v>524</v>
      </c>
      <c r="I53" s="19" t="s">
        <v>525</v>
      </c>
      <c r="J53" s="19"/>
      <c r="K53" s="18"/>
      <c r="L53" s="19"/>
      <c r="M53" s="19"/>
      <c r="N53" s="19" t="s">
        <v>526</v>
      </c>
      <c r="O53" s="21" t="n">
        <v>0</v>
      </c>
      <c r="P53" s="21" t="n">
        <v>0</v>
      </c>
      <c r="Q53" s="22" t="n">
        <f aca="false">AVERAGE(O53:P53)</f>
        <v>0</v>
      </c>
      <c r="R53" s="19" t="s">
        <v>527</v>
      </c>
      <c r="S53" s="19" t="s">
        <v>528</v>
      </c>
      <c r="T53" s="18" t="s">
        <v>123</v>
      </c>
      <c r="U53" s="18" t="s">
        <v>93</v>
      </c>
      <c r="V53" s="18" t="s">
        <v>94</v>
      </c>
      <c r="W53" s="19" t="s">
        <v>529</v>
      </c>
      <c r="X53" s="23" t="s">
        <v>96</v>
      </c>
      <c r="Y53" s="24"/>
    </row>
    <row r="54" customFormat="false" ht="75" hidden="false" customHeight="true" outlineLevel="0" collapsed="false">
      <c r="A54" s="18" t="n">
        <v>50</v>
      </c>
      <c r="B54" s="18" t="s">
        <v>113</v>
      </c>
      <c r="C54" s="18" t="s">
        <v>530</v>
      </c>
      <c r="D54" s="19" t="s">
        <v>531</v>
      </c>
      <c r="E54" s="19" t="s">
        <v>532</v>
      </c>
      <c r="F54" s="18" t="s">
        <v>30</v>
      </c>
      <c r="G54" s="27" t="s">
        <v>22</v>
      </c>
      <c r="H54" s="19" t="s">
        <v>533</v>
      </c>
      <c r="I54" s="19" t="s">
        <v>534</v>
      </c>
      <c r="J54" s="19"/>
      <c r="K54" s="18"/>
      <c r="L54" s="19"/>
      <c r="M54" s="19"/>
      <c r="N54" s="19" t="s">
        <v>535</v>
      </c>
      <c r="O54" s="21" t="n">
        <v>1280.31</v>
      </c>
      <c r="P54" s="21" t="n">
        <v>2203.51</v>
      </c>
      <c r="Q54" s="22" t="n">
        <f aca="false">AVERAGE(O54:P54)</f>
        <v>1741.91</v>
      </c>
      <c r="R54" s="19" t="s">
        <v>536</v>
      </c>
      <c r="S54" s="19" t="s">
        <v>537</v>
      </c>
      <c r="T54" s="18" t="s">
        <v>92</v>
      </c>
      <c r="U54" s="18" t="s">
        <v>93</v>
      </c>
      <c r="V54" s="18" t="s">
        <v>94</v>
      </c>
      <c r="W54" s="19" t="s">
        <v>538</v>
      </c>
      <c r="X54" s="23" t="s">
        <v>96</v>
      </c>
      <c r="Y54" s="24"/>
    </row>
    <row r="55" customFormat="false" ht="75" hidden="false" customHeight="true" outlineLevel="0" collapsed="false">
      <c r="A55" s="18" t="n">
        <v>51</v>
      </c>
      <c r="B55" s="18" t="s">
        <v>113</v>
      </c>
      <c r="C55" s="18" t="s">
        <v>539</v>
      </c>
      <c r="D55" s="19"/>
      <c r="E55" s="19" t="s">
        <v>540</v>
      </c>
      <c r="F55" s="18" t="s">
        <v>27</v>
      </c>
      <c r="G55" s="27" t="s">
        <v>22</v>
      </c>
      <c r="H55" s="19" t="s">
        <v>541</v>
      </c>
      <c r="I55" s="19" t="s">
        <v>542</v>
      </c>
      <c r="J55" s="26" t="n">
        <v>17.18</v>
      </c>
      <c r="K55" s="18" t="s">
        <v>228</v>
      </c>
      <c r="L55" s="21" t="n">
        <v>156.22</v>
      </c>
      <c r="M55" s="21" t="n">
        <v>2683.86</v>
      </c>
      <c r="N55" s="19" t="s">
        <v>543</v>
      </c>
      <c r="O55" s="21" t="n">
        <v>0</v>
      </c>
      <c r="P55" s="21" t="n">
        <v>0</v>
      </c>
      <c r="Q55" s="22" t="n">
        <f aca="false">AVERAGE(O55:P55)</f>
        <v>0</v>
      </c>
      <c r="R55" s="19" t="s">
        <v>544</v>
      </c>
      <c r="S55" s="19" t="s">
        <v>545</v>
      </c>
      <c r="T55" s="18" t="s">
        <v>123</v>
      </c>
      <c r="U55" s="18" t="s">
        <v>93</v>
      </c>
      <c r="V55" s="18" t="s">
        <v>94</v>
      </c>
      <c r="W55" s="19" t="s">
        <v>546</v>
      </c>
      <c r="X55" s="23" t="s">
        <v>96</v>
      </c>
      <c r="Y55" s="24"/>
    </row>
    <row r="56" customFormat="false" ht="75" hidden="false" customHeight="true" outlineLevel="0" collapsed="false">
      <c r="A56" s="18" t="n">
        <v>52</v>
      </c>
      <c r="B56" s="18" t="s">
        <v>113</v>
      </c>
      <c r="C56" s="18" t="s">
        <v>547</v>
      </c>
      <c r="D56" s="19" t="s">
        <v>548</v>
      </c>
      <c r="E56" s="19" t="s">
        <v>549</v>
      </c>
      <c r="F56" s="18" t="s">
        <v>27</v>
      </c>
      <c r="G56" s="27" t="s">
        <v>22</v>
      </c>
      <c r="H56" s="19" t="s">
        <v>550</v>
      </c>
      <c r="I56" s="19" t="s">
        <v>551</v>
      </c>
      <c r="J56" s="26" t="n">
        <v>98.64</v>
      </c>
      <c r="K56" s="18" t="s">
        <v>119</v>
      </c>
      <c r="L56" s="21" t="n">
        <v>69.73</v>
      </c>
      <c r="M56" s="21" t="n">
        <v>6878.45</v>
      </c>
      <c r="N56" s="19" t="s">
        <v>552</v>
      </c>
      <c r="O56" s="21" t="n">
        <v>2364.4</v>
      </c>
      <c r="P56" s="21" t="n">
        <v>2364.4</v>
      </c>
      <c r="Q56" s="22" t="n">
        <f aca="false">AVERAGE(O56:P56)</f>
        <v>2364.4</v>
      </c>
      <c r="R56" s="19" t="s">
        <v>553</v>
      </c>
      <c r="S56" s="19" t="s">
        <v>554</v>
      </c>
      <c r="T56" s="18" t="s">
        <v>92</v>
      </c>
      <c r="U56" s="18" t="s">
        <v>93</v>
      </c>
      <c r="V56" s="18" t="s">
        <v>94</v>
      </c>
      <c r="W56" s="19" t="s">
        <v>555</v>
      </c>
      <c r="X56" s="23" t="s">
        <v>96</v>
      </c>
      <c r="Y56" s="24"/>
    </row>
    <row r="57" customFormat="false" ht="75" hidden="false" customHeight="true" outlineLevel="0" collapsed="false">
      <c r="A57" s="18" t="n">
        <v>53</v>
      </c>
      <c r="B57" s="18" t="s">
        <v>113</v>
      </c>
      <c r="C57" s="18" t="s">
        <v>556</v>
      </c>
      <c r="D57" s="19" t="s">
        <v>557</v>
      </c>
      <c r="E57" s="19" t="s">
        <v>558</v>
      </c>
      <c r="F57" s="18" t="s">
        <v>37</v>
      </c>
      <c r="G57" s="27" t="s">
        <v>22</v>
      </c>
      <c r="H57" s="19" t="s">
        <v>559</v>
      </c>
      <c r="I57" s="19" t="s">
        <v>560</v>
      </c>
      <c r="J57" s="26" t="n">
        <v>2017.13</v>
      </c>
      <c r="K57" s="18" t="s">
        <v>228</v>
      </c>
      <c r="L57" s="21" t="n">
        <v>2.64</v>
      </c>
      <c r="M57" s="21" t="n">
        <v>5329.66</v>
      </c>
      <c r="N57" s="19" t="s">
        <v>561</v>
      </c>
      <c r="O57" s="21" t="n">
        <v>0</v>
      </c>
      <c r="P57" s="21" t="n">
        <v>-2866.51</v>
      </c>
      <c r="Q57" s="22" t="n">
        <f aca="false">AVERAGE(O57:P57)</f>
        <v>-1433.255</v>
      </c>
      <c r="R57" s="19" t="s">
        <v>562</v>
      </c>
      <c r="S57" s="19" t="s">
        <v>563</v>
      </c>
      <c r="T57" s="18" t="s">
        <v>123</v>
      </c>
      <c r="U57" s="18" t="s">
        <v>93</v>
      </c>
      <c r="V57" s="18" t="s">
        <v>211</v>
      </c>
      <c r="W57" s="19" t="s">
        <v>564</v>
      </c>
      <c r="X57" s="23" t="s">
        <v>96</v>
      </c>
      <c r="Y57" s="24"/>
    </row>
    <row r="58" customFormat="false" ht="75" hidden="false" customHeight="true" outlineLevel="0" collapsed="false">
      <c r="A58" s="18" t="n">
        <v>54</v>
      </c>
      <c r="B58" s="18" t="s">
        <v>113</v>
      </c>
      <c r="C58" s="18" t="s">
        <v>565</v>
      </c>
      <c r="D58" s="19" t="s">
        <v>566</v>
      </c>
      <c r="E58" s="19" t="s">
        <v>567</v>
      </c>
      <c r="F58" s="18" t="s">
        <v>37</v>
      </c>
      <c r="G58" s="27" t="s">
        <v>22</v>
      </c>
      <c r="H58" s="19" t="s">
        <v>568</v>
      </c>
      <c r="I58" s="19" t="s">
        <v>569</v>
      </c>
      <c r="J58" s="26" t="n">
        <v>419.56</v>
      </c>
      <c r="K58" s="18" t="s">
        <v>228</v>
      </c>
      <c r="L58" s="21" t="n">
        <v>4.31</v>
      </c>
      <c r="M58" s="21" t="n">
        <v>1806.63</v>
      </c>
      <c r="N58" s="19" t="s">
        <v>570</v>
      </c>
      <c r="O58" s="21" t="n">
        <v>0</v>
      </c>
      <c r="P58" s="21" t="n">
        <v>-1206.8</v>
      </c>
      <c r="Q58" s="22" t="n">
        <f aca="false">AVERAGE(O58:P58)</f>
        <v>-603.4</v>
      </c>
      <c r="R58" s="19" t="s">
        <v>571</v>
      </c>
      <c r="S58" s="19" t="s">
        <v>572</v>
      </c>
      <c r="T58" s="18" t="s">
        <v>123</v>
      </c>
      <c r="U58" s="18" t="s">
        <v>93</v>
      </c>
      <c r="V58" s="18" t="s">
        <v>94</v>
      </c>
      <c r="W58" s="19" t="s">
        <v>573</v>
      </c>
      <c r="X58" s="23" t="s">
        <v>96</v>
      </c>
      <c r="Y58" s="24"/>
    </row>
    <row r="59" customFormat="false" ht="75" hidden="false" customHeight="true" outlineLevel="0" collapsed="false">
      <c r="A59" s="18" t="n">
        <v>55</v>
      </c>
      <c r="B59" s="18" t="s">
        <v>113</v>
      </c>
      <c r="C59" s="18" t="s">
        <v>574</v>
      </c>
      <c r="D59" s="19" t="s">
        <v>575</v>
      </c>
      <c r="E59" s="19" t="s">
        <v>576</v>
      </c>
      <c r="F59" s="18" t="s">
        <v>37</v>
      </c>
      <c r="G59" s="27" t="s">
        <v>22</v>
      </c>
      <c r="H59" s="19" t="s">
        <v>577</v>
      </c>
      <c r="I59" s="19" t="s">
        <v>578</v>
      </c>
      <c r="J59" s="26" t="n">
        <v>92</v>
      </c>
      <c r="K59" s="18" t="s">
        <v>165</v>
      </c>
      <c r="L59" s="21" t="n">
        <v>106</v>
      </c>
      <c r="M59" s="21" t="n">
        <v>9752</v>
      </c>
      <c r="N59" s="19" t="s">
        <v>579</v>
      </c>
      <c r="O59" s="21" t="n">
        <v>0</v>
      </c>
      <c r="P59" s="21" t="n">
        <v>-2000</v>
      </c>
      <c r="Q59" s="22" t="n">
        <f aca="false">AVERAGE(O59:P59)</f>
        <v>-1000</v>
      </c>
      <c r="R59" s="19" t="s">
        <v>580</v>
      </c>
      <c r="S59" s="19" t="s">
        <v>581</v>
      </c>
      <c r="T59" s="18" t="s">
        <v>123</v>
      </c>
      <c r="U59" s="18" t="s">
        <v>93</v>
      </c>
      <c r="V59" s="18" t="s">
        <v>211</v>
      </c>
      <c r="W59" s="19" t="s">
        <v>582</v>
      </c>
      <c r="X59" s="23" t="s">
        <v>96</v>
      </c>
      <c r="Y59" s="24"/>
    </row>
    <row r="60" customFormat="false" ht="75" hidden="false" customHeight="true" outlineLevel="0" collapsed="false">
      <c r="A60" s="18" t="n">
        <v>56</v>
      </c>
      <c r="B60" s="18" t="s">
        <v>113</v>
      </c>
      <c r="C60" s="18" t="s">
        <v>583</v>
      </c>
      <c r="D60" s="19" t="s">
        <v>584</v>
      </c>
      <c r="E60" s="19" t="s">
        <v>585</v>
      </c>
      <c r="F60" s="18" t="s">
        <v>32</v>
      </c>
      <c r="G60" s="27" t="s">
        <v>22</v>
      </c>
      <c r="H60" s="19" t="s">
        <v>586</v>
      </c>
      <c r="I60" s="19" t="s">
        <v>587</v>
      </c>
      <c r="J60" s="26" t="n">
        <v>244.57</v>
      </c>
      <c r="K60" s="18" t="s">
        <v>119</v>
      </c>
      <c r="L60" s="21" t="n">
        <v>20.32</v>
      </c>
      <c r="M60" s="21" t="n">
        <v>4969.17</v>
      </c>
      <c r="N60" s="19" t="s">
        <v>588</v>
      </c>
      <c r="O60" s="21" t="n">
        <v>0</v>
      </c>
      <c r="P60" s="21" t="n">
        <v>-4969.17</v>
      </c>
      <c r="Q60" s="22" t="n">
        <f aca="false">AVERAGE(O60:P60)</f>
        <v>-2484.585</v>
      </c>
      <c r="R60" s="19" t="s">
        <v>589</v>
      </c>
      <c r="S60" s="19" t="s">
        <v>590</v>
      </c>
      <c r="T60" s="18" t="s">
        <v>92</v>
      </c>
      <c r="U60" s="18" t="s">
        <v>124</v>
      </c>
      <c r="V60" s="18" t="s">
        <v>94</v>
      </c>
      <c r="W60" s="19" t="s">
        <v>591</v>
      </c>
      <c r="X60" s="23" t="s">
        <v>96</v>
      </c>
      <c r="Y60" s="24"/>
    </row>
    <row r="61" customFormat="false" ht="75" hidden="false" customHeight="true" outlineLevel="0" collapsed="false">
      <c r="A61" s="18" t="n">
        <v>57</v>
      </c>
      <c r="B61" s="18" t="s">
        <v>213</v>
      </c>
      <c r="C61" s="18" t="s">
        <v>592</v>
      </c>
      <c r="D61" s="19" t="s">
        <v>593</v>
      </c>
      <c r="E61" s="19" t="s">
        <v>594</v>
      </c>
      <c r="F61" s="18" t="s">
        <v>28</v>
      </c>
      <c r="G61" s="27" t="s">
        <v>22</v>
      </c>
      <c r="H61" s="19" t="s">
        <v>595</v>
      </c>
      <c r="I61" s="19" t="s">
        <v>596</v>
      </c>
      <c r="J61" s="19"/>
      <c r="K61" s="18"/>
      <c r="L61" s="19"/>
      <c r="M61" s="19"/>
      <c r="N61" s="19" t="s">
        <v>597</v>
      </c>
      <c r="O61" s="21" t="n">
        <v>0</v>
      </c>
      <c r="P61" s="21" t="n">
        <v>10000</v>
      </c>
      <c r="Q61" s="22" t="n">
        <f aca="false">AVERAGE(O61:P61)</f>
        <v>5000</v>
      </c>
      <c r="R61" s="19" t="s">
        <v>598</v>
      </c>
      <c r="S61" s="19" t="s">
        <v>599</v>
      </c>
      <c r="T61" s="18" t="s">
        <v>123</v>
      </c>
      <c r="U61" s="18" t="s">
        <v>93</v>
      </c>
      <c r="V61" s="18" t="s">
        <v>211</v>
      </c>
      <c r="W61" s="19" t="s">
        <v>600</v>
      </c>
      <c r="X61" s="23" t="s">
        <v>96</v>
      </c>
      <c r="Y61" s="24"/>
    </row>
    <row r="62" customFormat="false" ht="75" hidden="false" customHeight="true" outlineLevel="0" collapsed="false">
      <c r="A62" s="18" t="n">
        <v>58</v>
      </c>
      <c r="B62" s="18" t="s">
        <v>213</v>
      </c>
      <c r="C62" s="18" t="s">
        <v>601</v>
      </c>
      <c r="D62" s="19" t="s">
        <v>602</v>
      </c>
      <c r="E62" s="19" t="s">
        <v>603</v>
      </c>
      <c r="F62" s="18" t="s">
        <v>28</v>
      </c>
      <c r="G62" s="27" t="s">
        <v>22</v>
      </c>
      <c r="H62" s="19" t="s">
        <v>604</v>
      </c>
      <c r="I62" s="19" t="s">
        <v>605</v>
      </c>
      <c r="J62" s="26" t="n">
        <v>2500</v>
      </c>
      <c r="K62" s="18" t="s">
        <v>138</v>
      </c>
      <c r="L62" s="21" t="n">
        <v>5.5</v>
      </c>
      <c r="M62" s="21" t="n">
        <v>13750</v>
      </c>
      <c r="N62" s="19" t="s">
        <v>606</v>
      </c>
      <c r="O62" s="21" t="n">
        <v>0</v>
      </c>
      <c r="P62" s="21" t="n">
        <v>13750</v>
      </c>
      <c r="Q62" s="22" t="n">
        <f aca="false">AVERAGE(O62:P62)</f>
        <v>6875</v>
      </c>
      <c r="R62" s="19" t="s">
        <v>607</v>
      </c>
      <c r="S62" s="19" t="s">
        <v>608</v>
      </c>
      <c r="T62" s="18" t="s">
        <v>92</v>
      </c>
      <c r="U62" s="18" t="s">
        <v>93</v>
      </c>
      <c r="V62" s="18" t="s">
        <v>211</v>
      </c>
      <c r="W62" s="19" t="s">
        <v>609</v>
      </c>
      <c r="X62" s="23" t="s">
        <v>96</v>
      </c>
      <c r="Y62" s="24"/>
    </row>
    <row r="63" customFormat="false" ht="75" hidden="false" customHeight="true" outlineLevel="0" collapsed="false">
      <c r="A63" s="18" t="n">
        <v>59</v>
      </c>
      <c r="B63" s="18" t="s">
        <v>213</v>
      </c>
      <c r="C63" s="18" t="s">
        <v>610</v>
      </c>
      <c r="D63" s="19" t="s">
        <v>611</v>
      </c>
      <c r="E63" s="19" t="s">
        <v>612</v>
      </c>
      <c r="F63" s="18" t="s">
        <v>33</v>
      </c>
      <c r="G63" s="27" t="s">
        <v>22</v>
      </c>
      <c r="H63" s="19" t="s">
        <v>613</v>
      </c>
      <c r="I63" s="19" t="s">
        <v>614</v>
      </c>
      <c r="J63" s="19"/>
      <c r="K63" s="18"/>
      <c r="L63" s="19"/>
      <c r="M63" s="19"/>
      <c r="N63" s="19" t="s">
        <v>615</v>
      </c>
      <c r="O63" s="21" t="n">
        <v>0</v>
      </c>
      <c r="P63" s="21" t="n">
        <v>0</v>
      </c>
      <c r="Q63" s="22" t="n">
        <f aca="false">AVERAGE(O63:P63)</f>
        <v>0</v>
      </c>
      <c r="R63" s="19" t="s">
        <v>616</v>
      </c>
      <c r="S63" s="19" t="s">
        <v>617</v>
      </c>
      <c r="T63" s="18" t="s">
        <v>123</v>
      </c>
      <c r="U63" s="18" t="s">
        <v>93</v>
      </c>
      <c r="V63" s="18" t="s">
        <v>94</v>
      </c>
      <c r="W63" s="19" t="s">
        <v>618</v>
      </c>
      <c r="X63" s="23" t="s">
        <v>96</v>
      </c>
      <c r="Y63" s="24"/>
    </row>
    <row r="64" customFormat="false" ht="75" hidden="false" customHeight="true" outlineLevel="0" collapsed="false">
      <c r="A64" s="18" t="n">
        <v>60</v>
      </c>
      <c r="B64" s="18" t="s">
        <v>213</v>
      </c>
      <c r="C64" s="18" t="s">
        <v>619</v>
      </c>
      <c r="D64" s="19" t="s">
        <v>620</v>
      </c>
      <c r="E64" s="19" t="s">
        <v>621</v>
      </c>
      <c r="F64" s="18" t="s">
        <v>30</v>
      </c>
      <c r="G64" s="27" t="s">
        <v>22</v>
      </c>
      <c r="H64" s="19" t="s">
        <v>622</v>
      </c>
      <c r="I64" s="19" t="s">
        <v>623</v>
      </c>
      <c r="J64" s="26" t="n">
        <v>256</v>
      </c>
      <c r="K64" s="18" t="s">
        <v>228</v>
      </c>
      <c r="L64" s="21" t="n">
        <v>63.44</v>
      </c>
      <c r="M64" s="21" t="n">
        <v>16240.08</v>
      </c>
      <c r="N64" s="19" t="s">
        <v>624</v>
      </c>
      <c r="O64" s="21" t="n">
        <v>5519.36</v>
      </c>
      <c r="P64" s="21" t="n">
        <v>8079.36</v>
      </c>
      <c r="Q64" s="22" t="n">
        <f aca="false">AVERAGE(O64:P64)</f>
        <v>6799.36</v>
      </c>
      <c r="R64" s="19" t="s">
        <v>625</v>
      </c>
      <c r="S64" s="19" t="s">
        <v>626</v>
      </c>
      <c r="T64" s="18" t="s">
        <v>92</v>
      </c>
      <c r="U64" s="18" t="s">
        <v>124</v>
      </c>
      <c r="V64" s="18" t="s">
        <v>94</v>
      </c>
      <c r="W64" s="19" t="s">
        <v>627</v>
      </c>
      <c r="X64" s="23" t="s">
        <v>96</v>
      </c>
      <c r="Y64" s="24"/>
    </row>
    <row r="65" customFormat="false" ht="75" hidden="false" customHeight="true" outlineLevel="0" collapsed="false">
      <c r="A65" s="18" t="n">
        <v>61</v>
      </c>
      <c r="B65" s="18" t="s">
        <v>213</v>
      </c>
      <c r="C65" s="18" t="s">
        <v>628</v>
      </c>
      <c r="D65" s="19" t="s">
        <v>629</v>
      </c>
      <c r="E65" s="19" t="s">
        <v>630</v>
      </c>
      <c r="F65" s="18" t="s">
        <v>33</v>
      </c>
      <c r="G65" s="27" t="s">
        <v>22</v>
      </c>
      <c r="H65" s="19" t="s">
        <v>631</v>
      </c>
      <c r="I65" s="19" t="s">
        <v>632</v>
      </c>
      <c r="J65" s="26" t="n">
        <v>1550</v>
      </c>
      <c r="K65" s="18" t="s">
        <v>228</v>
      </c>
      <c r="L65" s="21" t="n">
        <v>25.44</v>
      </c>
      <c r="M65" s="21" t="n">
        <v>39432</v>
      </c>
      <c r="N65" s="19" t="s">
        <v>633</v>
      </c>
      <c r="O65" s="21" t="n">
        <v>0</v>
      </c>
      <c r="P65" s="21" t="n">
        <v>14818</v>
      </c>
      <c r="Q65" s="22" t="n">
        <f aca="false">AVERAGE(O65:P65)</f>
        <v>7409</v>
      </c>
      <c r="R65" s="19" t="s">
        <v>634</v>
      </c>
      <c r="S65" s="19" t="s">
        <v>635</v>
      </c>
      <c r="T65" s="18" t="s">
        <v>123</v>
      </c>
      <c r="U65" s="18" t="s">
        <v>93</v>
      </c>
      <c r="V65" s="18" t="s">
        <v>94</v>
      </c>
      <c r="W65" s="19" t="s">
        <v>636</v>
      </c>
      <c r="X65" s="23" t="s">
        <v>96</v>
      </c>
      <c r="Y65" s="24"/>
    </row>
    <row r="66" customFormat="false" ht="75" hidden="false" customHeight="true" outlineLevel="0" collapsed="false">
      <c r="A66" s="18" t="n">
        <v>62</v>
      </c>
      <c r="B66" s="18" t="s">
        <v>213</v>
      </c>
      <c r="C66" s="18" t="s">
        <v>637</v>
      </c>
      <c r="D66" s="19" t="s">
        <v>638</v>
      </c>
      <c r="E66" s="19" t="s">
        <v>639</v>
      </c>
      <c r="F66" s="18" t="s">
        <v>32</v>
      </c>
      <c r="G66" s="27" t="s">
        <v>22</v>
      </c>
      <c r="H66" s="19" t="s">
        <v>640</v>
      </c>
      <c r="I66" s="19" t="s">
        <v>641</v>
      </c>
      <c r="J66" s="26" t="n">
        <v>320</v>
      </c>
      <c r="K66" s="18" t="s">
        <v>228</v>
      </c>
      <c r="L66" s="21" t="n">
        <v>12.5</v>
      </c>
      <c r="M66" s="21" t="n">
        <v>4000</v>
      </c>
      <c r="N66" s="19" t="s">
        <v>642</v>
      </c>
      <c r="O66" s="21" t="n">
        <v>0</v>
      </c>
      <c r="P66" s="21" t="n">
        <v>15375</v>
      </c>
      <c r="Q66" s="22" t="n">
        <f aca="false">AVERAGE(O66:P66)</f>
        <v>7687.5</v>
      </c>
      <c r="R66" s="19" t="s">
        <v>643</v>
      </c>
      <c r="S66" s="19" t="s">
        <v>644</v>
      </c>
      <c r="T66" s="18" t="s">
        <v>123</v>
      </c>
      <c r="U66" s="18" t="s">
        <v>93</v>
      </c>
      <c r="V66" s="18" t="s">
        <v>211</v>
      </c>
      <c r="W66" s="19" t="s">
        <v>645</v>
      </c>
      <c r="X66" s="23" t="s">
        <v>96</v>
      </c>
      <c r="Y66" s="24"/>
    </row>
    <row r="67" customFormat="false" ht="75" hidden="false" customHeight="true" outlineLevel="0" collapsed="false">
      <c r="A67" s="18" t="n">
        <v>63</v>
      </c>
      <c r="B67" s="18" t="s">
        <v>213</v>
      </c>
      <c r="C67" s="18" t="s">
        <v>646</v>
      </c>
      <c r="D67" s="19" t="s">
        <v>647</v>
      </c>
      <c r="E67" s="19" t="s">
        <v>648</v>
      </c>
      <c r="F67" s="18" t="s">
        <v>31</v>
      </c>
      <c r="G67" s="27" t="s">
        <v>22</v>
      </c>
      <c r="H67" s="19" t="s">
        <v>649</v>
      </c>
      <c r="I67" s="19" t="s">
        <v>650</v>
      </c>
      <c r="J67" s="26" t="n">
        <v>76</v>
      </c>
      <c r="K67" s="18" t="s">
        <v>228</v>
      </c>
      <c r="L67" s="21" t="n">
        <v>54.05</v>
      </c>
      <c r="M67" s="21" t="n">
        <v>4107.8</v>
      </c>
      <c r="N67" s="19" t="s">
        <v>651</v>
      </c>
      <c r="O67" s="21" t="n">
        <v>-2837.9</v>
      </c>
      <c r="P67" s="21" t="n">
        <v>-4017.9</v>
      </c>
      <c r="Q67" s="22" t="n">
        <f aca="false">AVERAGE(O67:P67)</f>
        <v>-3427.9</v>
      </c>
      <c r="R67" s="19" t="s">
        <v>652</v>
      </c>
      <c r="S67" s="19" t="s">
        <v>653</v>
      </c>
      <c r="T67" s="18" t="s">
        <v>92</v>
      </c>
      <c r="U67" s="18" t="s">
        <v>124</v>
      </c>
      <c r="V67" s="18" t="s">
        <v>94</v>
      </c>
      <c r="W67" s="19" t="s">
        <v>654</v>
      </c>
      <c r="X67" s="23" t="s">
        <v>96</v>
      </c>
      <c r="Y67" s="24"/>
    </row>
    <row r="68" customFormat="false" ht="75" hidden="false" customHeight="true" outlineLevel="0" collapsed="false">
      <c r="A68" s="18" t="n">
        <v>64</v>
      </c>
      <c r="B68" s="18" t="s">
        <v>213</v>
      </c>
      <c r="C68" s="18" t="s">
        <v>655</v>
      </c>
      <c r="D68" s="19" t="s">
        <v>656</v>
      </c>
      <c r="E68" s="19" t="s">
        <v>657</v>
      </c>
      <c r="F68" s="18" t="s">
        <v>32</v>
      </c>
      <c r="G68" s="27" t="s">
        <v>22</v>
      </c>
      <c r="H68" s="19" t="s">
        <v>658</v>
      </c>
      <c r="I68" s="19" t="s">
        <v>659</v>
      </c>
      <c r="J68" s="19"/>
      <c r="K68" s="18"/>
      <c r="L68" s="19"/>
      <c r="M68" s="19"/>
      <c r="N68" s="19" t="s">
        <v>660</v>
      </c>
      <c r="O68" s="21" t="n">
        <v>0</v>
      </c>
      <c r="P68" s="21" t="n">
        <v>0</v>
      </c>
      <c r="Q68" s="22" t="n">
        <f aca="false">AVERAGE(O68:P68)</f>
        <v>0</v>
      </c>
      <c r="R68" s="19" t="s">
        <v>661</v>
      </c>
      <c r="S68" s="19" t="s">
        <v>662</v>
      </c>
      <c r="T68" s="18" t="s">
        <v>92</v>
      </c>
      <c r="U68" s="18" t="s">
        <v>93</v>
      </c>
      <c r="V68" s="18" t="s">
        <v>94</v>
      </c>
      <c r="W68" s="19" t="s">
        <v>663</v>
      </c>
      <c r="X68" s="23" t="s">
        <v>96</v>
      </c>
      <c r="Y68" s="24"/>
    </row>
    <row r="69" customFormat="false" ht="75" hidden="false" customHeight="true" outlineLevel="0" collapsed="false">
      <c r="A69" s="18" t="n">
        <v>65</v>
      </c>
      <c r="B69" s="18" t="s">
        <v>213</v>
      </c>
      <c r="C69" s="18" t="s">
        <v>664</v>
      </c>
      <c r="D69" s="19" t="s">
        <v>665</v>
      </c>
      <c r="E69" s="19" t="s">
        <v>666</v>
      </c>
      <c r="F69" s="18" t="s">
        <v>30</v>
      </c>
      <c r="G69" s="27" t="s">
        <v>22</v>
      </c>
      <c r="H69" s="19" t="s">
        <v>667</v>
      </c>
      <c r="I69" s="19" t="s">
        <v>668</v>
      </c>
      <c r="J69" s="26" t="n">
        <v>1086</v>
      </c>
      <c r="K69" s="18" t="s">
        <v>228</v>
      </c>
      <c r="L69" s="21" t="n">
        <v>34.13</v>
      </c>
      <c r="M69" s="21" t="n">
        <v>37070</v>
      </c>
      <c r="N69" s="19" t="s">
        <v>669</v>
      </c>
      <c r="O69" s="21" t="n">
        <v>5288.82</v>
      </c>
      <c r="P69" s="21" t="n">
        <v>12890.82</v>
      </c>
      <c r="Q69" s="22" t="n">
        <f aca="false">AVERAGE(O69:P69)</f>
        <v>9089.82</v>
      </c>
      <c r="R69" s="19" t="s">
        <v>670</v>
      </c>
      <c r="S69" s="19" t="s">
        <v>626</v>
      </c>
      <c r="T69" s="18" t="s">
        <v>92</v>
      </c>
      <c r="U69" s="18" t="s">
        <v>93</v>
      </c>
      <c r="V69" s="18" t="s">
        <v>211</v>
      </c>
      <c r="W69" s="19" t="s">
        <v>671</v>
      </c>
      <c r="X69" s="23" t="s">
        <v>96</v>
      </c>
      <c r="Y69" s="24"/>
    </row>
    <row r="70" customFormat="false" ht="75" hidden="false" customHeight="true" outlineLevel="0" collapsed="false">
      <c r="A70" s="18" t="n">
        <v>66</v>
      </c>
      <c r="B70" s="18" t="s">
        <v>213</v>
      </c>
      <c r="C70" s="18" t="s">
        <v>672</v>
      </c>
      <c r="D70" s="19" t="s">
        <v>673</v>
      </c>
      <c r="E70" s="19" t="s">
        <v>674</v>
      </c>
      <c r="F70" s="18" t="s">
        <v>30</v>
      </c>
      <c r="G70" s="27" t="s">
        <v>22</v>
      </c>
      <c r="H70" s="19" t="s">
        <v>675</v>
      </c>
      <c r="I70" s="19" t="s">
        <v>676</v>
      </c>
      <c r="J70" s="26" t="n">
        <v>210</v>
      </c>
      <c r="K70" s="18" t="s">
        <v>119</v>
      </c>
      <c r="L70" s="21" t="n">
        <v>46.44</v>
      </c>
      <c r="M70" s="21" t="n">
        <v>9752.4</v>
      </c>
      <c r="N70" s="19" t="s">
        <v>677</v>
      </c>
      <c r="O70" s="21" t="n">
        <v>3897.6</v>
      </c>
      <c r="P70" s="21" t="n">
        <v>7047.6</v>
      </c>
      <c r="Q70" s="22" t="n">
        <f aca="false">AVERAGE(O70:P70)</f>
        <v>5472.6</v>
      </c>
      <c r="R70" s="19" t="s">
        <v>678</v>
      </c>
      <c r="S70" s="19" t="s">
        <v>679</v>
      </c>
      <c r="T70" s="18" t="s">
        <v>92</v>
      </c>
      <c r="U70" s="18" t="s">
        <v>124</v>
      </c>
      <c r="V70" s="18" t="s">
        <v>94</v>
      </c>
      <c r="W70" s="19" t="s">
        <v>680</v>
      </c>
      <c r="X70" s="23" t="s">
        <v>96</v>
      </c>
      <c r="Y70" s="24"/>
    </row>
    <row r="71" customFormat="false" ht="75" hidden="false" customHeight="true" outlineLevel="0" collapsed="false">
      <c r="A71" s="18" t="n">
        <v>67</v>
      </c>
      <c r="B71" s="18" t="s">
        <v>213</v>
      </c>
      <c r="C71" s="18" t="s">
        <v>681</v>
      </c>
      <c r="D71" s="19" t="s">
        <v>682</v>
      </c>
      <c r="E71" s="19" t="s">
        <v>683</v>
      </c>
      <c r="F71" s="18" t="s">
        <v>28</v>
      </c>
      <c r="G71" s="27" t="s">
        <v>22</v>
      </c>
      <c r="H71" s="19" t="s">
        <v>684</v>
      </c>
      <c r="I71" s="19" t="s">
        <v>685</v>
      </c>
      <c r="J71" s="26" t="n">
        <v>2538</v>
      </c>
      <c r="K71" s="18" t="s">
        <v>228</v>
      </c>
      <c r="L71" s="21" t="n">
        <v>50.18</v>
      </c>
      <c r="M71" s="21" t="n">
        <v>127363.19</v>
      </c>
      <c r="N71" s="19" t="s">
        <v>686</v>
      </c>
      <c r="O71" s="21" t="n">
        <v>0</v>
      </c>
      <c r="P71" s="21" t="n">
        <v>0</v>
      </c>
      <c r="Q71" s="22" t="n">
        <f aca="false">AVERAGE(O71:P71)</f>
        <v>0</v>
      </c>
      <c r="R71" s="19" t="s">
        <v>687</v>
      </c>
      <c r="S71" s="19" t="s">
        <v>688</v>
      </c>
      <c r="T71" s="18" t="s">
        <v>123</v>
      </c>
      <c r="U71" s="18" t="s">
        <v>93</v>
      </c>
      <c r="V71" s="18" t="s">
        <v>94</v>
      </c>
      <c r="W71" s="19" t="s">
        <v>689</v>
      </c>
      <c r="X71" s="23" t="s">
        <v>96</v>
      </c>
      <c r="Y71" s="24"/>
    </row>
    <row r="72" customFormat="false" ht="75" hidden="false" customHeight="true" outlineLevel="0" collapsed="false">
      <c r="A72" s="18" t="n">
        <v>68</v>
      </c>
      <c r="B72" s="18" t="s">
        <v>213</v>
      </c>
      <c r="C72" s="18" t="s">
        <v>690</v>
      </c>
      <c r="D72" s="19" t="s">
        <v>691</v>
      </c>
      <c r="E72" s="19" t="s">
        <v>692</v>
      </c>
      <c r="F72" s="18" t="s">
        <v>30</v>
      </c>
      <c r="G72" s="27" t="s">
        <v>22</v>
      </c>
      <c r="H72" s="19" t="s">
        <v>693</v>
      </c>
      <c r="I72" s="19" t="s">
        <v>694</v>
      </c>
      <c r="J72" s="26" t="n">
        <v>210</v>
      </c>
      <c r="K72" s="18" t="s">
        <v>228</v>
      </c>
      <c r="L72" s="21" t="n">
        <v>35</v>
      </c>
      <c r="M72" s="21" t="n">
        <v>7350</v>
      </c>
      <c r="N72" s="19" t="s">
        <v>695</v>
      </c>
      <c r="O72" s="21" t="n">
        <v>5250</v>
      </c>
      <c r="P72" s="21" t="n">
        <v>11550</v>
      </c>
      <c r="Q72" s="22" t="n">
        <f aca="false">AVERAGE(O72:P72)</f>
        <v>8400</v>
      </c>
      <c r="R72" s="19" t="s">
        <v>696</v>
      </c>
      <c r="S72" s="19" t="s">
        <v>697</v>
      </c>
      <c r="T72" s="18" t="s">
        <v>92</v>
      </c>
      <c r="U72" s="18" t="s">
        <v>124</v>
      </c>
      <c r="V72" s="18" t="s">
        <v>94</v>
      </c>
      <c r="W72" s="19" t="s">
        <v>698</v>
      </c>
      <c r="X72" s="23" t="s">
        <v>96</v>
      </c>
      <c r="Y72" s="24"/>
    </row>
    <row r="73" customFormat="false" ht="75" hidden="false" customHeight="true" outlineLevel="0" collapsed="false">
      <c r="A73" s="18" t="n">
        <v>69</v>
      </c>
      <c r="B73" s="18" t="s">
        <v>213</v>
      </c>
      <c r="C73" s="18" t="s">
        <v>699</v>
      </c>
      <c r="D73" s="19" t="s">
        <v>700</v>
      </c>
      <c r="E73" s="19" t="s">
        <v>701</v>
      </c>
      <c r="F73" s="18" t="s">
        <v>33</v>
      </c>
      <c r="G73" s="27" t="s">
        <v>22</v>
      </c>
      <c r="H73" s="19" t="s">
        <v>702</v>
      </c>
      <c r="I73" s="19" t="s">
        <v>703</v>
      </c>
      <c r="J73" s="26" t="n">
        <v>105</v>
      </c>
      <c r="K73" s="18" t="s">
        <v>228</v>
      </c>
      <c r="L73" s="21" t="n">
        <v>93.32</v>
      </c>
      <c r="M73" s="21" t="n">
        <v>9798.54</v>
      </c>
      <c r="N73" s="19" t="s">
        <v>704</v>
      </c>
      <c r="O73" s="21" t="n">
        <v>0</v>
      </c>
      <c r="P73" s="21" t="n">
        <v>-9798.54</v>
      </c>
      <c r="Q73" s="22" t="n">
        <f aca="false">AVERAGE(O73:P73)</f>
        <v>-4899.27</v>
      </c>
      <c r="R73" s="19" t="s">
        <v>705</v>
      </c>
      <c r="S73" s="19" t="s">
        <v>706</v>
      </c>
      <c r="T73" s="18" t="s">
        <v>123</v>
      </c>
      <c r="U73" s="18" t="s">
        <v>93</v>
      </c>
      <c r="V73" s="18" t="s">
        <v>94</v>
      </c>
      <c r="W73" s="19" t="s">
        <v>707</v>
      </c>
      <c r="X73" s="23" t="s">
        <v>96</v>
      </c>
      <c r="Y73" s="24"/>
    </row>
    <row r="74" customFormat="false" ht="75" hidden="false" customHeight="true" outlineLevel="0" collapsed="false">
      <c r="A74" s="18" t="n">
        <v>70</v>
      </c>
      <c r="B74" s="18" t="s">
        <v>213</v>
      </c>
      <c r="C74" s="18" t="s">
        <v>708</v>
      </c>
      <c r="D74" s="19" t="s">
        <v>709</v>
      </c>
      <c r="E74" s="19" t="s">
        <v>710</v>
      </c>
      <c r="F74" s="18" t="s">
        <v>32</v>
      </c>
      <c r="G74" s="27" t="s">
        <v>22</v>
      </c>
      <c r="H74" s="19" t="s">
        <v>711</v>
      </c>
      <c r="I74" s="19" t="s">
        <v>712</v>
      </c>
      <c r="J74" s="26" t="n">
        <v>3</v>
      </c>
      <c r="K74" s="18" t="s">
        <v>165</v>
      </c>
      <c r="L74" s="21" t="n">
        <v>7024.85</v>
      </c>
      <c r="M74" s="21" t="n">
        <v>21074.55</v>
      </c>
      <c r="N74" s="19" t="s">
        <v>713</v>
      </c>
      <c r="O74" s="21" t="n">
        <v>0</v>
      </c>
      <c r="P74" s="21" t="n">
        <v>-4430.79</v>
      </c>
      <c r="Q74" s="22" t="n">
        <f aca="false">AVERAGE(O74:P74)</f>
        <v>-2215.395</v>
      </c>
      <c r="R74" s="19" t="s">
        <v>714</v>
      </c>
      <c r="S74" s="19" t="s">
        <v>715</v>
      </c>
      <c r="T74" s="18" t="s">
        <v>92</v>
      </c>
      <c r="U74" s="18" t="s">
        <v>124</v>
      </c>
      <c r="V74" s="18" t="s">
        <v>94</v>
      </c>
      <c r="W74" s="19" t="s">
        <v>716</v>
      </c>
      <c r="X74" s="23" t="s">
        <v>96</v>
      </c>
      <c r="Y74" s="24"/>
    </row>
    <row r="75" customFormat="false" ht="75" hidden="false" customHeight="true" outlineLevel="0" collapsed="false">
      <c r="A75" s="18" t="n">
        <v>71</v>
      </c>
      <c r="B75" s="18" t="s">
        <v>213</v>
      </c>
      <c r="C75" s="18" t="s">
        <v>717</v>
      </c>
      <c r="D75" s="19" t="s">
        <v>718</v>
      </c>
      <c r="E75" s="19" t="s">
        <v>719</v>
      </c>
      <c r="F75" s="18" t="s">
        <v>34</v>
      </c>
      <c r="G75" s="27" t="s">
        <v>22</v>
      </c>
      <c r="H75" s="19" t="s">
        <v>720</v>
      </c>
      <c r="I75" s="19" t="s">
        <v>721</v>
      </c>
      <c r="J75" s="19"/>
      <c r="K75" s="18"/>
      <c r="L75" s="19"/>
      <c r="M75" s="19"/>
      <c r="N75" s="19" t="s">
        <v>722</v>
      </c>
      <c r="O75" s="21" t="n">
        <v>200</v>
      </c>
      <c r="P75" s="21" t="n">
        <v>500</v>
      </c>
      <c r="Q75" s="22" t="n">
        <f aca="false">AVERAGE(O75:P75)</f>
        <v>350</v>
      </c>
      <c r="R75" s="19" t="s">
        <v>723</v>
      </c>
      <c r="S75" s="19" t="s">
        <v>724</v>
      </c>
      <c r="T75" s="18" t="s">
        <v>123</v>
      </c>
      <c r="U75" s="18" t="s">
        <v>93</v>
      </c>
      <c r="V75" s="18" t="s">
        <v>94</v>
      </c>
      <c r="W75" s="19" t="s">
        <v>725</v>
      </c>
      <c r="X75" s="23" t="s">
        <v>96</v>
      </c>
      <c r="Y75" s="24"/>
    </row>
    <row r="76" customFormat="false" ht="75" hidden="false" customHeight="true" outlineLevel="0" collapsed="false">
      <c r="A76" s="18" t="n">
        <v>72</v>
      </c>
      <c r="B76" s="18" t="s">
        <v>213</v>
      </c>
      <c r="C76" s="18" t="s">
        <v>726</v>
      </c>
      <c r="D76" s="19"/>
      <c r="E76" s="19" t="s">
        <v>727</v>
      </c>
      <c r="F76" s="18" t="s">
        <v>34</v>
      </c>
      <c r="G76" s="27" t="s">
        <v>22</v>
      </c>
      <c r="H76" s="19" t="s">
        <v>728</v>
      </c>
      <c r="I76" s="19" t="s">
        <v>729</v>
      </c>
      <c r="J76" s="26" t="n">
        <v>2</v>
      </c>
      <c r="K76" s="18" t="s">
        <v>165</v>
      </c>
      <c r="L76" s="21" t="n">
        <v>3232.8</v>
      </c>
      <c r="M76" s="21" t="n">
        <v>6465.6</v>
      </c>
      <c r="N76" s="19" t="s">
        <v>730</v>
      </c>
      <c r="O76" s="21" t="n">
        <v>0</v>
      </c>
      <c r="P76" s="21" t="n">
        <v>6264</v>
      </c>
      <c r="Q76" s="22" t="n">
        <f aca="false">AVERAGE(O76:P76)</f>
        <v>3132</v>
      </c>
      <c r="R76" s="19" t="s">
        <v>731</v>
      </c>
      <c r="S76" s="19" t="s">
        <v>732</v>
      </c>
      <c r="T76" s="18" t="s">
        <v>123</v>
      </c>
      <c r="U76" s="18" t="s">
        <v>93</v>
      </c>
      <c r="V76" s="18" t="s">
        <v>211</v>
      </c>
      <c r="W76" s="19" t="s">
        <v>733</v>
      </c>
      <c r="X76" s="23" t="s">
        <v>96</v>
      </c>
      <c r="Y76" s="24"/>
    </row>
    <row r="77" customFormat="false" ht="75" hidden="false" customHeight="true" outlineLevel="0" collapsed="false">
      <c r="A77" s="18" t="n">
        <v>73</v>
      </c>
      <c r="B77" s="18" t="s">
        <v>213</v>
      </c>
      <c r="C77" s="18" t="s">
        <v>734</v>
      </c>
      <c r="D77" s="19" t="s">
        <v>735</v>
      </c>
      <c r="E77" s="19" t="s">
        <v>736</v>
      </c>
      <c r="F77" s="18" t="s">
        <v>34</v>
      </c>
      <c r="G77" s="27" t="s">
        <v>22</v>
      </c>
      <c r="H77" s="19" t="s">
        <v>737</v>
      </c>
      <c r="I77" s="19" t="s">
        <v>738</v>
      </c>
      <c r="J77" s="19"/>
      <c r="K77" s="18"/>
      <c r="L77" s="19"/>
      <c r="M77" s="19"/>
      <c r="N77" s="19" t="s">
        <v>739</v>
      </c>
      <c r="O77" s="21" t="n">
        <v>0</v>
      </c>
      <c r="P77" s="21" t="n">
        <v>0</v>
      </c>
      <c r="Q77" s="22" t="n">
        <f aca="false">AVERAGE(O77:P77)</f>
        <v>0</v>
      </c>
      <c r="R77" s="19" t="s">
        <v>740</v>
      </c>
      <c r="S77" s="19" t="s">
        <v>741</v>
      </c>
      <c r="T77" s="18" t="s">
        <v>123</v>
      </c>
      <c r="U77" s="18" t="s">
        <v>93</v>
      </c>
      <c r="V77" s="18" t="s">
        <v>94</v>
      </c>
      <c r="W77" s="19" t="s">
        <v>742</v>
      </c>
      <c r="X77" s="23" t="s">
        <v>96</v>
      </c>
      <c r="Y77" s="24"/>
    </row>
    <row r="78" customFormat="false" ht="75" hidden="false" customHeight="true" outlineLevel="0" collapsed="false">
      <c r="A78" s="18" t="n">
        <v>74</v>
      </c>
      <c r="B78" s="18" t="s">
        <v>213</v>
      </c>
      <c r="C78" s="18" t="s">
        <v>743</v>
      </c>
      <c r="D78" s="19" t="s">
        <v>744</v>
      </c>
      <c r="E78" s="19" t="s">
        <v>745</v>
      </c>
      <c r="F78" s="18" t="s">
        <v>27</v>
      </c>
      <c r="G78" s="27" t="s">
        <v>22</v>
      </c>
      <c r="H78" s="19" t="s">
        <v>746</v>
      </c>
      <c r="I78" s="19" t="s">
        <v>747</v>
      </c>
      <c r="J78" s="26" t="n">
        <v>52</v>
      </c>
      <c r="K78" s="18" t="s">
        <v>119</v>
      </c>
      <c r="L78" s="21" t="n">
        <v>144</v>
      </c>
      <c r="M78" s="21" t="n">
        <v>7488</v>
      </c>
      <c r="N78" s="19" t="s">
        <v>748</v>
      </c>
      <c r="O78" s="21" t="n">
        <v>0</v>
      </c>
      <c r="P78" s="21" t="n">
        <v>0</v>
      </c>
      <c r="Q78" s="22" t="n">
        <f aca="false">AVERAGE(O78:P78)</f>
        <v>0</v>
      </c>
      <c r="R78" s="19" t="s">
        <v>749</v>
      </c>
      <c r="S78" s="19" t="s">
        <v>750</v>
      </c>
      <c r="T78" s="18" t="s">
        <v>123</v>
      </c>
      <c r="U78" s="18" t="s">
        <v>93</v>
      </c>
      <c r="V78" s="18" t="s">
        <v>94</v>
      </c>
      <c r="W78" s="19" t="s">
        <v>751</v>
      </c>
      <c r="X78" s="23" t="s">
        <v>96</v>
      </c>
      <c r="Y78" s="24"/>
    </row>
    <row r="79" customFormat="false" ht="75" hidden="false" customHeight="true" outlineLevel="0" collapsed="false">
      <c r="A79" s="18" t="n">
        <v>75</v>
      </c>
      <c r="B79" s="18" t="s">
        <v>213</v>
      </c>
      <c r="C79" s="18" t="s">
        <v>752</v>
      </c>
      <c r="D79" s="19" t="s">
        <v>753</v>
      </c>
      <c r="E79" s="19" t="s">
        <v>754</v>
      </c>
      <c r="F79" s="18" t="s">
        <v>30</v>
      </c>
      <c r="G79" s="27" t="s">
        <v>22</v>
      </c>
      <c r="H79" s="19" t="s">
        <v>755</v>
      </c>
      <c r="I79" s="19" t="s">
        <v>756</v>
      </c>
      <c r="J79" s="26" t="n">
        <v>122</v>
      </c>
      <c r="K79" s="18" t="s">
        <v>119</v>
      </c>
      <c r="L79" s="21" t="n">
        <v>150</v>
      </c>
      <c r="M79" s="21" t="n">
        <v>18300</v>
      </c>
      <c r="N79" s="19" t="s">
        <v>757</v>
      </c>
      <c r="O79" s="21" t="n">
        <v>8200</v>
      </c>
      <c r="P79" s="21" t="n">
        <v>18040</v>
      </c>
      <c r="Q79" s="22" t="n">
        <f aca="false">AVERAGE(O79:P79)</f>
        <v>13120</v>
      </c>
      <c r="R79" s="19" t="s">
        <v>758</v>
      </c>
      <c r="S79" s="19" t="s">
        <v>759</v>
      </c>
      <c r="T79" s="18" t="s">
        <v>92</v>
      </c>
      <c r="U79" s="18" t="s">
        <v>124</v>
      </c>
      <c r="V79" s="18" t="s">
        <v>94</v>
      </c>
      <c r="W79" s="19" t="s">
        <v>760</v>
      </c>
      <c r="X79" s="23" t="s">
        <v>96</v>
      </c>
      <c r="Y79" s="24"/>
    </row>
    <row r="80" customFormat="false" ht="75" hidden="false" customHeight="true" outlineLevel="0" collapsed="false">
      <c r="A80" s="18" t="n">
        <v>76</v>
      </c>
      <c r="B80" s="18" t="s">
        <v>213</v>
      </c>
      <c r="C80" s="18" t="s">
        <v>761</v>
      </c>
      <c r="D80" s="19" t="s">
        <v>762</v>
      </c>
      <c r="E80" s="19" t="s">
        <v>763</v>
      </c>
      <c r="F80" s="18" t="s">
        <v>34</v>
      </c>
      <c r="G80" s="27" t="s">
        <v>22</v>
      </c>
      <c r="H80" s="19" t="s">
        <v>764</v>
      </c>
      <c r="I80" s="19" t="s">
        <v>765</v>
      </c>
      <c r="J80" s="26" t="n">
        <v>31</v>
      </c>
      <c r="K80" s="18" t="s">
        <v>119</v>
      </c>
      <c r="L80" s="21" t="n">
        <v>145</v>
      </c>
      <c r="M80" s="21" t="n">
        <v>4495</v>
      </c>
      <c r="N80" s="19" t="s">
        <v>766</v>
      </c>
      <c r="O80" s="21" t="n">
        <v>0</v>
      </c>
      <c r="P80" s="21" t="n">
        <v>-2635</v>
      </c>
      <c r="Q80" s="22" t="n">
        <f aca="false">AVERAGE(O80:P80)</f>
        <v>-1317.5</v>
      </c>
      <c r="R80" s="19" t="s">
        <v>767</v>
      </c>
      <c r="S80" s="19" t="s">
        <v>768</v>
      </c>
      <c r="T80" s="18" t="s">
        <v>123</v>
      </c>
      <c r="U80" s="18" t="s">
        <v>93</v>
      </c>
      <c r="V80" s="18" t="s">
        <v>211</v>
      </c>
      <c r="W80" s="19" t="s">
        <v>769</v>
      </c>
      <c r="X80" s="23" t="s">
        <v>96</v>
      </c>
      <c r="Y80" s="24"/>
    </row>
    <row r="81" customFormat="false" ht="75" hidden="false" customHeight="true" outlineLevel="0" collapsed="false">
      <c r="A81" s="18" t="n">
        <v>77</v>
      </c>
      <c r="B81" s="18" t="s">
        <v>213</v>
      </c>
      <c r="C81" s="18" t="s">
        <v>770</v>
      </c>
      <c r="D81" s="19" t="s">
        <v>761</v>
      </c>
      <c r="E81" s="19" t="s">
        <v>771</v>
      </c>
      <c r="F81" s="18" t="s">
        <v>32</v>
      </c>
      <c r="G81" s="27" t="s">
        <v>22</v>
      </c>
      <c r="H81" s="19" t="s">
        <v>772</v>
      </c>
      <c r="I81" s="19" t="s">
        <v>773</v>
      </c>
      <c r="J81" s="26" t="n">
        <v>86</v>
      </c>
      <c r="K81" s="18" t="s">
        <v>119</v>
      </c>
      <c r="L81" s="21" t="n">
        <v>60</v>
      </c>
      <c r="M81" s="21" t="n">
        <v>5160</v>
      </c>
      <c r="N81" s="19" t="s">
        <v>774</v>
      </c>
      <c r="O81" s="21" t="n">
        <v>0</v>
      </c>
      <c r="P81" s="21" t="n">
        <v>7310</v>
      </c>
      <c r="Q81" s="22" t="n">
        <f aca="false">AVERAGE(O81:P81)</f>
        <v>3655</v>
      </c>
      <c r="R81" s="19" t="s">
        <v>775</v>
      </c>
      <c r="S81" s="19" t="s">
        <v>776</v>
      </c>
      <c r="T81" s="18" t="s">
        <v>123</v>
      </c>
      <c r="U81" s="18" t="s">
        <v>93</v>
      </c>
      <c r="V81" s="18" t="s">
        <v>94</v>
      </c>
      <c r="W81" s="19" t="s">
        <v>777</v>
      </c>
      <c r="X81" s="23" t="s">
        <v>96</v>
      </c>
      <c r="Y81" s="24"/>
    </row>
    <row r="82" customFormat="false" ht="75" hidden="false" customHeight="true" outlineLevel="0" collapsed="false">
      <c r="A82" s="18" t="n">
        <v>78</v>
      </c>
      <c r="B82" s="18" t="s">
        <v>213</v>
      </c>
      <c r="C82" s="18" t="s">
        <v>778</v>
      </c>
      <c r="D82" s="19" t="s">
        <v>779</v>
      </c>
      <c r="E82" s="19" t="s">
        <v>780</v>
      </c>
      <c r="F82" s="18" t="s">
        <v>37</v>
      </c>
      <c r="G82" s="27" t="s">
        <v>22</v>
      </c>
      <c r="H82" s="19" t="s">
        <v>781</v>
      </c>
      <c r="I82" s="19" t="s">
        <v>782</v>
      </c>
      <c r="J82" s="26" t="n">
        <v>220</v>
      </c>
      <c r="K82" s="18" t="s">
        <v>119</v>
      </c>
      <c r="L82" s="21" t="n">
        <v>25</v>
      </c>
      <c r="M82" s="21" t="n">
        <v>5500</v>
      </c>
      <c r="N82" s="19" t="s">
        <v>783</v>
      </c>
      <c r="O82" s="21" t="n">
        <v>0</v>
      </c>
      <c r="P82" s="21" t="n">
        <v>8800</v>
      </c>
      <c r="Q82" s="22" t="n">
        <f aca="false">AVERAGE(O82:P82)</f>
        <v>4400</v>
      </c>
      <c r="R82" s="19" t="s">
        <v>784</v>
      </c>
      <c r="S82" s="19" t="s">
        <v>785</v>
      </c>
      <c r="T82" s="18" t="s">
        <v>123</v>
      </c>
      <c r="U82" s="18" t="s">
        <v>124</v>
      </c>
      <c r="V82" s="18" t="s">
        <v>211</v>
      </c>
      <c r="W82" s="19" t="s">
        <v>786</v>
      </c>
      <c r="X82" s="23" t="s">
        <v>96</v>
      </c>
      <c r="Y82" s="24"/>
    </row>
    <row r="83" customFormat="false" ht="75" hidden="false" customHeight="true" outlineLevel="0" collapsed="false">
      <c r="A83" s="18" t="n">
        <v>79</v>
      </c>
      <c r="B83" s="18" t="s">
        <v>213</v>
      </c>
      <c r="C83" s="18" t="s">
        <v>787</v>
      </c>
      <c r="D83" s="19" t="s">
        <v>788</v>
      </c>
      <c r="E83" s="19" t="s">
        <v>789</v>
      </c>
      <c r="F83" s="18" t="s">
        <v>30</v>
      </c>
      <c r="G83" s="27" t="s">
        <v>22</v>
      </c>
      <c r="H83" s="19" t="s">
        <v>790</v>
      </c>
      <c r="I83" s="19" t="s">
        <v>791</v>
      </c>
      <c r="J83" s="19"/>
      <c r="K83" s="18"/>
      <c r="L83" s="19"/>
      <c r="M83" s="19"/>
      <c r="N83" s="19" t="s">
        <v>792</v>
      </c>
      <c r="O83" s="21" t="n">
        <v>1879</v>
      </c>
      <c r="P83" s="21" t="n">
        <v>4379</v>
      </c>
      <c r="Q83" s="22" t="n">
        <f aca="false">AVERAGE(O83:P83)</f>
        <v>3129</v>
      </c>
      <c r="R83" s="19" t="s">
        <v>793</v>
      </c>
      <c r="S83" s="19" t="s">
        <v>794</v>
      </c>
      <c r="T83" s="18" t="s">
        <v>92</v>
      </c>
      <c r="U83" s="18" t="s">
        <v>93</v>
      </c>
      <c r="V83" s="18" t="s">
        <v>94</v>
      </c>
      <c r="W83" s="19" t="s">
        <v>795</v>
      </c>
      <c r="X83" s="23" t="s">
        <v>96</v>
      </c>
      <c r="Y83" s="24"/>
    </row>
    <row r="84" customFormat="false" ht="75" hidden="false" customHeight="true" outlineLevel="0" collapsed="false">
      <c r="A84" s="18" t="n">
        <v>80</v>
      </c>
      <c r="B84" s="18" t="s">
        <v>213</v>
      </c>
      <c r="C84" s="18" t="s">
        <v>796</v>
      </c>
      <c r="D84" s="19" t="s">
        <v>307</v>
      </c>
      <c r="E84" s="19" t="s">
        <v>797</v>
      </c>
      <c r="F84" s="18" t="s">
        <v>29</v>
      </c>
      <c r="G84" s="27" t="s">
        <v>22</v>
      </c>
      <c r="H84" s="19" t="s">
        <v>798</v>
      </c>
      <c r="I84" s="19" t="s">
        <v>799</v>
      </c>
      <c r="J84" s="26" t="n">
        <v>28</v>
      </c>
      <c r="K84" s="18" t="s">
        <v>119</v>
      </c>
      <c r="L84" s="21" t="n">
        <v>269.61</v>
      </c>
      <c r="M84" s="21" t="n">
        <v>7549.08</v>
      </c>
      <c r="N84" s="19" t="s">
        <v>800</v>
      </c>
      <c r="O84" s="21" t="n">
        <v>-5632</v>
      </c>
      <c r="P84" s="21" t="n">
        <v>-7549.08</v>
      </c>
      <c r="Q84" s="22" t="n">
        <f aca="false">AVERAGE(O84:P84)</f>
        <v>-6590.54</v>
      </c>
      <c r="R84" s="19" t="s">
        <v>801</v>
      </c>
      <c r="S84" s="19" t="s">
        <v>802</v>
      </c>
      <c r="T84" s="18" t="s">
        <v>123</v>
      </c>
      <c r="U84" s="18" t="s">
        <v>93</v>
      </c>
      <c r="V84" s="18" t="s">
        <v>94</v>
      </c>
      <c r="W84" s="19" t="s">
        <v>803</v>
      </c>
      <c r="X84" s="23" t="s">
        <v>96</v>
      </c>
      <c r="Y84" s="24"/>
    </row>
    <row r="85" customFormat="false" ht="75" hidden="false" customHeight="true" outlineLevel="0" collapsed="false">
      <c r="A85" s="18" t="n">
        <v>81</v>
      </c>
      <c r="B85" s="18" t="s">
        <v>213</v>
      </c>
      <c r="C85" s="18" t="s">
        <v>804</v>
      </c>
      <c r="D85" s="19" t="s">
        <v>805</v>
      </c>
      <c r="E85" s="19" t="s">
        <v>806</v>
      </c>
      <c r="F85" s="18" t="s">
        <v>33</v>
      </c>
      <c r="G85" s="27" t="s">
        <v>22</v>
      </c>
      <c r="H85" s="19" t="s">
        <v>807</v>
      </c>
      <c r="I85" s="19" t="s">
        <v>808</v>
      </c>
      <c r="J85" s="26" t="n">
        <v>187</v>
      </c>
      <c r="K85" s="18" t="s">
        <v>119</v>
      </c>
      <c r="L85" s="21" t="n">
        <v>208.26</v>
      </c>
      <c r="M85" s="21" t="n">
        <v>38943.75</v>
      </c>
      <c r="N85" s="19" t="s">
        <v>809</v>
      </c>
      <c r="O85" s="21" t="n">
        <v>0</v>
      </c>
      <c r="P85" s="21" t="n">
        <v>0</v>
      </c>
      <c r="Q85" s="22" t="n">
        <f aca="false">AVERAGE(O85:P85)</f>
        <v>0</v>
      </c>
      <c r="R85" s="19" t="s">
        <v>810</v>
      </c>
      <c r="S85" s="19" t="s">
        <v>811</v>
      </c>
      <c r="T85" s="18" t="s">
        <v>123</v>
      </c>
      <c r="U85" s="18" t="s">
        <v>124</v>
      </c>
      <c r="V85" s="18" t="s">
        <v>94</v>
      </c>
      <c r="W85" s="19" t="s">
        <v>812</v>
      </c>
      <c r="X85" s="23" t="s">
        <v>96</v>
      </c>
      <c r="Y85" s="24"/>
    </row>
    <row r="86" customFormat="false" ht="75" hidden="false" customHeight="true" outlineLevel="0" collapsed="false">
      <c r="A86" s="18" t="n">
        <v>82</v>
      </c>
      <c r="B86" s="18" t="s">
        <v>213</v>
      </c>
      <c r="C86" s="18" t="s">
        <v>813</v>
      </c>
      <c r="D86" s="19" t="s">
        <v>814</v>
      </c>
      <c r="E86" s="19" t="s">
        <v>815</v>
      </c>
      <c r="F86" s="18" t="s">
        <v>30</v>
      </c>
      <c r="G86" s="27" t="s">
        <v>22</v>
      </c>
      <c r="H86" s="19" t="s">
        <v>816</v>
      </c>
      <c r="I86" s="19" t="s">
        <v>817</v>
      </c>
      <c r="J86" s="19"/>
      <c r="K86" s="18"/>
      <c r="L86" s="19"/>
      <c r="M86" s="19"/>
      <c r="N86" s="19" t="s">
        <v>818</v>
      </c>
      <c r="O86" s="21" t="n">
        <v>5400</v>
      </c>
      <c r="P86" s="21" t="n">
        <v>12600</v>
      </c>
      <c r="Q86" s="22" t="n">
        <f aca="false">AVERAGE(O86:P86)</f>
        <v>9000</v>
      </c>
      <c r="R86" s="19" t="s">
        <v>819</v>
      </c>
      <c r="S86" s="19" t="s">
        <v>820</v>
      </c>
      <c r="T86" s="18" t="s">
        <v>92</v>
      </c>
      <c r="U86" s="18" t="s">
        <v>124</v>
      </c>
      <c r="V86" s="18" t="s">
        <v>94</v>
      </c>
      <c r="W86" s="19" t="s">
        <v>821</v>
      </c>
      <c r="X86" s="23" t="s">
        <v>96</v>
      </c>
      <c r="Y86" s="24"/>
    </row>
    <row r="87" customFormat="false" ht="75" hidden="false" customHeight="true" outlineLevel="0" collapsed="false">
      <c r="A87" s="18" t="n">
        <v>83</v>
      </c>
      <c r="B87" s="18" t="s">
        <v>822</v>
      </c>
      <c r="C87" s="18" t="s">
        <v>823</v>
      </c>
      <c r="D87" s="19" t="s">
        <v>824</v>
      </c>
      <c r="E87" s="19" t="s">
        <v>825</v>
      </c>
      <c r="F87" s="18" t="s">
        <v>30</v>
      </c>
      <c r="G87" s="27" t="s">
        <v>22</v>
      </c>
      <c r="H87" s="19" t="s">
        <v>826</v>
      </c>
      <c r="I87" s="19" t="s">
        <v>827</v>
      </c>
      <c r="J87" s="26" t="n">
        <v>30.61</v>
      </c>
      <c r="K87" s="18" t="s">
        <v>138</v>
      </c>
      <c r="L87" s="21" t="n">
        <v>5.5</v>
      </c>
      <c r="M87" s="21" t="n">
        <v>168.36</v>
      </c>
      <c r="N87" s="19" t="s">
        <v>828</v>
      </c>
      <c r="O87" s="21" t="n">
        <v>1925.58</v>
      </c>
      <c r="P87" s="21" t="n">
        <v>6258.15</v>
      </c>
      <c r="Q87" s="22" t="n">
        <f aca="false">AVERAGE(O87:P87)</f>
        <v>4091.865</v>
      </c>
      <c r="R87" s="19" t="s">
        <v>829</v>
      </c>
      <c r="S87" s="19" t="s">
        <v>830</v>
      </c>
      <c r="T87" s="18" t="s">
        <v>92</v>
      </c>
      <c r="U87" s="18" t="s">
        <v>124</v>
      </c>
      <c r="V87" s="18" t="s">
        <v>211</v>
      </c>
      <c r="W87" s="19" t="s">
        <v>831</v>
      </c>
      <c r="X87" s="23" t="s">
        <v>96</v>
      </c>
      <c r="Y87" s="24"/>
    </row>
    <row r="88" customFormat="false" ht="75" hidden="false" customHeight="true" outlineLevel="0" collapsed="false">
      <c r="A88" s="18" t="n">
        <v>84</v>
      </c>
      <c r="B88" s="18" t="s">
        <v>822</v>
      </c>
      <c r="C88" s="18" t="s">
        <v>832</v>
      </c>
      <c r="D88" s="19" t="s">
        <v>833</v>
      </c>
      <c r="E88" s="19" t="s">
        <v>834</v>
      </c>
      <c r="F88" s="18" t="s">
        <v>37</v>
      </c>
      <c r="G88" s="27" t="s">
        <v>22</v>
      </c>
      <c r="H88" s="19" t="s">
        <v>835</v>
      </c>
      <c r="I88" s="19" t="s">
        <v>836</v>
      </c>
      <c r="J88" s="26" t="n">
        <v>72.98</v>
      </c>
      <c r="K88" s="18" t="s">
        <v>312</v>
      </c>
      <c r="L88" s="21" t="n">
        <v>178.38</v>
      </c>
      <c r="M88" s="21" t="n">
        <v>13018.17</v>
      </c>
      <c r="N88" s="19" t="s">
        <v>837</v>
      </c>
      <c r="O88" s="21" t="n">
        <v>0</v>
      </c>
      <c r="P88" s="21" t="n">
        <v>-6784.05</v>
      </c>
      <c r="Q88" s="22" t="n">
        <f aca="false">AVERAGE(O88:P88)</f>
        <v>-3392.025</v>
      </c>
      <c r="R88" s="19" t="s">
        <v>838</v>
      </c>
      <c r="S88" s="19" t="s">
        <v>839</v>
      </c>
      <c r="T88" s="18" t="s">
        <v>123</v>
      </c>
      <c r="U88" s="18" t="s">
        <v>93</v>
      </c>
      <c r="V88" s="18" t="s">
        <v>211</v>
      </c>
      <c r="W88" s="19" t="s">
        <v>840</v>
      </c>
      <c r="X88" s="23" t="s">
        <v>96</v>
      </c>
      <c r="Y88" s="24"/>
    </row>
    <row r="89" customFormat="false" ht="75" hidden="false" customHeight="true" outlineLevel="0" collapsed="false">
      <c r="A89" s="18" t="n">
        <v>85</v>
      </c>
      <c r="B89" s="18" t="s">
        <v>822</v>
      </c>
      <c r="C89" s="18" t="s">
        <v>841</v>
      </c>
      <c r="D89" s="19" t="s">
        <v>842</v>
      </c>
      <c r="E89" s="19" t="s">
        <v>843</v>
      </c>
      <c r="F89" s="18" t="s">
        <v>32</v>
      </c>
      <c r="G89" s="27" t="s">
        <v>22</v>
      </c>
      <c r="H89" s="19" t="s">
        <v>844</v>
      </c>
      <c r="I89" s="19" t="s">
        <v>845</v>
      </c>
      <c r="J89" s="26" t="n">
        <v>1</v>
      </c>
      <c r="K89" s="18" t="s">
        <v>165</v>
      </c>
      <c r="L89" s="21" t="n">
        <v>900</v>
      </c>
      <c r="M89" s="21" t="n">
        <v>900</v>
      </c>
      <c r="N89" s="19" t="s">
        <v>846</v>
      </c>
      <c r="O89" s="21" t="n">
        <v>0</v>
      </c>
      <c r="P89" s="21" t="n">
        <v>0</v>
      </c>
      <c r="Q89" s="22" t="n">
        <f aca="false">AVERAGE(O89:P89)</f>
        <v>0</v>
      </c>
      <c r="R89" s="19" t="s">
        <v>847</v>
      </c>
      <c r="S89" s="19" t="s">
        <v>848</v>
      </c>
      <c r="T89" s="18" t="s">
        <v>123</v>
      </c>
      <c r="U89" s="18" t="s">
        <v>124</v>
      </c>
      <c r="V89" s="18" t="s">
        <v>94</v>
      </c>
      <c r="W89" s="19" t="s">
        <v>849</v>
      </c>
      <c r="X89" s="23" t="s">
        <v>96</v>
      </c>
      <c r="Y89" s="24"/>
    </row>
    <row r="90" customFormat="false" ht="75" hidden="false" customHeight="true" outlineLevel="0" collapsed="false">
      <c r="A90" s="18" t="n">
        <v>86</v>
      </c>
      <c r="B90" s="18" t="s">
        <v>822</v>
      </c>
      <c r="C90" s="18" t="s">
        <v>850</v>
      </c>
      <c r="D90" s="19" t="s">
        <v>851</v>
      </c>
      <c r="E90" s="19" t="s">
        <v>852</v>
      </c>
      <c r="F90" s="18" t="s">
        <v>37</v>
      </c>
      <c r="G90" s="27" t="s">
        <v>22</v>
      </c>
      <c r="H90" s="19" t="s">
        <v>853</v>
      </c>
      <c r="I90" s="19" t="s">
        <v>854</v>
      </c>
      <c r="J90" s="26" t="n">
        <v>10</v>
      </c>
      <c r="K90" s="18" t="s">
        <v>165</v>
      </c>
      <c r="L90" s="21" t="n">
        <v>499.9</v>
      </c>
      <c r="M90" s="21" t="n">
        <v>4999</v>
      </c>
      <c r="N90" s="19" t="s">
        <v>855</v>
      </c>
      <c r="O90" s="21" t="n">
        <v>0</v>
      </c>
      <c r="P90" s="21" t="n">
        <v>30000</v>
      </c>
      <c r="Q90" s="22" t="n">
        <f aca="false">AVERAGE(O90:P90)</f>
        <v>15000</v>
      </c>
      <c r="R90" s="19" t="s">
        <v>856</v>
      </c>
      <c r="S90" s="19" t="s">
        <v>857</v>
      </c>
      <c r="T90" s="18" t="s">
        <v>123</v>
      </c>
      <c r="U90" s="18" t="s">
        <v>93</v>
      </c>
      <c r="V90" s="18" t="s">
        <v>94</v>
      </c>
      <c r="W90" s="19" t="s">
        <v>858</v>
      </c>
      <c r="X90" s="23" t="s">
        <v>96</v>
      </c>
      <c r="Y90" s="24"/>
    </row>
    <row r="91" customFormat="false" ht="75" hidden="false" customHeight="true" outlineLevel="0" collapsed="false">
      <c r="A91" s="18" t="n">
        <v>87</v>
      </c>
      <c r="B91" s="18" t="s">
        <v>822</v>
      </c>
      <c r="C91" s="18" t="s">
        <v>859</v>
      </c>
      <c r="D91" s="19" t="s">
        <v>860</v>
      </c>
      <c r="E91" s="19" t="s">
        <v>861</v>
      </c>
      <c r="F91" s="18" t="s">
        <v>30</v>
      </c>
      <c r="G91" s="27" t="s">
        <v>22</v>
      </c>
      <c r="H91" s="19" t="s">
        <v>862</v>
      </c>
      <c r="I91" s="19" t="s">
        <v>863</v>
      </c>
      <c r="J91" s="19"/>
      <c r="K91" s="18"/>
      <c r="L91" s="19"/>
      <c r="M91" s="19"/>
      <c r="N91" s="19" t="s">
        <v>864</v>
      </c>
      <c r="O91" s="21" t="n">
        <v>2250</v>
      </c>
      <c r="P91" s="21" t="n">
        <v>6750</v>
      </c>
      <c r="Q91" s="22" t="n">
        <f aca="false">AVERAGE(O91:P91)</f>
        <v>4500</v>
      </c>
      <c r="R91" s="19" t="s">
        <v>865</v>
      </c>
      <c r="S91" s="19" t="s">
        <v>866</v>
      </c>
      <c r="T91" s="18" t="s">
        <v>92</v>
      </c>
      <c r="U91" s="18" t="s">
        <v>93</v>
      </c>
      <c r="V91" s="18" t="s">
        <v>94</v>
      </c>
      <c r="W91" s="19" t="s">
        <v>867</v>
      </c>
      <c r="X91" s="23" t="s">
        <v>96</v>
      </c>
      <c r="Y91" s="24"/>
    </row>
    <row r="92" customFormat="false" ht="75" hidden="false" customHeight="true" outlineLevel="0" collapsed="false">
      <c r="A92" s="18" t="n">
        <v>88</v>
      </c>
      <c r="B92" s="18" t="s">
        <v>306</v>
      </c>
      <c r="C92" s="18" t="s">
        <v>868</v>
      </c>
      <c r="D92" s="19" t="s">
        <v>869</v>
      </c>
      <c r="E92" s="19" t="s">
        <v>320</v>
      </c>
      <c r="F92" s="18" t="s">
        <v>30</v>
      </c>
      <c r="G92" s="27" t="s">
        <v>22</v>
      </c>
      <c r="H92" s="19" t="s">
        <v>870</v>
      </c>
      <c r="I92" s="19" t="s">
        <v>871</v>
      </c>
      <c r="J92" s="26" t="n">
        <v>448.52</v>
      </c>
      <c r="K92" s="18" t="s">
        <v>138</v>
      </c>
      <c r="L92" s="21" t="n">
        <v>5.5</v>
      </c>
      <c r="M92" s="21" t="n">
        <v>2466.86</v>
      </c>
      <c r="N92" s="19" t="s">
        <v>872</v>
      </c>
      <c r="O92" s="21" t="n">
        <v>2915.38</v>
      </c>
      <c r="P92" s="21" t="n">
        <v>5606.5</v>
      </c>
      <c r="Q92" s="22" t="n">
        <f aca="false">AVERAGE(O92:P92)</f>
        <v>4260.94</v>
      </c>
      <c r="R92" s="19" t="s">
        <v>873</v>
      </c>
      <c r="S92" s="19" t="s">
        <v>874</v>
      </c>
      <c r="T92" s="18" t="s">
        <v>92</v>
      </c>
      <c r="U92" s="18" t="s">
        <v>93</v>
      </c>
      <c r="V92" s="18" t="s">
        <v>94</v>
      </c>
      <c r="W92" s="19" t="s">
        <v>875</v>
      </c>
      <c r="X92" s="23" t="s">
        <v>96</v>
      </c>
      <c r="Y92" s="24"/>
    </row>
    <row r="93" customFormat="false" ht="75" hidden="false" customHeight="true" outlineLevel="0" collapsed="false">
      <c r="A93" s="18" t="n">
        <v>89</v>
      </c>
      <c r="B93" s="18" t="s">
        <v>306</v>
      </c>
      <c r="C93" s="18" t="s">
        <v>876</v>
      </c>
      <c r="D93" s="19" t="s">
        <v>877</v>
      </c>
      <c r="E93" s="19" t="s">
        <v>878</v>
      </c>
      <c r="F93" s="18" t="s">
        <v>35</v>
      </c>
      <c r="G93" s="27" t="s">
        <v>22</v>
      </c>
      <c r="H93" s="19" t="s">
        <v>879</v>
      </c>
      <c r="I93" s="19" t="s">
        <v>880</v>
      </c>
      <c r="J93" s="19"/>
      <c r="K93" s="18"/>
      <c r="L93" s="19"/>
      <c r="M93" s="19"/>
      <c r="N93" s="19" t="s">
        <v>881</v>
      </c>
      <c r="O93" s="21" t="n">
        <v>0</v>
      </c>
      <c r="P93" s="21" t="n">
        <v>5066.5</v>
      </c>
      <c r="Q93" s="22" t="n">
        <f aca="false">AVERAGE(O93:P93)</f>
        <v>2533.25</v>
      </c>
      <c r="R93" s="19" t="s">
        <v>882</v>
      </c>
      <c r="S93" s="19" t="s">
        <v>883</v>
      </c>
      <c r="T93" s="18" t="s">
        <v>123</v>
      </c>
      <c r="U93" s="18" t="s">
        <v>124</v>
      </c>
      <c r="V93" s="18" t="s">
        <v>211</v>
      </c>
      <c r="W93" s="19" t="s">
        <v>884</v>
      </c>
      <c r="X93" s="23" t="s">
        <v>96</v>
      </c>
      <c r="Y93" s="24"/>
    </row>
    <row r="94" customFormat="false" ht="75" hidden="false" customHeight="true" outlineLevel="0" collapsed="false">
      <c r="A94" s="18" t="n">
        <v>90</v>
      </c>
      <c r="B94" s="18" t="s">
        <v>306</v>
      </c>
      <c r="C94" s="18" t="s">
        <v>885</v>
      </c>
      <c r="D94" s="19" t="s">
        <v>886</v>
      </c>
      <c r="E94" s="19" t="s">
        <v>887</v>
      </c>
      <c r="F94" s="18" t="s">
        <v>30</v>
      </c>
      <c r="G94" s="27" t="s">
        <v>22</v>
      </c>
      <c r="H94" s="19" t="s">
        <v>888</v>
      </c>
      <c r="I94" s="19" t="s">
        <v>889</v>
      </c>
      <c r="J94" s="26" t="n">
        <v>5</v>
      </c>
      <c r="K94" s="18" t="s">
        <v>165</v>
      </c>
      <c r="L94" s="21" t="n">
        <v>520.82</v>
      </c>
      <c r="M94" s="21" t="n">
        <v>2604.11</v>
      </c>
      <c r="N94" s="19" t="s">
        <v>890</v>
      </c>
      <c r="O94" s="21" t="n">
        <v>1495.9</v>
      </c>
      <c r="P94" s="21" t="n">
        <v>3495.9</v>
      </c>
      <c r="Q94" s="22" t="n">
        <f aca="false">AVERAGE(O94:P94)</f>
        <v>2495.9</v>
      </c>
      <c r="R94" s="19" t="s">
        <v>891</v>
      </c>
      <c r="S94" s="19" t="s">
        <v>892</v>
      </c>
      <c r="T94" s="18" t="s">
        <v>92</v>
      </c>
      <c r="U94" s="18" t="s">
        <v>93</v>
      </c>
      <c r="V94" s="18" t="s">
        <v>94</v>
      </c>
      <c r="W94" s="19" t="s">
        <v>893</v>
      </c>
      <c r="X94" s="23" t="s">
        <v>96</v>
      </c>
      <c r="Y94" s="24"/>
    </row>
    <row r="95" customFormat="false" ht="75" hidden="false" customHeight="true" outlineLevel="0" collapsed="false">
      <c r="A95" s="18" t="n">
        <v>91</v>
      </c>
      <c r="B95" s="18" t="s">
        <v>317</v>
      </c>
      <c r="C95" s="18" t="s">
        <v>894</v>
      </c>
      <c r="D95" s="19" t="s">
        <v>895</v>
      </c>
      <c r="E95" s="19" t="s">
        <v>896</v>
      </c>
      <c r="F95" s="18" t="s">
        <v>32</v>
      </c>
      <c r="G95" s="27" t="s">
        <v>22</v>
      </c>
      <c r="H95" s="19" t="s">
        <v>897</v>
      </c>
      <c r="I95" s="19" t="s">
        <v>898</v>
      </c>
      <c r="J95" s="26" t="n">
        <v>48.3</v>
      </c>
      <c r="K95" s="18" t="s">
        <v>312</v>
      </c>
      <c r="L95" s="21" t="n">
        <v>45.24</v>
      </c>
      <c r="M95" s="21" t="n">
        <v>2185.09</v>
      </c>
      <c r="N95" s="19" t="s">
        <v>899</v>
      </c>
      <c r="O95" s="21" t="n">
        <v>876.16</v>
      </c>
      <c r="P95" s="21" t="n">
        <v>2712.91</v>
      </c>
      <c r="Q95" s="22" t="n">
        <f aca="false">AVERAGE(O95:P95)</f>
        <v>1794.535</v>
      </c>
      <c r="R95" s="19" t="s">
        <v>900</v>
      </c>
      <c r="S95" s="19" t="s">
        <v>901</v>
      </c>
      <c r="T95" s="18" t="s">
        <v>92</v>
      </c>
      <c r="U95" s="18" t="s">
        <v>93</v>
      </c>
      <c r="V95" s="18" t="s">
        <v>211</v>
      </c>
      <c r="W95" s="19" t="s">
        <v>902</v>
      </c>
      <c r="X95" s="23" t="s">
        <v>96</v>
      </c>
      <c r="Y95" s="24"/>
    </row>
    <row r="96" customFormat="false" ht="75" hidden="false" customHeight="true" outlineLevel="0" collapsed="false">
      <c r="A96" s="18" t="n">
        <v>92</v>
      </c>
      <c r="B96" s="18" t="s">
        <v>317</v>
      </c>
      <c r="C96" s="18" t="s">
        <v>903</v>
      </c>
      <c r="D96" s="19" t="s">
        <v>904</v>
      </c>
      <c r="E96" s="19" t="s">
        <v>905</v>
      </c>
      <c r="F96" s="18" t="s">
        <v>30</v>
      </c>
      <c r="G96" s="27" t="s">
        <v>22</v>
      </c>
      <c r="H96" s="19" t="s">
        <v>906</v>
      </c>
      <c r="I96" s="19" t="s">
        <v>907</v>
      </c>
      <c r="J96" s="19"/>
      <c r="K96" s="18"/>
      <c r="L96" s="19"/>
      <c r="M96" s="19"/>
      <c r="N96" s="19" t="s">
        <v>908</v>
      </c>
      <c r="O96" s="21" t="n">
        <v>997.76</v>
      </c>
      <c r="P96" s="21" t="n">
        <v>1917.56</v>
      </c>
      <c r="Q96" s="22" t="n">
        <f aca="false">AVERAGE(O96:P96)</f>
        <v>1457.66</v>
      </c>
      <c r="R96" s="19" t="s">
        <v>909</v>
      </c>
      <c r="S96" s="19" t="s">
        <v>910</v>
      </c>
      <c r="T96" s="18" t="s">
        <v>92</v>
      </c>
      <c r="U96" s="18" t="s">
        <v>93</v>
      </c>
      <c r="V96" s="18" t="s">
        <v>94</v>
      </c>
      <c r="W96" s="19" t="s">
        <v>911</v>
      </c>
      <c r="X96" s="23" t="s">
        <v>96</v>
      </c>
      <c r="Y96" s="24"/>
    </row>
    <row r="97" customFormat="false" ht="75" hidden="false" customHeight="true" outlineLevel="0" collapsed="false">
      <c r="A97" s="18" t="n">
        <v>93</v>
      </c>
      <c r="B97" s="18" t="s">
        <v>354</v>
      </c>
      <c r="C97" s="18" t="s">
        <v>363</v>
      </c>
      <c r="D97" s="19" t="s">
        <v>912</v>
      </c>
      <c r="E97" s="19" t="s">
        <v>913</v>
      </c>
      <c r="F97" s="18" t="s">
        <v>28</v>
      </c>
      <c r="G97" s="27" t="s">
        <v>22</v>
      </c>
      <c r="H97" s="19" t="s">
        <v>914</v>
      </c>
      <c r="I97" s="19" t="s">
        <v>915</v>
      </c>
      <c r="J97" s="19"/>
      <c r="K97" s="18"/>
      <c r="L97" s="19"/>
      <c r="M97" s="19"/>
      <c r="N97" s="19" t="s">
        <v>916</v>
      </c>
      <c r="O97" s="21" t="n">
        <v>6000</v>
      </c>
      <c r="P97" s="21" t="n">
        <v>15000</v>
      </c>
      <c r="Q97" s="22" t="n">
        <f aca="false">AVERAGE(O97:P97)</f>
        <v>10500</v>
      </c>
      <c r="R97" s="19" t="s">
        <v>917</v>
      </c>
      <c r="S97" s="19" t="s">
        <v>918</v>
      </c>
      <c r="T97" s="18" t="s">
        <v>304</v>
      </c>
      <c r="U97" s="18" t="s">
        <v>93</v>
      </c>
      <c r="V97" s="18" t="s">
        <v>94</v>
      </c>
      <c r="W97" s="19" t="s">
        <v>919</v>
      </c>
      <c r="X97" s="23" t="s">
        <v>96</v>
      </c>
      <c r="Y97" s="24"/>
    </row>
    <row r="98" customFormat="false" ht="75" hidden="false" customHeight="true" outlineLevel="0" collapsed="false">
      <c r="A98" s="18" t="n">
        <v>94</v>
      </c>
      <c r="B98" s="18" t="s">
        <v>354</v>
      </c>
      <c r="C98" s="18" t="s">
        <v>920</v>
      </c>
      <c r="D98" s="19" t="s">
        <v>921</v>
      </c>
      <c r="E98" s="19" t="s">
        <v>922</v>
      </c>
      <c r="F98" s="18" t="s">
        <v>37</v>
      </c>
      <c r="G98" s="27" t="s">
        <v>22</v>
      </c>
      <c r="H98" s="19" t="s">
        <v>923</v>
      </c>
      <c r="I98" s="19" t="s">
        <v>924</v>
      </c>
      <c r="J98" s="26" t="n">
        <v>1</v>
      </c>
      <c r="K98" s="18" t="s">
        <v>165</v>
      </c>
      <c r="L98" s="21" t="n">
        <v>1313.81</v>
      </c>
      <c r="M98" s="21" t="n">
        <v>1313.81</v>
      </c>
      <c r="N98" s="19" t="s">
        <v>925</v>
      </c>
      <c r="O98" s="21" t="n">
        <v>0</v>
      </c>
      <c r="P98" s="21" t="n">
        <v>1986.19</v>
      </c>
      <c r="Q98" s="22" t="n">
        <f aca="false">AVERAGE(O98:P98)</f>
        <v>993.095</v>
      </c>
      <c r="R98" s="19" t="s">
        <v>926</v>
      </c>
      <c r="S98" s="19" t="s">
        <v>927</v>
      </c>
      <c r="T98" s="18" t="s">
        <v>304</v>
      </c>
      <c r="U98" s="18" t="s">
        <v>93</v>
      </c>
      <c r="V98" s="18" t="s">
        <v>94</v>
      </c>
      <c r="W98" s="19" t="s">
        <v>928</v>
      </c>
      <c r="X98" s="23" t="s">
        <v>96</v>
      </c>
      <c r="Y98" s="24"/>
    </row>
    <row r="99" customFormat="false" ht="75" hidden="false" customHeight="true" outlineLevel="0" collapsed="false">
      <c r="A99" s="18" t="n">
        <v>95</v>
      </c>
      <c r="B99" s="18" t="s">
        <v>354</v>
      </c>
      <c r="C99" s="18" t="s">
        <v>929</v>
      </c>
      <c r="D99" s="19" t="s">
        <v>930</v>
      </c>
      <c r="E99" s="19" t="s">
        <v>931</v>
      </c>
      <c r="F99" s="18" t="s">
        <v>32</v>
      </c>
      <c r="G99" s="27" t="s">
        <v>22</v>
      </c>
      <c r="H99" s="19" t="s">
        <v>932</v>
      </c>
      <c r="I99" s="19" t="s">
        <v>933</v>
      </c>
      <c r="J99" s="26" t="n">
        <v>5</v>
      </c>
      <c r="K99" s="18" t="s">
        <v>312</v>
      </c>
      <c r="L99" s="21" t="n">
        <v>37.29</v>
      </c>
      <c r="M99" s="21" t="n">
        <v>186.45</v>
      </c>
      <c r="N99" s="19" t="s">
        <v>934</v>
      </c>
      <c r="O99" s="21" t="n">
        <v>-3115.75</v>
      </c>
      <c r="P99" s="21" t="n">
        <v>-3115.75</v>
      </c>
      <c r="Q99" s="22" t="n">
        <f aca="false">AVERAGE(O99:P99)</f>
        <v>-3115.75</v>
      </c>
      <c r="R99" s="19" t="s">
        <v>935</v>
      </c>
      <c r="S99" s="19" t="s">
        <v>936</v>
      </c>
      <c r="T99" s="18" t="s">
        <v>92</v>
      </c>
      <c r="U99" s="18" t="s">
        <v>124</v>
      </c>
      <c r="V99" s="18" t="s">
        <v>94</v>
      </c>
      <c r="W99" s="19" t="s">
        <v>937</v>
      </c>
      <c r="X99" s="23" t="s">
        <v>96</v>
      </c>
      <c r="Y99" s="24"/>
    </row>
    <row r="100" customFormat="false" ht="75" hidden="false" customHeight="true" outlineLevel="0" collapsed="false">
      <c r="A100" s="18" t="n">
        <v>96</v>
      </c>
      <c r="B100" s="18" t="s">
        <v>354</v>
      </c>
      <c r="C100" s="18" t="s">
        <v>938</v>
      </c>
      <c r="D100" s="19" t="s">
        <v>939</v>
      </c>
      <c r="E100" s="19" t="s">
        <v>940</v>
      </c>
      <c r="F100" s="18" t="s">
        <v>28</v>
      </c>
      <c r="G100" s="27" t="s">
        <v>22</v>
      </c>
      <c r="H100" s="19" t="s">
        <v>941</v>
      </c>
      <c r="I100" s="19" t="s">
        <v>942</v>
      </c>
      <c r="J100" s="19"/>
      <c r="K100" s="18"/>
      <c r="L100" s="19"/>
      <c r="M100" s="19"/>
      <c r="N100" s="19" t="s">
        <v>943</v>
      </c>
      <c r="O100" s="21" t="n">
        <v>0</v>
      </c>
      <c r="P100" s="21" t="n">
        <v>3000</v>
      </c>
      <c r="Q100" s="22" t="n">
        <f aca="false">AVERAGE(O100:P100)</f>
        <v>1500</v>
      </c>
      <c r="R100" s="19" t="s">
        <v>944</v>
      </c>
      <c r="S100" s="19" t="s">
        <v>945</v>
      </c>
      <c r="T100" s="18" t="s">
        <v>123</v>
      </c>
      <c r="U100" s="18" t="s">
        <v>124</v>
      </c>
      <c r="V100" s="18" t="s">
        <v>94</v>
      </c>
      <c r="W100" s="19" t="s">
        <v>946</v>
      </c>
      <c r="X100" s="23" t="s">
        <v>96</v>
      </c>
      <c r="Y100" s="24"/>
    </row>
    <row r="101" customFormat="false" ht="75" hidden="false" customHeight="true" outlineLevel="0" collapsed="false">
      <c r="A101" s="18" t="n">
        <v>97</v>
      </c>
      <c r="B101" s="18" t="s">
        <v>354</v>
      </c>
      <c r="C101" s="18" t="s">
        <v>947</v>
      </c>
      <c r="D101" s="19" t="s">
        <v>948</v>
      </c>
      <c r="E101" s="19" t="s">
        <v>949</v>
      </c>
      <c r="F101" s="18" t="s">
        <v>30</v>
      </c>
      <c r="G101" s="27" t="s">
        <v>22</v>
      </c>
      <c r="H101" s="19" t="s">
        <v>950</v>
      </c>
      <c r="I101" s="19" t="s">
        <v>951</v>
      </c>
      <c r="J101" s="26" t="n">
        <v>1</v>
      </c>
      <c r="K101" s="18" t="s">
        <v>165</v>
      </c>
      <c r="L101" s="21" t="n">
        <v>2648.86</v>
      </c>
      <c r="M101" s="21" t="n">
        <v>2648.86</v>
      </c>
      <c r="N101" s="19" t="s">
        <v>952</v>
      </c>
      <c r="O101" s="21" t="n">
        <v>1351.14</v>
      </c>
      <c r="P101" s="21" t="n">
        <v>4351.14</v>
      </c>
      <c r="Q101" s="22" t="n">
        <f aca="false">AVERAGE(O101:P101)</f>
        <v>2851.14</v>
      </c>
      <c r="R101" s="19" t="s">
        <v>953</v>
      </c>
      <c r="S101" s="19" t="s">
        <v>954</v>
      </c>
      <c r="T101" s="18" t="s">
        <v>92</v>
      </c>
      <c r="U101" s="18" t="s">
        <v>93</v>
      </c>
      <c r="V101" s="18" t="s">
        <v>211</v>
      </c>
      <c r="W101" s="19" t="s">
        <v>955</v>
      </c>
      <c r="X101" s="23" t="s">
        <v>96</v>
      </c>
      <c r="Y101" s="24"/>
    </row>
    <row r="102" customFormat="false" ht="75" hidden="false" customHeight="true" outlineLevel="0" collapsed="false">
      <c r="A102" s="18" t="n">
        <v>98</v>
      </c>
      <c r="B102" s="18" t="s">
        <v>354</v>
      </c>
      <c r="C102" s="18" t="s">
        <v>956</v>
      </c>
      <c r="D102" s="19" t="s">
        <v>957</v>
      </c>
      <c r="E102" s="19" t="s">
        <v>958</v>
      </c>
      <c r="F102" s="18" t="s">
        <v>37</v>
      </c>
      <c r="G102" s="27" t="s">
        <v>22</v>
      </c>
      <c r="H102" s="19" t="s">
        <v>959</v>
      </c>
      <c r="I102" s="19" t="s">
        <v>960</v>
      </c>
      <c r="J102" s="26" t="n">
        <v>3</v>
      </c>
      <c r="K102" s="18" t="s">
        <v>165</v>
      </c>
      <c r="L102" s="21" t="n">
        <v>1699.55</v>
      </c>
      <c r="M102" s="21" t="n">
        <v>5098.65</v>
      </c>
      <c r="N102" s="19" t="s">
        <v>961</v>
      </c>
      <c r="O102" s="21" t="n">
        <v>0</v>
      </c>
      <c r="P102" s="21" t="n">
        <v>2401.35</v>
      </c>
      <c r="Q102" s="22" t="n">
        <f aca="false">AVERAGE(O102:P102)</f>
        <v>1200.675</v>
      </c>
      <c r="R102" s="19" t="s">
        <v>962</v>
      </c>
      <c r="S102" s="19" t="s">
        <v>963</v>
      </c>
      <c r="T102" s="18" t="s">
        <v>123</v>
      </c>
      <c r="U102" s="18" t="s">
        <v>93</v>
      </c>
      <c r="V102" s="18" t="s">
        <v>211</v>
      </c>
      <c r="W102" s="19" t="s">
        <v>964</v>
      </c>
      <c r="X102" s="23" t="s">
        <v>96</v>
      </c>
      <c r="Y102" s="24"/>
    </row>
    <row r="103" customFormat="false" ht="75" hidden="false" customHeight="true" outlineLevel="0" collapsed="false">
      <c r="A103" s="18" t="n">
        <v>99</v>
      </c>
      <c r="B103" s="18" t="s">
        <v>354</v>
      </c>
      <c r="C103" s="18" t="s">
        <v>965</v>
      </c>
      <c r="D103" s="19" t="s">
        <v>966</v>
      </c>
      <c r="E103" s="19" t="s">
        <v>967</v>
      </c>
      <c r="F103" s="18" t="s">
        <v>28</v>
      </c>
      <c r="G103" s="27" t="s">
        <v>22</v>
      </c>
      <c r="H103" s="19" t="s">
        <v>968</v>
      </c>
      <c r="I103" s="19" t="s">
        <v>969</v>
      </c>
      <c r="J103" s="26" t="n">
        <v>20</v>
      </c>
      <c r="K103" s="18" t="s">
        <v>165</v>
      </c>
      <c r="L103" s="21" t="n">
        <v>1156.58</v>
      </c>
      <c r="M103" s="21" t="n">
        <v>23131.6</v>
      </c>
      <c r="N103" s="19" t="s">
        <v>970</v>
      </c>
      <c r="O103" s="21" t="n">
        <v>0</v>
      </c>
      <c r="P103" s="21" t="n">
        <v>0</v>
      </c>
      <c r="Q103" s="22" t="n">
        <f aca="false">AVERAGE(O103:P103)</f>
        <v>0</v>
      </c>
      <c r="R103" s="19" t="s">
        <v>971</v>
      </c>
      <c r="S103" s="19" t="s">
        <v>972</v>
      </c>
      <c r="T103" s="18" t="s">
        <v>123</v>
      </c>
      <c r="U103" s="18" t="s">
        <v>93</v>
      </c>
      <c r="V103" s="18" t="s">
        <v>211</v>
      </c>
      <c r="W103" s="19" t="s">
        <v>973</v>
      </c>
      <c r="X103" s="23" t="s">
        <v>96</v>
      </c>
      <c r="Y103" s="24"/>
    </row>
    <row r="104" customFormat="false" ht="75" hidden="false" customHeight="true" outlineLevel="0" collapsed="false">
      <c r="A104" s="18" t="n">
        <v>100</v>
      </c>
      <c r="B104" s="18" t="s">
        <v>354</v>
      </c>
      <c r="C104" s="18" t="s">
        <v>974</v>
      </c>
      <c r="D104" s="19" t="s">
        <v>975</v>
      </c>
      <c r="E104" s="19" t="s">
        <v>976</v>
      </c>
      <c r="F104" s="18" t="s">
        <v>28</v>
      </c>
      <c r="G104" s="27" t="s">
        <v>22</v>
      </c>
      <c r="H104" s="19" t="s">
        <v>977</v>
      </c>
      <c r="I104" s="19" t="s">
        <v>978</v>
      </c>
      <c r="J104" s="26" t="n">
        <v>17</v>
      </c>
      <c r="K104" s="18" t="s">
        <v>165</v>
      </c>
      <c r="L104" s="21" t="n">
        <v>38.99</v>
      </c>
      <c r="M104" s="21" t="n">
        <v>662.83</v>
      </c>
      <c r="N104" s="19" t="s">
        <v>979</v>
      </c>
      <c r="O104" s="21" t="n">
        <v>600</v>
      </c>
      <c r="P104" s="21" t="n">
        <v>3900</v>
      </c>
      <c r="Q104" s="22" t="n">
        <f aca="false">AVERAGE(O104:P104)</f>
        <v>2250</v>
      </c>
      <c r="R104" s="19" t="s">
        <v>980</v>
      </c>
      <c r="S104" s="19" t="s">
        <v>981</v>
      </c>
      <c r="T104" s="18" t="s">
        <v>123</v>
      </c>
      <c r="U104" s="18" t="s">
        <v>93</v>
      </c>
      <c r="V104" s="18" t="s">
        <v>94</v>
      </c>
      <c r="W104" s="19" t="s">
        <v>982</v>
      </c>
      <c r="X104" s="23" t="s">
        <v>96</v>
      </c>
      <c r="Y104" s="24"/>
    </row>
    <row r="105" customFormat="false" ht="75" hidden="false" customHeight="true" outlineLevel="0" collapsed="false">
      <c r="A105" s="18" t="n">
        <v>101</v>
      </c>
      <c r="B105" s="18" t="s">
        <v>354</v>
      </c>
      <c r="C105" s="18" t="s">
        <v>983</v>
      </c>
      <c r="D105" s="19" t="s">
        <v>984</v>
      </c>
      <c r="E105" s="19" t="s">
        <v>985</v>
      </c>
      <c r="F105" s="18" t="s">
        <v>36</v>
      </c>
      <c r="G105" s="27" t="s">
        <v>22</v>
      </c>
      <c r="H105" s="19" t="s">
        <v>986</v>
      </c>
      <c r="I105" s="19" t="s">
        <v>987</v>
      </c>
      <c r="J105" s="26" t="n">
        <v>1</v>
      </c>
      <c r="K105" s="18" t="s">
        <v>165</v>
      </c>
      <c r="L105" s="21" t="n">
        <v>2682.04</v>
      </c>
      <c r="M105" s="21" t="n">
        <v>2682.04</v>
      </c>
      <c r="N105" s="19" t="s">
        <v>988</v>
      </c>
      <c r="O105" s="21" t="n">
        <v>-457.84</v>
      </c>
      <c r="P105" s="21" t="n">
        <v>-4821.36</v>
      </c>
      <c r="Q105" s="22" t="n">
        <f aca="false">AVERAGE(O105:P105)</f>
        <v>-2639.6</v>
      </c>
      <c r="R105" s="19" t="s">
        <v>989</v>
      </c>
      <c r="S105" s="19" t="s">
        <v>990</v>
      </c>
      <c r="T105" s="18" t="s">
        <v>123</v>
      </c>
      <c r="U105" s="18" t="s">
        <v>124</v>
      </c>
      <c r="V105" s="18" t="s">
        <v>211</v>
      </c>
      <c r="W105" s="19" t="s">
        <v>991</v>
      </c>
      <c r="X105" s="23" t="s">
        <v>96</v>
      </c>
      <c r="Y105" s="24"/>
    </row>
    <row r="106" customFormat="false" ht="75" hidden="false" customHeight="true" outlineLevel="0" collapsed="false">
      <c r="A106" s="18" t="n">
        <v>102</v>
      </c>
      <c r="B106" s="18" t="s">
        <v>354</v>
      </c>
      <c r="C106" s="18" t="s">
        <v>992</v>
      </c>
      <c r="D106" s="19" t="s">
        <v>993</v>
      </c>
      <c r="E106" s="19" t="s">
        <v>994</v>
      </c>
      <c r="F106" s="18" t="s">
        <v>28</v>
      </c>
      <c r="G106" s="27" t="s">
        <v>22</v>
      </c>
      <c r="H106" s="19" t="s">
        <v>995</v>
      </c>
      <c r="I106" s="19" t="s">
        <v>996</v>
      </c>
      <c r="J106" s="19"/>
      <c r="K106" s="18"/>
      <c r="L106" s="19"/>
      <c r="M106" s="19"/>
      <c r="N106" s="19" t="s">
        <v>997</v>
      </c>
      <c r="O106" s="21" t="n">
        <v>3100</v>
      </c>
      <c r="P106" s="21" t="n">
        <v>7000</v>
      </c>
      <c r="Q106" s="22" t="n">
        <f aca="false">AVERAGE(O106:P106)</f>
        <v>5050</v>
      </c>
      <c r="R106" s="19" t="s">
        <v>998</v>
      </c>
      <c r="S106" s="19" t="s">
        <v>999</v>
      </c>
      <c r="T106" s="18" t="s">
        <v>304</v>
      </c>
      <c r="U106" s="18" t="s">
        <v>93</v>
      </c>
      <c r="V106" s="18" t="s">
        <v>211</v>
      </c>
      <c r="W106" s="19" t="s">
        <v>1000</v>
      </c>
      <c r="X106" s="23" t="s">
        <v>96</v>
      </c>
      <c r="Y106" s="24"/>
    </row>
    <row r="107" customFormat="false" ht="75" hidden="false" customHeight="true" outlineLevel="0" collapsed="false">
      <c r="A107" s="18" t="n">
        <v>103</v>
      </c>
      <c r="B107" s="18" t="s">
        <v>354</v>
      </c>
      <c r="C107" s="18" t="s">
        <v>1001</v>
      </c>
      <c r="D107" s="19" t="s">
        <v>1002</v>
      </c>
      <c r="E107" s="19" t="s">
        <v>1003</v>
      </c>
      <c r="F107" s="18" t="s">
        <v>30</v>
      </c>
      <c r="G107" s="27" t="s">
        <v>22</v>
      </c>
      <c r="H107" s="19" t="s">
        <v>1004</v>
      </c>
      <c r="I107" s="19" t="s">
        <v>1005</v>
      </c>
      <c r="J107" s="26" t="n">
        <v>1</v>
      </c>
      <c r="K107" s="18" t="s">
        <v>165</v>
      </c>
      <c r="L107" s="21" t="n">
        <v>100</v>
      </c>
      <c r="M107" s="21" t="n">
        <v>100</v>
      </c>
      <c r="N107" s="19" t="s">
        <v>1006</v>
      </c>
      <c r="O107" s="21" t="n">
        <v>1300</v>
      </c>
      <c r="P107" s="21" t="n">
        <v>3300</v>
      </c>
      <c r="Q107" s="22" t="n">
        <f aca="false">AVERAGE(O107:P107)</f>
        <v>2300</v>
      </c>
      <c r="R107" s="19" t="s">
        <v>1007</v>
      </c>
      <c r="S107" s="19" t="s">
        <v>1008</v>
      </c>
      <c r="T107" s="18" t="s">
        <v>92</v>
      </c>
      <c r="U107" s="18" t="s">
        <v>93</v>
      </c>
      <c r="V107" s="18" t="s">
        <v>94</v>
      </c>
      <c r="W107" s="19" t="s">
        <v>1009</v>
      </c>
      <c r="X107" s="23" t="s">
        <v>96</v>
      </c>
      <c r="Y107" s="24"/>
    </row>
    <row r="108" customFormat="false" ht="75" hidden="false" customHeight="true" outlineLevel="0" collapsed="false">
      <c r="A108" s="18" t="n">
        <v>104</v>
      </c>
      <c r="B108" s="18" t="s">
        <v>1010</v>
      </c>
      <c r="C108" s="18" t="s">
        <v>1010</v>
      </c>
      <c r="D108" s="19" t="s">
        <v>1011</v>
      </c>
      <c r="E108" s="19" t="s">
        <v>1012</v>
      </c>
      <c r="F108" s="18" t="s">
        <v>28</v>
      </c>
      <c r="G108" s="27" t="s">
        <v>22</v>
      </c>
      <c r="H108" s="19" t="s">
        <v>1013</v>
      </c>
      <c r="I108" s="19" t="s">
        <v>1014</v>
      </c>
      <c r="J108" s="19"/>
      <c r="K108" s="18"/>
      <c r="L108" s="19"/>
      <c r="M108" s="21" t="n">
        <v>9863.68</v>
      </c>
      <c r="N108" s="19" t="s">
        <v>1015</v>
      </c>
      <c r="O108" s="21" t="n">
        <v>400</v>
      </c>
      <c r="P108" s="21" t="n">
        <v>900</v>
      </c>
      <c r="Q108" s="22" t="n">
        <f aca="false">AVERAGE(O108:P108)</f>
        <v>650</v>
      </c>
      <c r="R108" s="19" t="s">
        <v>1016</v>
      </c>
      <c r="S108" s="19" t="s">
        <v>1017</v>
      </c>
      <c r="T108" s="18" t="s">
        <v>123</v>
      </c>
      <c r="U108" s="18" t="s">
        <v>93</v>
      </c>
      <c r="V108" s="18" t="s">
        <v>94</v>
      </c>
      <c r="W108" s="19" t="s">
        <v>1018</v>
      </c>
      <c r="X108" s="23" t="s">
        <v>96</v>
      </c>
      <c r="Y108" s="24"/>
    </row>
    <row r="109" customFormat="false" ht="75" hidden="false" customHeight="true" outlineLevel="0" collapsed="false">
      <c r="A109" s="18" t="n">
        <v>105</v>
      </c>
      <c r="B109" s="18" t="s">
        <v>1010</v>
      </c>
      <c r="C109" s="18" t="s">
        <v>1019</v>
      </c>
      <c r="D109" s="19" t="s">
        <v>1020</v>
      </c>
      <c r="E109" s="19" t="s">
        <v>1021</v>
      </c>
      <c r="F109" s="18" t="s">
        <v>28</v>
      </c>
      <c r="G109" s="27" t="s">
        <v>22</v>
      </c>
      <c r="H109" s="19" t="s">
        <v>1022</v>
      </c>
      <c r="I109" s="19" t="s">
        <v>1023</v>
      </c>
      <c r="J109" s="19"/>
      <c r="K109" s="18"/>
      <c r="L109" s="19"/>
      <c r="M109" s="19"/>
      <c r="N109" s="19" t="s">
        <v>1024</v>
      </c>
      <c r="O109" s="21" t="n">
        <v>2200</v>
      </c>
      <c r="P109" s="21" t="n">
        <v>5400</v>
      </c>
      <c r="Q109" s="22" t="n">
        <f aca="false">AVERAGE(O109:P109)</f>
        <v>3800</v>
      </c>
      <c r="R109" s="19" t="s">
        <v>1025</v>
      </c>
      <c r="S109" s="19" t="s">
        <v>1026</v>
      </c>
      <c r="T109" s="18" t="s">
        <v>304</v>
      </c>
      <c r="U109" s="18" t="s">
        <v>93</v>
      </c>
      <c r="V109" s="18" t="s">
        <v>94</v>
      </c>
      <c r="W109" s="19" t="s">
        <v>1027</v>
      </c>
      <c r="X109" s="23" t="s">
        <v>96</v>
      </c>
      <c r="Y109" s="24"/>
    </row>
    <row r="110" customFormat="false" ht="75" hidden="false" customHeight="true" outlineLevel="0" collapsed="false">
      <c r="A110" s="18" t="n">
        <v>106</v>
      </c>
      <c r="B110" s="18" t="s">
        <v>1028</v>
      </c>
      <c r="C110" s="18" t="s">
        <v>1028</v>
      </c>
      <c r="D110" s="19" t="s">
        <v>1029</v>
      </c>
      <c r="E110" s="19" t="s">
        <v>1030</v>
      </c>
      <c r="F110" s="18" t="s">
        <v>28</v>
      </c>
      <c r="G110" s="27" t="s">
        <v>22</v>
      </c>
      <c r="H110" s="19" t="s">
        <v>1031</v>
      </c>
      <c r="I110" s="19" t="s">
        <v>1032</v>
      </c>
      <c r="J110" s="19"/>
      <c r="K110" s="18"/>
      <c r="L110" s="19"/>
      <c r="M110" s="21" t="n">
        <v>2885.06</v>
      </c>
      <c r="N110" s="19" t="s">
        <v>1033</v>
      </c>
      <c r="O110" s="21" t="n">
        <v>0</v>
      </c>
      <c r="P110" s="21" t="n">
        <v>0</v>
      </c>
      <c r="Q110" s="22" t="n">
        <f aca="false">AVERAGE(O110:P110)</f>
        <v>0</v>
      </c>
      <c r="R110" s="19" t="s">
        <v>1034</v>
      </c>
      <c r="S110" s="19" t="s">
        <v>1035</v>
      </c>
      <c r="T110" s="18" t="s">
        <v>123</v>
      </c>
      <c r="U110" s="18" t="s">
        <v>93</v>
      </c>
      <c r="V110" s="18" t="s">
        <v>94</v>
      </c>
      <c r="W110" s="19" t="s">
        <v>1036</v>
      </c>
      <c r="X110" s="23" t="s">
        <v>96</v>
      </c>
      <c r="Y110" s="24"/>
    </row>
    <row r="111" customFormat="false" ht="75" hidden="false" customHeight="true" outlineLevel="0" collapsed="false">
      <c r="A111" s="18" t="n">
        <v>107</v>
      </c>
      <c r="B111" s="18" t="s">
        <v>1028</v>
      </c>
      <c r="C111" s="18" t="s">
        <v>1037</v>
      </c>
      <c r="D111" s="19" t="s">
        <v>1038</v>
      </c>
      <c r="E111" s="19" t="s">
        <v>1039</v>
      </c>
      <c r="F111" s="18" t="s">
        <v>28</v>
      </c>
      <c r="G111" s="27" t="s">
        <v>22</v>
      </c>
      <c r="H111" s="19" t="s">
        <v>1040</v>
      </c>
      <c r="I111" s="19" t="s">
        <v>1041</v>
      </c>
      <c r="J111" s="19"/>
      <c r="K111" s="18"/>
      <c r="L111" s="19"/>
      <c r="M111" s="19"/>
      <c r="N111" s="19" t="s">
        <v>1042</v>
      </c>
      <c r="O111" s="21" t="n">
        <v>641.36</v>
      </c>
      <c r="P111" s="21" t="n">
        <v>1622.04</v>
      </c>
      <c r="Q111" s="22" t="n">
        <f aca="false">AVERAGE(O111:P111)</f>
        <v>1131.7</v>
      </c>
      <c r="R111" s="19" t="s">
        <v>1043</v>
      </c>
      <c r="S111" s="19" t="s">
        <v>1044</v>
      </c>
      <c r="T111" s="18" t="s">
        <v>123</v>
      </c>
      <c r="U111" s="18" t="s">
        <v>93</v>
      </c>
      <c r="V111" s="18" t="s">
        <v>94</v>
      </c>
      <c r="W111" s="19" t="s">
        <v>1045</v>
      </c>
      <c r="X111" s="23" t="s">
        <v>96</v>
      </c>
      <c r="Y111" s="24"/>
    </row>
    <row r="112" customFormat="false" ht="75" hidden="false" customHeight="true" outlineLevel="0" collapsed="false">
      <c r="A112" s="18" t="n">
        <v>108</v>
      </c>
      <c r="B112" s="18" t="s">
        <v>1046</v>
      </c>
      <c r="C112" s="18" t="s">
        <v>1047</v>
      </c>
      <c r="D112" s="19" t="s">
        <v>1048</v>
      </c>
      <c r="E112" s="19" t="s">
        <v>1049</v>
      </c>
      <c r="F112" s="18" t="s">
        <v>30</v>
      </c>
      <c r="G112" s="27" t="s">
        <v>22</v>
      </c>
      <c r="H112" s="19" t="s">
        <v>1050</v>
      </c>
      <c r="I112" s="19" t="s">
        <v>1051</v>
      </c>
      <c r="J112" s="26" t="n">
        <v>6</v>
      </c>
      <c r="K112" s="18" t="s">
        <v>165</v>
      </c>
      <c r="L112" s="21" t="n">
        <v>236.22</v>
      </c>
      <c r="M112" s="21" t="n">
        <v>1417.32</v>
      </c>
      <c r="N112" s="19" t="s">
        <v>1052</v>
      </c>
      <c r="O112" s="21" t="n">
        <v>982.68</v>
      </c>
      <c r="P112" s="21" t="n">
        <v>3982.68</v>
      </c>
      <c r="Q112" s="22" t="n">
        <f aca="false">AVERAGE(O112:P112)</f>
        <v>2482.68</v>
      </c>
      <c r="R112" s="19" t="s">
        <v>1053</v>
      </c>
      <c r="S112" s="19" t="s">
        <v>1054</v>
      </c>
      <c r="T112" s="18" t="s">
        <v>92</v>
      </c>
      <c r="U112" s="18" t="s">
        <v>124</v>
      </c>
      <c r="V112" s="18" t="s">
        <v>211</v>
      </c>
      <c r="W112" s="19" t="s">
        <v>1055</v>
      </c>
      <c r="X112" s="23" t="s">
        <v>96</v>
      </c>
      <c r="Y112" s="24"/>
    </row>
    <row r="113" customFormat="false" ht="75" hidden="false" customHeight="true" outlineLevel="0" collapsed="false">
      <c r="A113" s="18" t="n">
        <v>109</v>
      </c>
      <c r="B113" s="18" t="s">
        <v>1046</v>
      </c>
      <c r="C113" s="18" t="s">
        <v>1056</v>
      </c>
      <c r="D113" s="19" t="s">
        <v>1057</v>
      </c>
      <c r="E113" s="19" t="s">
        <v>1058</v>
      </c>
      <c r="F113" s="18" t="s">
        <v>37</v>
      </c>
      <c r="G113" s="27" t="s">
        <v>22</v>
      </c>
      <c r="H113" s="19" t="s">
        <v>1059</v>
      </c>
      <c r="I113" s="19" t="s">
        <v>1060</v>
      </c>
      <c r="J113" s="26" t="n">
        <v>7</v>
      </c>
      <c r="K113" s="18" t="s">
        <v>165</v>
      </c>
      <c r="L113" s="21" t="n">
        <v>41.27</v>
      </c>
      <c r="M113" s="21" t="n">
        <v>288.89</v>
      </c>
      <c r="N113" s="19" t="s">
        <v>1061</v>
      </c>
      <c r="O113" s="21" t="n">
        <v>0</v>
      </c>
      <c r="P113" s="21" t="n">
        <v>600</v>
      </c>
      <c r="Q113" s="22" t="n">
        <f aca="false">AVERAGE(O113:P113)</f>
        <v>300</v>
      </c>
      <c r="R113" s="19" t="s">
        <v>1062</v>
      </c>
      <c r="S113" s="19" t="s">
        <v>1063</v>
      </c>
      <c r="T113" s="18" t="s">
        <v>123</v>
      </c>
      <c r="U113" s="18" t="s">
        <v>93</v>
      </c>
      <c r="V113" s="18" t="s">
        <v>94</v>
      </c>
      <c r="W113" s="19" t="s">
        <v>1064</v>
      </c>
      <c r="X113" s="23" t="s">
        <v>96</v>
      </c>
      <c r="Y113" s="24"/>
    </row>
    <row r="114" customFormat="false" ht="75" hidden="false" customHeight="true" outlineLevel="0" collapsed="false">
      <c r="A114" s="18" t="n">
        <v>110</v>
      </c>
      <c r="B114" s="18" t="s">
        <v>1046</v>
      </c>
      <c r="C114" s="18" t="s">
        <v>1065</v>
      </c>
      <c r="D114" s="19" t="s">
        <v>1066</v>
      </c>
      <c r="E114" s="19" t="s">
        <v>1067</v>
      </c>
      <c r="F114" s="18" t="s">
        <v>37</v>
      </c>
      <c r="G114" s="27" t="s">
        <v>22</v>
      </c>
      <c r="H114" s="19" t="s">
        <v>1068</v>
      </c>
      <c r="I114" s="19" t="s">
        <v>1069</v>
      </c>
      <c r="J114" s="19"/>
      <c r="K114" s="18"/>
      <c r="L114" s="19"/>
      <c r="M114" s="19"/>
      <c r="N114" s="19" t="s">
        <v>1070</v>
      </c>
      <c r="O114" s="21" t="n">
        <v>0</v>
      </c>
      <c r="P114" s="21" t="n">
        <v>1349.18</v>
      </c>
      <c r="Q114" s="22" t="n">
        <f aca="false">AVERAGE(O114:P114)</f>
        <v>674.59</v>
      </c>
      <c r="R114" s="19" t="s">
        <v>1071</v>
      </c>
      <c r="S114" s="19" t="s">
        <v>1072</v>
      </c>
      <c r="T114" s="18" t="s">
        <v>123</v>
      </c>
      <c r="U114" s="18" t="s">
        <v>124</v>
      </c>
      <c r="V114" s="18" t="s">
        <v>94</v>
      </c>
      <c r="W114" s="19" t="s">
        <v>1073</v>
      </c>
      <c r="X114" s="23" t="s">
        <v>96</v>
      </c>
      <c r="Y114" s="24"/>
    </row>
    <row r="115" customFormat="false" ht="75" hidden="false" customHeight="true" outlineLevel="0" collapsed="false">
      <c r="A115" s="18" t="n">
        <v>111</v>
      </c>
      <c r="B115" s="18" t="s">
        <v>1046</v>
      </c>
      <c r="C115" s="18" t="s">
        <v>1074</v>
      </c>
      <c r="D115" s="19" t="s">
        <v>1075</v>
      </c>
      <c r="E115" s="19" t="s">
        <v>1076</v>
      </c>
      <c r="F115" s="18" t="s">
        <v>29</v>
      </c>
      <c r="G115" s="27" t="s">
        <v>22</v>
      </c>
      <c r="H115" s="19" t="s">
        <v>1077</v>
      </c>
      <c r="I115" s="19" t="s">
        <v>1078</v>
      </c>
      <c r="J115" s="26" t="n">
        <v>1</v>
      </c>
      <c r="K115" s="18" t="s">
        <v>165</v>
      </c>
      <c r="L115" s="21" t="n">
        <v>1632.31</v>
      </c>
      <c r="M115" s="21" t="n">
        <v>1632.31</v>
      </c>
      <c r="N115" s="19" t="s">
        <v>1079</v>
      </c>
      <c r="O115" s="21" t="n">
        <v>-513.7</v>
      </c>
      <c r="P115" s="21" t="n">
        <v>-1632.31</v>
      </c>
      <c r="Q115" s="22" t="n">
        <f aca="false">AVERAGE(O115:P115)</f>
        <v>-1073.005</v>
      </c>
      <c r="R115" s="19" t="s">
        <v>1080</v>
      </c>
      <c r="S115" s="19" t="s">
        <v>1081</v>
      </c>
      <c r="T115" s="18" t="s">
        <v>123</v>
      </c>
      <c r="U115" s="18" t="s">
        <v>93</v>
      </c>
      <c r="V115" s="18" t="s">
        <v>211</v>
      </c>
      <c r="W115" s="19" t="s">
        <v>1082</v>
      </c>
      <c r="X115" s="23" t="s">
        <v>96</v>
      </c>
      <c r="Y115" s="24"/>
    </row>
    <row r="116" customFormat="false" ht="75" hidden="false" customHeight="true" outlineLevel="0" collapsed="false">
      <c r="A116" s="18" t="n">
        <v>112</v>
      </c>
      <c r="B116" s="18" t="s">
        <v>1083</v>
      </c>
      <c r="C116" s="18" t="s">
        <v>1084</v>
      </c>
      <c r="D116" s="19" t="s">
        <v>1085</v>
      </c>
      <c r="E116" s="19" t="s">
        <v>1086</v>
      </c>
      <c r="F116" s="18" t="s">
        <v>37</v>
      </c>
      <c r="G116" s="27" t="s">
        <v>22</v>
      </c>
      <c r="H116" s="19" t="s">
        <v>1087</v>
      </c>
      <c r="I116" s="19" t="s">
        <v>1088</v>
      </c>
      <c r="J116" s="19"/>
      <c r="K116" s="18"/>
      <c r="L116" s="19"/>
      <c r="M116" s="19"/>
      <c r="N116" s="19" t="s">
        <v>1089</v>
      </c>
      <c r="O116" s="21" t="n">
        <v>0</v>
      </c>
      <c r="P116" s="21" t="n">
        <v>0</v>
      </c>
      <c r="Q116" s="22" t="n">
        <f aca="false">AVERAGE(O116:P116)</f>
        <v>0</v>
      </c>
      <c r="R116" s="19" t="s">
        <v>1090</v>
      </c>
      <c r="S116" s="19" t="s">
        <v>1091</v>
      </c>
      <c r="T116" s="18" t="s">
        <v>123</v>
      </c>
      <c r="U116" s="18" t="s">
        <v>93</v>
      </c>
      <c r="V116" s="18" t="s">
        <v>211</v>
      </c>
      <c r="W116" s="19" t="s">
        <v>1092</v>
      </c>
      <c r="X116" s="23" t="s">
        <v>96</v>
      </c>
      <c r="Y116" s="24"/>
    </row>
    <row r="117" customFormat="false" ht="75" hidden="false" customHeight="true" outlineLevel="0" collapsed="false">
      <c r="A117" s="18" t="n">
        <v>113</v>
      </c>
      <c r="B117" s="18" t="s">
        <v>1083</v>
      </c>
      <c r="C117" s="18" t="s">
        <v>1093</v>
      </c>
      <c r="D117" s="19" t="s">
        <v>1094</v>
      </c>
      <c r="E117" s="19" t="s">
        <v>1095</v>
      </c>
      <c r="F117" s="18" t="s">
        <v>33</v>
      </c>
      <c r="G117" s="27" t="s">
        <v>22</v>
      </c>
      <c r="H117" s="19" t="s">
        <v>1096</v>
      </c>
      <c r="I117" s="19" t="s">
        <v>1097</v>
      </c>
      <c r="J117" s="26" t="n">
        <v>1</v>
      </c>
      <c r="K117" s="18" t="s">
        <v>165</v>
      </c>
      <c r="L117" s="21" t="n">
        <v>1313.81</v>
      </c>
      <c r="M117" s="21" t="n">
        <v>1313.81</v>
      </c>
      <c r="N117" s="19" t="s">
        <v>1098</v>
      </c>
      <c r="O117" s="21" t="n">
        <v>0</v>
      </c>
      <c r="P117" s="21" t="n">
        <v>-2627.62</v>
      </c>
      <c r="Q117" s="22" t="n">
        <f aca="false">AVERAGE(O117:P117)</f>
        <v>-1313.81</v>
      </c>
      <c r="R117" s="19" t="s">
        <v>1099</v>
      </c>
      <c r="S117" s="19" t="s">
        <v>1100</v>
      </c>
      <c r="T117" s="18" t="s">
        <v>123</v>
      </c>
      <c r="U117" s="18" t="s">
        <v>93</v>
      </c>
      <c r="V117" s="18" t="s">
        <v>94</v>
      </c>
      <c r="W117" s="19" t="s">
        <v>1101</v>
      </c>
      <c r="X117" s="23" t="s">
        <v>96</v>
      </c>
      <c r="Y117" s="24"/>
    </row>
    <row r="118" customFormat="false" ht="75" hidden="false" customHeight="true" outlineLevel="0" collapsed="false">
      <c r="A118" s="18" t="n">
        <v>114</v>
      </c>
      <c r="B118" s="18" t="s">
        <v>390</v>
      </c>
      <c r="C118" s="18" t="s">
        <v>391</v>
      </c>
      <c r="D118" s="19" t="s">
        <v>1102</v>
      </c>
      <c r="E118" s="19" t="s">
        <v>1103</v>
      </c>
      <c r="F118" s="18" t="s">
        <v>28</v>
      </c>
      <c r="G118" s="27" t="s">
        <v>22</v>
      </c>
      <c r="H118" s="19" t="s">
        <v>1104</v>
      </c>
      <c r="I118" s="19" t="s">
        <v>1105</v>
      </c>
      <c r="J118" s="19"/>
      <c r="K118" s="18"/>
      <c r="L118" s="19"/>
      <c r="M118" s="19"/>
      <c r="N118" s="19" t="s">
        <v>1106</v>
      </c>
      <c r="O118" s="21" t="n">
        <v>3000</v>
      </c>
      <c r="P118" s="21" t="n">
        <v>6000</v>
      </c>
      <c r="Q118" s="22" t="n">
        <f aca="false">AVERAGE(O118:P118)</f>
        <v>4500</v>
      </c>
      <c r="R118" s="19" t="s">
        <v>1107</v>
      </c>
      <c r="S118" s="19" t="s">
        <v>1108</v>
      </c>
      <c r="T118" s="18" t="s">
        <v>123</v>
      </c>
      <c r="U118" s="18" t="s">
        <v>93</v>
      </c>
      <c r="V118" s="18" t="s">
        <v>94</v>
      </c>
      <c r="W118" s="19" t="s">
        <v>1109</v>
      </c>
      <c r="X118" s="23" t="s">
        <v>96</v>
      </c>
      <c r="Y118" s="24"/>
    </row>
    <row r="119" customFormat="false" ht="75" hidden="false" customHeight="true" outlineLevel="0" collapsed="false">
      <c r="A119" s="18" t="n">
        <v>115</v>
      </c>
      <c r="B119" s="18" t="s">
        <v>390</v>
      </c>
      <c r="C119" s="18" t="s">
        <v>1110</v>
      </c>
      <c r="D119" s="19" t="s">
        <v>1111</v>
      </c>
      <c r="E119" s="19" t="s">
        <v>1112</v>
      </c>
      <c r="F119" s="18" t="s">
        <v>32</v>
      </c>
      <c r="G119" s="27" t="s">
        <v>22</v>
      </c>
      <c r="H119" s="19" t="s">
        <v>1113</v>
      </c>
      <c r="I119" s="19" t="s">
        <v>1114</v>
      </c>
      <c r="J119" s="26" t="n">
        <v>146</v>
      </c>
      <c r="K119" s="18" t="s">
        <v>138</v>
      </c>
      <c r="L119" s="21" t="n">
        <v>16</v>
      </c>
      <c r="M119" s="21" t="n">
        <v>2336</v>
      </c>
      <c r="N119" s="19" t="s">
        <v>1115</v>
      </c>
      <c r="O119" s="21" t="n">
        <v>446</v>
      </c>
      <c r="P119" s="21" t="n">
        <v>2616</v>
      </c>
      <c r="Q119" s="22" t="n">
        <f aca="false">AVERAGE(O119:P119)</f>
        <v>1531</v>
      </c>
      <c r="R119" s="19" t="s">
        <v>1116</v>
      </c>
      <c r="S119" s="19" t="s">
        <v>1117</v>
      </c>
      <c r="T119" s="18" t="s">
        <v>123</v>
      </c>
      <c r="U119" s="18" t="s">
        <v>93</v>
      </c>
      <c r="V119" s="18" t="s">
        <v>94</v>
      </c>
      <c r="W119" s="19" t="s">
        <v>1118</v>
      </c>
      <c r="X119" s="23" t="s">
        <v>96</v>
      </c>
      <c r="Y119" s="24"/>
    </row>
    <row r="120" customFormat="false" ht="75" hidden="false" customHeight="true" outlineLevel="0" collapsed="false">
      <c r="A120" s="18" t="n">
        <v>116</v>
      </c>
      <c r="B120" s="18" t="s">
        <v>390</v>
      </c>
      <c r="C120" s="18" t="s">
        <v>1119</v>
      </c>
      <c r="D120" s="19" t="s">
        <v>1120</v>
      </c>
      <c r="E120" s="19" t="s">
        <v>1121</v>
      </c>
      <c r="F120" s="18" t="s">
        <v>30</v>
      </c>
      <c r="G120" s="27" t="s">
        <v>22</v>
      </c>
      <c r="H120" s="19" t="s">
        <v>1122</v>
      </c>
      <c r="I120" s="19" t="s">
        <v>1123</v>
      </c>
      <c r="J120" s="26" t="n">
        <v>15</v>
      </c>
      <c r="K120" s="18" t="s">
        <v>165</v>
      </c>
      <c r="L120" s="21" t="n">
        <v>120</v>
      </c>
      <c r="M120" s="21" t="n">
        <v>1800</v>
      </c>
      <c r="N120" s="19" t="s">
        <v>1124</v>
      </c>
      <c r="O120" s="21" t="n">
        <v>4840</v>
      </c>
      <c r="P120" s="21" t="n">
        <v>15820</v>
      </c>
      <c r="Q120" s="22" t="n">
        <f aca="false">AVERAGE(O120:P120)</f>
        <v>10330</v>
      </c>
      <c r="R120" s="19" t="s">
        <v>1125</v>
      </c>
      <c r="S120" s="19" t="s">
        <v>1126</v>
      </c>
      <c r="T120" s="18" t="s">
        <v>92</v>
      </c>
      <c r="U120" s="18" t="s">
        <v>93</v>
      </c>
      <c r="V120" s="18" t="s">
        <v>211</v>
      </c>
      <c r="W120" s="19" t="s">
        <v>1127</v>
      </c>
      <c r="X120" s="23" t="s">
        <v>96</v>
      </c>
      <c r="Y120" s="24"/>
    </row>
    <row r="121" customFormat="false" ht="75" hidden="false" customHeight="true" outlineLevel="0" collapsed="false">
      <c r="A121" s="18" t="n">
        <v>117</v>
      </c>
      <c r="B121" s="18" t="s">
        <v>400</v>
      </c>
      <c r="C121" s="18" t="s">
        <v>1128</v>
      </c>
      <c r="D121" s="19" t="s">
        <v>1129</v>
      </c>
      <c r="E121" s="19" t="s">
        <v>1130</v>
      </c>
      <c r="F121" s="18" t="s">
        <v>28</v>
      </c>
      <c r="G121" s="27" t="s">
        <v>22</v>
      </c>
      <c r="H121" s="19" t="s">
        <v>1131</v>
      </c>
      <c r="I121" s="19" t="s">
        <v>1132</v>
      </c>
      <c r="J121" s="19"/>
      <c r="K121" s="18"/>
      <c r="L121" s="19"/>
      <c r="M121" s="19"/>
      <c r="N121" s="19" t="s">
        <v>1133</v>
      </c>
      <c r="O121" s="21" t="n">
        <v>4500</v>
      </c>
      <c r="P121" s="21" t="n">
        <v>9000</v>
      </c>
      <c r="Q121" s="22" t="n">
        <f aca="false">AVERAGE(O121:P121)</f>
        <v>6750</v>
      </c>
      <c r="R121" s="19" t="s">
        <v>1134</v>
      </c>
      <c r="S121" s="19" t="s">
        <v>1135</v>
      </c>
      <c r="T121" s="18" t="s">
        <v>123</v>
      </c>
      <c r="U121" s="18" t="s">
        <v>124</v>
      </c>
      <c r="V121" s="18" t="s">
        <v>211</v>
      </c>
      <c r="W121" s="19" t="s">
        <v>1136</v>
      </c>
      <c r="X121" s="23" t="s">
        <v>96</v>
      </c>
      <c r="Y121" s="24"/>
    </row>
    <row r="122" customFormat="false" ht="75" hidden="false" customHeight="true" outlineLevel="0" collapsed="false">
      <c r="A122" s="18" t="n">
        <v>118</v>
      </c>
      <c r="B122" s="18" t="s">
        <v>424</v>
      </c>
      <c r="C122" s="18" t="s">
        <v>1137</v>
      </c>
      <c r="D122" s="19" t="s">
        <v>1138</v>
      </c>
      <c r="E122" s="19" t="s">
        <v>1139</v>
      </c>
      <c r="F122" s="18" t="s">
        <v>28</v>
      </c>
      <c r="G122" s="28" t="s">
        <v>23</v>
      </c>
      <c r="H122" s="19" t="s">
        <v>1140</v>
      </c>
      <c r="I122" s="19" t="s">
        <v>1141</v>
      </c>
      <c r="J122" s="19"/>
      <c r="K122" s="18"/>
      <c r="L122" s="19"/>
      <c r="M122" s="19"/>
      <c r="N122" s="19" t="s">
        <v>1142</v>
      </c>
      <c r="O122" s="21" t="n">
        <v>0</v>
      </c>
      <c r="P122" s="21" t="n">
        <v>3000</v>
      </c>
      <c r="Q122" s="22" t="n">
        <f aca="false">AVERAGE(O122:P122)</f>
        <v>1500</v>
      </c>
      <c r="R122" s="19" t="s">
        <v>1143</v>
      </c>
      <c r="S122" s="19" t="s">
        <v>1144</v>
      </c>
      <c r="T122" s="18" t="s">
        <v>304</v>
      </c>
      <c r="U122" s="18" t="s">
        <v>93</v>
      </c>
      <c r="V122" s="18" t="s">
        <v>211</v>
      </c>
      <c r="W122" s="19" t="s">
        <v>1145</v>
      </c>
      <c r="X122" s="23" t="s">
        <v>96</v>
      </c>
      <c r="Y122" s="24"/>
    </row>
    <row r="123" customFormat="false" ht="75" hidden="false" customHeight="true" outlineLevel="0" collapsed="false">
      <c r="A123" s="18" t="n">
        <v>119</v>
      </c>
      <c r="B123" s="18" t="s">
        <v>424</v>
      </c>
      <c r="C123" s="18" t="s">
        <v>426</v>
      </c>
      <c r="D123" s="19" t="s">
        <v>425</v>
      </c>
      <c r="E123" s="19" t="s">
        <v>1146</v>
      </c>
      <c r="F123" s="18" t="s">
        <v>37</v>
      </c>
      <c r="G123" s="28" t="s">
        <v>23</v>
      </c>
      <c r="H123" s="19" t="s">
        <v>1147</v>
      </c>
      <c r="I123" s="19" t="s">
        <v>1148</v>
      </c>
      <c r="J123" s="26" t="n">
        <v>1</v>
      </c>
      <c r="K123" s="18" t="s">
        <v>165</v>
      </c>
      <c r="L123" s="21" t="n">
        <v>265185</v>
      </c>
      <c r="M123" s="21" t="n">
        <v>265185</v>
      </c>
      <c r="N123" s="19" t="s">
        <v>1149</v>
      </c>
      <c r="O123" s="21" t="n">
        <v>0</v>
      </c>
      <c r="P123" s="21" t="n">
        <v>0</v>
      </c>
      <c r="Q123" s="22" t="n">
        <f aca="false">AVERAGE(O123:P123)</f>
        <v>0</v>
      </c>
      <c r="R123" s="19" t="s">
        <v>1150</v>
      </c>
      <c r="S123" s="19" t="s">
        <v>1151</v>
      </c>
      <c r="T123" s="18" t="s">
        <v>123</v>
      </c>
      <c r="U123" s="18" t="s">
        <v>93</v>
      </c>
      <c r="V123" s="18" t="s">
        <v>94</v>
      </c>
      <c r="W123" s="19" t="s">
        <v>1152</v>
      </c>
      <c r="X123" s="23" t="s">
        <v>96</v>
      </c>
      <c r="Y123" s="24"/>
    </row>
    <row r="124" customFormat="false" ht="75" hidden="false" customHeight="true" outlineLevel="0" collapsed="false">
      <c r="A124" s="18" t="n">
        <v>120</v>
      </c>
      <c r="B124" s="18" t="s">
        <v>113</v>
      </c>
      <c r="C124" s="18" t="s">
        <v>113</v>
      </c>
      <c r="D124" s="19" t="s">
        <v>1153</v>
      </c>
      <c r="E124" s="19" t="s">
        <v>1154</v>
      </c>
      <c r="F124" s="18" t="s">
        <v>27</v>
      </c>
      <c r="G124" s="28" t="s">
        <v>23</v>
      </c>
      <c r="H124" s="19" t="s">
        <v>1155</v>
      </c>
      <c r="I124" s="19" t="s">
        <v>1156</v>
      </c>
      <c r="J124" s="19"/>
      <c r="K124" s="18"/>
      <c r="L124" s="19"/>
      <c r="M124" s="21" t="n">
        <v>1651924.53</v>
      </c>
      <c r="N124" s="19" t="s">
        <v>1157</v>
      </c>
      <c r="O124" s="21" t="n">
        <v>-1.85</v>
      </c>
      <c r="P124" s="21" t="n">
        <v>-1.85</v>
      </c>
      <c r="Q124" s="22" t="n">
        <f aca="false">AVERAGE(O124:P124)</f>
        <v>-1.85</v>
      </c>
      <c r="R124" s="19" t="s">
        <v>1158</v>
      </c>
      <c r="S124" s="19" t="s">
        <v>1159</v>
      </c>
      <c r="T124" s="18" t="s">
        <v>92</v>
      </c>
      <c r="U124" s="18" t="s">
        <v>124</v>
      </c>
      <c r="V124" s="18" t="s">
        <v>94</v>
      </c>
      <c r="W124" s="19" t="s">
        <v>1160</v>
      </c>
      <c r="X124" s="23" t="s">
        <v>96</v>
      </c>
      <c r="Y124" s="24"/>
    </row>
    <row r="125" customFormat="false" ht="75" hidden="false" customHeight="true" outlineLevel="0" collapsed="false">
      <c r="A125" s="18" t="n">
        <v>121</v>
      </c>
      <c r="B125" s="18" t="s">
        <v>113</v>
      </c>
      <c r="C125" s="18" t="s">
        <v>1161</v>
      </c>
      <c r="D125" s="19"/>
      <c r="E125" s="19" t="s">
        <v>1162</v>
      </c>
      <c r="F125" s="18" t="s">
        <v>30</v>
      </c>
      <c r="G125" s="28" t="s">
        <v>23</v>
      </c>
      <c r="H125" s="19" t="s">
        <v>1163</v>
      </c>
      <c r="I125" s="19" t="s">
        <v>1164</v>
      </c>
      <c r="J125" s="26" t="n">
        <v>72.14</v>
      </c>
      <c r="K125" s="18" t="s">
        <v>138</v>
      </c>
      <c r="L125" s="21" t="n">
        <v>25</v>
      </c>
      <c r="M125" s="21" t="n">
        <v>1803.5</v>
      </c>
      <c r="N125" s="19" t="s">
        <v>1165</v>
      </c>
      <c r="O125" s="21" t="n">
        <v>360.7</v>
      </c>
      <c r="P125" s="21" t="n">
        <v>937.82</v>
      </c>
      <c r="Q125" s="22" t="n">
        <f aca="false">AVERAGE(O125:P125)</f>
        <v>649.26</v>
      </c>
      <c r="R125" s="19" t="s">
        <v>1166</v>
      </c>
      <c r="S125" s="19" t="s">
        <v>1167</v>
      </c>
      <c r="T125" s="18" t="s">
        <v>92</v>
      </c>
      <c r="U125" s="18" t="s">
        <v>93</v>
      </c>
      <c r="V125" s="18" t="s">
        <v>94</v>
      </c>
      <c r="W125" s="19" t="s">
        <v>1168</v>
      </c>
      <c r="X125" s="23" t="s">
        <v>96</v>
      </c>
      <c r="Y125" s="24"/>
    </row>
    <row r="126" customFormat="false" ht="75" hidden="false" customHeight="true" outlineLevel="0" collapsed="false">
      <c r="A126" s="18" t="n">
        <v>122</v>
      </c>
      <c r="B126" s="18" t="s">
        <v>113</v>
      </c>
      <c r="C126" s="18" t="s">
        <v>1161</v>
      </c>
      <c r="D126" s="19"/>
      <c r="E126" s="19" t="s">
        <v>1162</v>
      </c>
      <c r="F126" s="18" t="s">
        <v>34</v>
      </c>
      <c r="G126" s="28" t="s">
        <v>23</v>
      </c>
      <c r="H126" s="19" t="s">
        <v>1169</v>
      </c>
      <c r="I126" s="19" t="s">
        <v>1170</v>
      </c>
      <c r="J126" s="26" t="n">
        <v>72.14</v>
      </c>
      <c r="K126" s="18" t="s">
        <v>138</v>
      </c>
      <c r="L126" s="21" t="n">
        <v>25</v>
      </c>
      <c r="M126" s="21" t="n">
        <v>1803.5</v>
      </c>
      <c r="N126" s="19" t="s">
        <v>1171</v>
      </c>
      <c r="O126" s="21" t="n">
        <v>0</v>
      </c>
      <c r="P126" s="21" t="n">
        <v>0</v>
      </c>
      <c r="Q126" s="22" t="n">
        <f aca="false">AVERAGE(O126:P126)</f>
        <v>0</v>
      </c>
      <c r="R126" s="19" t="s">
        <v>1172</v>
      </c>
      <c r="S126" s="19" t="s">
        <v>1173</v>
      </c>
      <c r="T126" s="18" t="s">
        <v>123</v>
      </c>
      <c r="U126" s="18" t="s">
        <v>124</v>
      </c>
      <c r="V126" s="18" t="s">
        <v>94</v>
      </c>
      <c r="W126" s="19" t="s">
        <v>1174</v>
      </c>
      <c r="X126" s="23" t="s">
        <v>96</v>
      </c>
      <c r="Y126" s="24"/>
    </row>
    <row r="127" customFormat="false" ht="75" hidden="false" customHeight="true" outlineLevel="0" collapsed="false">
      <c r="A127" s="18" t="n">
        <v>123</v>
      </c>
      <c r="B127" s="18" t="s">
        <v>113</v>
      </c>
      <c r="C127" s="18" t="s">
        <v>1175</v>
      </c>
      <c r="D127" s="19" t="s">
        <v>487</v>
      </c>
      <c r="E127" s="19" t="s">
        <v>1176</v>
      </c>
      <c r="F127" s="18" t="s">
        <v>28</v>
      </c>
      <c r="G127" s="28" t="s">
        <v>23</v>
      </c>
      <c r="H127" s="19" t="s">
        <v>1177</v>
      </c>
      <c r="I127" s="19" t="s">
        <v>1178</v>
      </c>
      <c r="J127" s="26" t="n">
        <v>7.78</v>
      </c>
      <c r="K127" s="18" t="s">
        <v>138</v>
      </c>
      <c r="L127" s="21" t="n">
        <v>316.04</v>
      </c>
      <c r="M127" s="21" t="n">
        <v>2458.75</v>
      </c>
      <c r="N127" s="19" t="s">
        <v>1179</v>
      </c>
      <c r="O127" s="21" t="n">
        <v>0</v>
      </c>
      <c r="P127" s="21" t="n">
        <v>933.6</v>
      </c>
      <c r="Q127" s="22" t="n">
        <f aca="false">AVERAGE(O127:P127)</f>
        <v>466.8</v>
      </c>
      <c r="R127" s="19" t="s">
        <v>1180</v>
      </c>
      <c r="S127" s="19" t="s">
        <v>1181</v>
      </c>
      <c r="T127" s="18" t="s">
        <v>123</v>
      </c>
      <c r="U127" s="18" t="s">
        <v>124</v>
      </c>
      <c r="V127" s="18" t="s">
        <v>211</v>
      </c>
      <c r="W127" s="19" t="s">
        <v>1182</v>
      </c>
      <c r="X127" s="23" t="s">
        <v>96</v>
      </c>
      <c r="Y127" s="24"/>
    </row>
    <row r="128" customFormat="false" ht="75" hidden="false" customHeight="true" outlineLevel="0" collapsed="false">
      <c r="A128" s="18" t="n">
        <v>124</v>
      </c>
      <c r="B128" s="18" t="s">
        <v>113</v>
      </c>
      <c r="C128" s="18" t="s">
        <v>1183</v>
      </c>
      <c r="D128" s="19" t="s">
        <v>203</v>
      </c>
      <c r="E128" s="19" t="s">
        <v>1184</v>
      </c>
      <c r="F128" s="18" t="s">
        <v>34</v>
      </c>
      <c r="G128" s="28" t="s">
        <v>23</v>
      </c>
      <c r="H128" s="19" t="s">
        <v>1185</v>
      </c>
      <c r="I128" s="19" t="s">
        <v>1186</v>
      </c>
      <c r="J128" s="26" t="n">
        <v>334.97</v>
      </c>
      <c r="K128" s="18" t="s">
        <v>228</v>
      </c>
      <c r="L128" s="21" t="n">
        <v>52.5</v>
      </c>
      <c r="M128" s="21" t="n">
        <v>17585.93</v>
      </c>
      <c r="N128" s="19" t="s">
        <v>1187</v>
      </c>
      <c r="O128" s="21" t="n">
        <v>0</v>
      </c>
      <c r="P128" s="21" t="n">
        <v>0</v>
      </c>
      <c r="Q128" s="22" t="n">
        <f aca="false">AVERAGE(O128:P128)</f>
        <v>0</v>
      </c>
      <c r="R128" s="19" t="s">
        <v>1188</v>
      </c>
      <c r="S128" s="19" t="s">
        <v>1189</v>
      </c>
      <c r="T128" s="18" t="s">
        <v>123</v>
      </c>
      <c r="U128" s="18" t="s">
        <v>93</v>
      </c>
      <c r="V128" s="18" t="s">
        <v>211</v>
      </c>
      <c r="W128" s="19" t="s">
        <v>1190</v>
      </c>
      <c r="X128" s="23" t="s">
        <v>96</v>
      </c>
      <c r="Y128" s="24"/>
    </row>
    <row r="129" customFormat="false" ht="75" hidden="false" customHeight="true" outlineLevel="0" collapsed="false">
      <c r="A129" s="18" t="n">
        <v>125</v>
      </c>
      <c r="B129" s="18" t="s">
        <v>113</v>
      </c>
      <c r="C129" s="18" t="s">
        <v>1191</v>
      </c>
      <c r="D129" s="19" t="s">
        <v>1192</v>
      </c>
      <c r="E129" s="19" t="s">
        <v>1193</v>
      </c>
      <c r="F129" s="18" t="s">
        <v>33</v>
      </c>
      <c r="G129" s="28" t="s">
        <v>23</v>
      </c>
      <c r="H129" s="19" t="s">
        <v>1194</v>
      </c>
      <c r="I129" s="19" t="s">
        <v>1195</v>
      </c>
      <c r="J129" s="19"/>
      <c r="K129" s="18"/>
      <c r="L129" s="19"/>
      <c r="M129" s="19"/>
      <c r="N129" s="19" t="s">
        <v>1196</v>
      </c>
      <c r="O129" s="21" t="n">
        <v>0</v>
      </c>
      <c r="P129" s="21" t="n">
        <v>0</v>
      </c>
      <c r="Q129" s="22" t="n">
        <f aca="false">AVERAGE(O129:P129)</f>
        <v>0</v>
      </c>
      <c r="R129" s="19" t="s">
        <v>1197</v>
      </c>
      <c r="S129" s="19" t="s">
        <v>1198</v>
      </c>
      <c r="T129" s="18" t="s">
        <v>123</v>
      </c>
      <c r="U129" s="18" t="s">
        <v>124</v>
      </c>
      <c r="V129" s="18" t="s">
        <v>211</v>
      </c>
      <c r="W129" s="19" t="s">
        <v>1199</v>
      </c>
      <c r="X129" s="23" t="s">
        <v>96</v>
      </c>
      <c r="Y129" s="24"/>
    </row>
    <row r="130" customFormat="false" ht="75" hidden="false" customHeight="true" outlineLevel="0" collapsed="false">
      <c r="A130" s="18" t="n">
        <v>126</v>
      </c>
      <c r="B130" s="18" t="s">
        <v>113</v>
      </c>
      <c r="C130" s="18" t="s">
        <v>583</v>
      </c>
      <c r="D130" s="19" t="s">
        <v>1200</v>
      </c>
      <c r="E130" s="19" t="s">
        <v>585</v>
      </c>
      <c r="F130" s="18" t="s">
        <v>37</v>
      </c>
      <c r="G130" s="28" t="s">
        <v>23</v>
      </c>
      <c r="H130" s="19" t="s">
        <v>1201</v>
      </c>
      <c r="I130" s="19" t="s">
        <v>1202</v>
      </c>
      <c r="J130" s="26" t="n">
        <v>244.57</v>
      </c>
      <c r="K130" s="18" t="s">
        <v>119</v>
      </c>
      <c r="L130" s="21" t="n">
        <v>20.32</v>
      </c>
      <c r="M130" s="21" t="n">
        <v>4969.17</v>
      </c>
      <c r="N130" s="19" t="s">
        <v>1203</v>
      </c>
      <c r="O130" s="21" t="n">
        <v>0</v>
      </c>
      <c r="P130" s="21" t="n">
        <v>0</v>
      </c>
      <c r="Q130" s="22" t="n">
        <f aca="false">AVERAGE(O130:P130)</f>
        <v>0</v>
      </c>
      <c r="R130" s="19" t="s">
        <v>1204</v>
      </c>
      <c r="S130" s="19" t="s">
        <v>1205</v>
      </c>
      <c r="T130" s="18" t="s">
        <v>123</v>
      </c>
      <c r="U130" s="18" t="s">
        <v>93</v>
      </c>
      <c r="V130" s="18" t="s">
        <v>94</v>
      </c>
      <c r="W130" s="19" t="s">
        <v>1206</v>
      </c>
      <c r="X130" s="23" t="s">
        <v>96</v>
      </c>
      <c r="Y130" s="24"/>
    </row>
    <row r="131" customFormat="false" ht="75" hidden="false" customHeight="true" outlineLevel="0" collapsed="false">
      <c r="A131" s="18" t="n">
        <v>127</v>
      </c>
      <c r="B131" s="18" t="s">
        <v>113</v>
      </c>
      <c r="C131" s="18" t="s">
        <v>1207</v>
      </c>
      <c r="D131" s="19" t="s">
        <v>1208</v>
      </c>
      <c r="E131" s="19" t="s">
        <v>1209</v>
      </c>
      <c r="F131" s="18" t="s">
        <v>33</v>
      </c>
      <c r="G131" s="28" t="s">
        <v>23</v>
      </c>
      <c r="H131" s="19" t="s">
        <v>1210</v>
      </c>
      <c r="I131" s="19" t="s">
        <v>1211</v>
      </c>
      <c r="J131" s="26" t="n">
        <v>1085.8</v>
      </c>
      <c r="K131" s="18" t="s">
        <v>228</v>
      </c>
      <c r="L131" s="21" t="n">
        <v>17.65</v>
      </c>
      <c r="M131" s="21" t="n">
        <v>19163.28</v>
      </c>
      <c r="N131" s="19" t="s">
        <v>1212</v>
      </c>
      <c r="O131" s="21" t="n">
        <v>0</v>
      </c>
      <c r="P131" s="21" t="n">
        <v>-4936.75</v>
      </c>
      <c r="Q131" s="22" t="n">
        <f aca="false">AVERAGE(O131:P131)</f>
        <v>-2468.375</v>
      </c>
      <c r="R131" s="19" t="s">
        <v>1213</v>
      </c>
      <c r="S131" s="19" t="s">
        <v>1214</v>
      </c>
      <c r="T131" s="18" t="s">
        <v>123</v>
      </c>
      <c r="U131" s="18" t="s">
        <v>93</v>
      </c>
      <c r="V131" s="18" t="s">
        <v>94</v>
      </c>
      <c r="W131" s="19" t="s">
        <v>1215</v>
      </c>
      <c r="X131" s="23" t="s">
        <v>96</v>
      </c>
      <c r="Y131" s="24"/>
    </row>
    <row r="132" customFormat="false" ht="75" hidden="false" customHeight="true" outlineLevel="0" collapsed="false">
      <c r="A132" s="18" t="n">
        <v>128</v>
      </c>
      <c r="B132" s="18" t="s">
        <v>213</v>
      </c>
      <c r="C132" s="18" t="s">
        <v>213</v>
      </c>
      <c r="D132" s="19" t="s">
        <v>1216</v>
      </c>
      <c r="E132" s="19" t="s">
        <v>1217</v>
      </c>
      <c r="F132" s="18" t="s">
        <v>27</v>
      </c>
      <c r="G132" s="28" t="s">
        <v>23</v>
      </c>
      <c r="H132" s="19" t="s">
        <v>1218</v>
      </c>
      <c r="I132" s="19" t="s">
        <v>1219</v>
      </c>
      <c r="J132" s="19"/>
      <c r="K132" s="18"/>
      <c r="L132" s="19"/>
      <c r="M132" s="21" t="n">
        <v>1586732.18</v>
      </c>
      <c r="N132" s="19" t="s">
        <v>1220</v>
      </c>
      <c r="O132" s="21" t="n">
        <v>-10.13</v>
      </c>
      <c r="P132" s="21" t="n">
        <v>-10.13</v>
      </c>
      <c r="Q132" s="22" t="n">
        <f aca="false">AVERAGE(O132:P132)</f>
        <v>-10.13</v>
      </c>
      <c r="R132" s="19" t="s">
        <v>1221</v>
      </c>
      <c r="S132" s="19" t="s">
        <v>1222</v>
      </c>
      <c r="T132" s="18" t="s">
        <v>92</v>
      </c>
      <c r="U132" s="18" t="s">
        <v>124</v>
      </c>
      <c r="V132" s="18" t="s">
        <v>211</v>
      </c>
      <c r="W132" s="19" t="s">
        <v>1223</v>
      </c>
      <c r="X132" s="23" t="s">
        <v>96</v>
      </c>
      <c r="Y132" s="24"/>
    </row>
    <row r="133" customFormat="false" ht="75" hidden="false" customHeight="true" outlineLevel="0" collapsed="false">
      <c r="A133" s="18" t="n">
        <v>129</v>
      </c>
      <c r="B133" s="18" t="s">
        <v>213</v>
      </c>
      <c r="C133" s="18" t="s">
        <v>1224</v>
      </c>
      <c r="D133" s="19" t="s">
        <v>1225</v>
      </c>
      <c r="E133" s="19" t="s">
        <v>1226</v>
      </c>
      <c r="F133" s="18" t="s">
        <v>30</v>
      </c>
      <c r="G133" s="28" t="s">
        <v>23</v>
      </c>
      <c r="H133" s="19" t="s">
        <v>1227</v>
      </c>
      <c r="I133" s="19" t="s">
        <v>1228</v>
      </c>
      <c r="J133" s="26" t="n">
        <v>130</v>
      </c>
      <c r="K133" s="18" t="s">
        <v>228</v>
      </c>
      <c r="L133" s="21" t="n">
        <v>8</v>
      </c>
      <c r="M133" s="21" t="n">
        <v>1040</v>
      </c>
      <c r="N133" s="19" t="s">
        <v>1229</v>
      </c>
      <c r="O133" s="21" t="n">
        <v>2210</v>
      </c>
      <c r="P133" s="21" t="n">
        <v>5460</v>
      </c>
      <c r="Q133" s="22" t="n">
        <f aca="false">AVERAGE(O133:P133)</f>
        <v>3835</v>
      </c>
      <c r="R133" s="19" t="s">
        <v>1230</v>
      </c>
      <c r="S133" s="19" t="s">
        <v>1231</v>
      </c>
      <c r="T133" s="18" t="s">
        <v>92</v>
      </c>
      <c r="U133" s="18" t="s">
        <v>124</v>
      </c>
      <c r="V133" s="18" t="s">
        <v>94</v>
      </c>
      <c r="W133" s="19" t="s">
        <v>1232</v>
      </c>
      <c r="X133" s="23" t="s">
        <v>96</v>
      </c>
      <c r="Y133" s="24"/>
    </row>
    <row r="134" customFormat="false" ht="75" hidden="false" customHeight="true" outlineLevel="0" collapsed="false">
      <c r="A134" s="18" t="n">
        <v>130</v>
      </c>
      <c r="B134" s="18" t="s">
        <v>213</v>
      </c>
      <c r="C134" s="18" t="s">
        <v>1233</v>
      </c>
      <c r="D134" s="19" t="s">
        <v>1234</v>
      </c>
      <c r="E134" s="19" t="s">
        <v>1235</v>
      </c>
      <c r="F134" s="18" t="s">
        <v>33</v>
      </c>
      <c r="G134" s="28" t="s">
        <v>23</v>
      </c>
      <c r="H134" s="19" t="s">
        <v>1236</v>
      </c>
      <c r="I134" s="19" t="s">
        <v>1237</v>
      </c>
      <c r="J134" s="19"/>
      <c r="K134" s="18"/>
      <c r="L134" s="19"/>
      <c r="M134" s="19"/>
      <c r="N134" s="19" t="s">
        <v>1238</v>
      </c>
      <c r="O134" s="21" t="n">
        <v>0</v>
      </c>
      <c r="P134" s="21" t="n">
        <v>-1185.7</v>
      </c>
      <c r="Q134" s="22" t="n">
        <f aca="false">AVERAGE(O134:P134)</f>
        <v>-592.85</v>
      </c>
      <c r="R134" s="19" t="s">
        <v>1239</v>
      </c>
      <c r="S134" s="19" t="s">
        <v>1240</v>
      </c>
      <c r="T134" s="18" t="s">
        <v>123</v>
      </c>
      <c r="U134" s="18" t="s">
        <v>93</v>
      </c>
      <c r="V134" s="18" t="s">
        <v>211</v>
      </c>
      <c r="W134" s="19" t="s">
        <v>1241</v>
      </c>
      <c r="X134" s="23" t="s">
        <v>96</v>
      </c>
      <c r="Y134" s="24"/>
    </row>
    <row r="135" customFormat="false" ht="75" hidden="false" customHeight="true" outlineLevel="0" collapsed="false">
      <c r="A135" s="18" t="n">
        <v>131</v>
      </c>
      <c r="B135" s="18" t="s">
        <v>213</v>
      </c>
      <c r="C135" s="18" t="s">
        <v>1242</v>
      </c>
      <c r="D135" s="19" t="s">
        <v>1207</v>
      </c>
      <c r="E135" s="19" t="s">
        <v>1243</v>
      </c>
      <c r="F135" s="18" t="s">
        <v>32</v>
      </c>
      <c r="G135" s="28" t="s">
        <v>23</v>
      </c>
      <c r="H135" s="19" t="s">
        <v>1244</v>
      </c>
      <c r="I135" s="19" t="s">
        <v>1245</v>
      </c>
      <c r="J135" s="26" t="n">
        <v>637</v>
      </c>
      <c r="K135" s="18" t="s">
        <v>228</v>
      </c>
      <c r="L135" s="21" t="n">
        <v>7.75</v>
      </c>
      <c r="M135" s="21" t="n">
        <v>4936.75</v>
      </c>
      <c r="N135" s="19" t="s">
        <v>1246</v>
      </c>
      <c r="O135" s="21" t="n">
        <v>0</v>
      </c>
      <c r="P135" s="21" t="n">
        <v>0</v>
      </c>
      <c r="Q135" s="22" t="n">
        <f aca="false">AVERAGE(O135:P135)</f>
        <v>0</v>
      </c>
      <c r="R135" s="19" t="s">
        <v>1247</v>
      </c>
      <c r="S135" s="19" t="s">
        <v>1248</v>
      </c>
      <c r="T135" s="18" t="s">
        <v>123</v>
      </c>
      <c r="U135" s="18" t="s">
        <v>124</v>
      </c>
      <c r="V135" s="18" t="s">
        <v>211</v>
      </c>
      <c r="W135" s="19" t="s">
        <v>1249</v>
      </c>
      <c r="X135" s="23" t="s">
        <v>96</v>
      </c>
      <c r="Y135" s="24"/>
    </row>
    <row r="136" customFormat="false" ht="75" hidden="false" customHeight="true" outlineLevel="0" collapsed="false">
      <c r="A136" s="18" t="n">
        <v>132</v>
      </c>
      <c r="B136" s="18" t="s">
        <v>213</v>
      </c>
      <c r="C136" s="18" t="s">
        <v>1250</v>
      </c>
      <c r="D136" s="19" t="s">
        <v>1251</v>
      </c>
      <c r="E136" s="19" t="s">
        <v>1252</v>
      </c>
      <c r="F136" s="18" t="s">
        <v>37</v>
      </c>
      <c r="G136" s="28" t="s">
        <v>23</v>
      </c>
      <c r="H136" s="19" t="s">
        <v>1253</v>
      </c>
      <c r="I136" s="19" t="s">
        <v>1254</v>
      </c>
      <c r="J136" s="19"/>
      <c r="K136" s="18"/>
      <c r="L136" s="19"/>
      <c r="M136" s="19"/>
      <c r="N136" s="19" t="s">
        <v>1255</v>
      </c>
      <c r="O136" s="21" t="n">
        <v>0</v>
      </c>
      <c r="P136" s="21" t="n">
        <v>1872</v>
      </c>
      <c r="Q136" s="22" t="n">
        <f aca="false">AVERAGE(O136:P136)</f>
        <v>936</v>
      </c>
      <c r="R136" s="19" t="s">
        <v>1256</v>
      </c>
      <c r="S136" s="19" t="s">
        <v>1257</v>
      </c>
      <c r="T136" s="18" t="s">
        <v>123</v>
      </c>
      <c r="U136" s="18" t="s">
        <v>93</v>
      </c>
      <c r="V136" s="18" t="s">
        <v>94</v>
      </c>
      <c r="W136" s="19" t="s">
        <v>1258</v>
      </c>
      <c r="X136" s="23" t="s">
        <v>96</v>
      </c>
      <c r="Y136" s="24"/>
    </row>
    <row r="137" customFormat="false" ht="75" hidden="false" customHeight="true" outlineLevel="0" collapsed="false">
      <c r="A137" s="18" t="n">
        <v>133</v>
      </c>
      <c r="B137" s="18" t="s">
        <v>213</v>
      </c>
      <c r="C137" s="18" t="s">
        <v>1259</v>
      </c>
      <c r="D137" s="19" t="s">
        <v>1260</v>
      </c>
      <c r="E137" s="19" t="s">
        <v>1261</v>
      </c>
      <c r="F137" s="18" t="s">
        <v>33</v>
      </c>
      <c r="G137" s="28" t="s">
        <v>23</v>
      </c>
      <c r="H137" s="19" t="s">
        <v>1262</v>
      </c>
      <c r="I137" s="19" t="s">
        <v>1263</v>
      </c>
      <c r="J137" s="19"/>
      <c r="K137" s="18"/>
      <c r="L137" s="19"/>
      <c r="M137" s="21" t="n">
        <v>84010.46</v>
      </c>
      <c r="N137" s="19" t="s">
        <v>1264</v>
      </c>
      <c r="O137" s="21" t="n">
        <v>0</v>
      </c>
      <c r="P137" s="21" t="n">
        <v>0</v>
      </c>
      <c r="Q137" s="22" t="n">
        <f aca="false">AVERAGE(O137:P137)</f>
        <v>0</v>
      </c>
      <c r="R137" s="19" t="s">
        <v>1265</v>
      </c>
      <c r="S137" s="19" t="s">
        <v>1266</v>
      </c>
      <c r="T137" s="18" t="s">
        <v>123</v>
      </c>
      <c r="U137" s="18" t="s">
        <v>124</v>
      </c>
      <c r="V137" s="18" t="s">
        <v>94</v>
      </c>
      <c r="W137" s="19" t="s">
        <v>1267</v>
      </c>
      <c r="X137" s="23" t="s">
        <v>96</v>
      </c>
      <c r="Y137" s="24"/>
    </row>
    <row r="138" customFormat="false" ht="75" hidden="false" customHeight="true" outlineLevel="0" collapsed="false">
      <c r="A138" s="18" t="n">
        <v>134</v>
      </c>
      <c r="B138" s="18" t="s">
        <v>213</v>
      </c>
      <c r="C138" s="18" t="s">
        <v>1268</v>
      </c>
      <c r="D138" s="19" t="s">
        <v>1269</v>
      </c>
      <c r="E138" s="19" t="s">
        <v>1270</v>
      </c>
      <c r="F138" s="18" t="s">
        <v>32</v>
      </c>
      <c r="G138" s="28" t="s">
        <v>23</v>
      </c>
      <c r="H138" s="19" t="s">
        <v>1271</v>
      </c>
      <c r="I138" s="19" t="s">
        <v>1272</v>
      </c>
      <c r="J138" s="26" t="n">
        <v>76</v>
      </c>
      <c r="K138" s="18" t="s">
        <v>228</v>
      </c>
      <c r="L138" s="21" t="n">
        <v>61.51</v>
      </c>
      <c r="M138" s="21" t="n">
        <v>4674.76</v>
      </c>
      <c r="N138" s="19" t="s">
        <v>1273</v>
      </c>
      <c r="O138" s="21" t="n">
        <v>0</v>
      </c>
      <c r="P138" s="21" t="n">
        <v>2665.32</v>
      </c>
      <c r="Q138" s="22" t="n">
        <f aca="false">AVERAGE(O138:P138)</f>
        <v>1332.66</v>
      </c>
      <c r="R138" s="19" t="s">
        <v>1274</v>
      </c>
      <c r="S138" s="19" t="s">
        <v>1275</v>
      </c>
      <c r="T138" s="18" t="s">
        <v>92</v>
      </c>
      <c r="U138" s="18" t="s">
        <v>93</v>
      </c>
      <c r="V138" s="18" t="s">
        <v>94</v>
      </c>
      <c r="W138" s="19" t="s">
        <v>1276</v>
      </c>
      <c r="X138" s="23" t="s">
        <v>96</v>
      </c>
      <c r="Y138" s="24"/>
    </row>
    <row r="139" customFormat="false" ht="75" hidden="false" customHeight="true" outlineLevel="0" collapsed="false">
      <c r="A139" s="18" t="n">
        <v>135</v>
      </c>
      <c r="B139" s="18" t="s">
        <v>213</v>
      </c>
      <c r="C139" s="18" t="s">
        <v>1277</v>
      </c>
      <c r="D139" s="19" t="s">
        <v>1278</v>
      </c>
      <c r="E139" s="19" t="s">
        <v>1279</v>
      </c>
      <c r="F139" s="18" t="s">
        <v>37</v>
      </c>
      <c r="G139" s="28" t="s">
        <v>23</v>
      </c>
      <c r="H139" s="19" t="s">
        <v>1280</v>
      </c>
      <c r="I139" s="19" t="s">
        <v>1281</v>
      </c>
      <c r="J139" s="26" t="n">
        <v>60</v>
      </c>
      <c r="K139" s="18" t="s">
        <v>119</v>
      </c>
      <c r="L139" s="21" t="n">
        <v>50</v>
      </c>
      <c r="M139" s="21" t="n">
        <v>3000</v>
      </c>
      <c r="N139" s="19" t="s">
        <v>1282</v>
      </c>
      <c r="O139" s="21" t="n">
        <v>0</v>
      </c>
      <c r="P139" s="21" t="n">
        <v>6250</v>
      </c>
      <c r="Q139" s="22" t="n">
        <f aca="false">AVERAGE(O139:P139)</f>
        <v>3125</v>
      </c>
      <c r="R139" s="19" t="s">
        <v>1283</v>
      </c>
      <c r="S139" s="19" t="s">
        <v>1284</v>
      </c>
      <c r="T139" s="18" t="s">
        <v>123</v>
      </c>
      <c r="U139" s="18" t="s">
        <v>124</v>
      </c>
      <c r="V139" s="18" t="s">
        <v>94</v>
      </c>
      <c r="W139" s="19" t="s">
        <v>1285</v>
      </c>
      <c r="X139" s="23" t="s">
        <v>96</v>
      </c>
      <c r="Y139" s="24"/>
    </row>
    <row r="140" customFormat="false" ht="75" hidden="false" customHeight="true" outlineLevel="0" collapsed="false">
      <c r="A140" s="18" t="n">
        <v>136</v>
      </c>
      <c r="B140" s="18" t="s">
        <v>213</v>
      </c>
      <c r="C140" s="18" t="s">
        <v>1286</v>
      </c>
      <c r="D140" s="19" t="s">
        <v>1287</v>
      </c>
      <c r="E140" s="19" t="s">
        <v>1288</v>
      </c>
      <c r="F140" s="18" t="s">
        <v>37</v>
      </c>
      <c r="G140" s="28" t="s">
        <v>23</v>
      </c>
      <c r="H140" s="19" t="s">
        <v>1289</v>
      </c>
      <c r="I140" s="19" t="s">
        <v>1290</v>
      </c>
      <c r="J140" s="26" t="n">
        <v>20</v>
      </c>
      <c r="K140" s="18" t="s">
        <v>228</v>
      </c>
      <c r="L140" s="21" t="n">
        <v>145</v>
      </c>
      <c r="M140" s="21" t="n">
        <v>2900</v>
      </c>
      <c r="N140" s="19" t="s">
        <v>1291</v>
      </c>
      <c r="O140" s="21" t="n">
        <v>0</v>
      </c>
      <c r="P140" s="21" t="n">
        <v>0</v>
      </c>
      <c r="Q140" s="22" t="n">
        <f aca="false">AVERAGE(O140:P140)</f>
        <v>0</v>
      </c>
      <c r="R140" s="19" t="s">
        <v>1292</v>
      </c>
      <c r="S140" s="19" t="s">
        <v>1293</v>
      </c>
      <c r="T140" s="18" t="s">
        <v>123</v>
      </c>
      <c r="U140" s="18" t="s">
        <v>93</v>
      </c>
      <c r="V140" s="18" t="s">
        <v>94</v>
      </c>
      <c r="W140" s="19" t="s">
        <v>1294</v>
      </c>
      <c r="X140" s="23" t="s">
        <v>96</v>
      </c>
      <c r="Y140" s="24"/>
    </row>
    <row r="141" customFormat="false" ht="75" hidden="false" customHeight="true" outlineLevel="0" collapsed="false">
      <c r="A141" s="18" t="n">
        <v>137</v>
      </c>
      <c r="B141" s="18" t="s">
        <v>213</v>
      </c>
      <c r="C141" s="18" t="s">
        <v>1295</v>
      </c>
      <c r="D141" s="19" t="s">
        <v>1296</v>
      </c>
      <c r="E141" s="19" t="s">
        <v>1297</v>
      </c>
      <c r="F141" s="18" t="s">
        <v>37</v>
      </c>
      <c r="G141" s="28" t="s">
        <v>23</v>
      </c>
      <c r="H141" s="19" t="s">
        <v>1298</v>
      </c>
      <c r="I141" s="19" t="s">
        <v>1299</v>
      </c>
      <c r="J141" s="26" t="n">
        <v>14</v>
      </c>
      <c r="K141" s="18" t="s">
        <v>165</v>
      </c>
      <c r="L141" s="21" t="n">
        <v>100</v>
      </c>
      <c r="M141" s="21" t="n">
        <v>1400</v>
      </c>
      <c r="N141" s="19" t="s">
        <v>1300</v>
      </c>
      <c r="O141" s="21" t="n">
        <v>0</v>
      </c>
      <c r="P141" s="21" t="n">
        <v>0</v>
      </c>
      <c r="Q141" s="22" t="n">
        <f aca="false">AVERAGE(O141:P141)</f>
        <v>0</v>
      </c>
      <c r="R141" s="19" t="s">
        <v>1301</v>
      </c>
      <c r="S141" s="19" t="s">
        <v>1302</v>
      </c>
      <c r="T141" s="18" t="s">
        <v>123</v>
      </c>
      <c r="U141" s="18" t="s">
        <v>124</v>
      </c>
      <c r="V141" s="18" t="s">
        <v>211</v>
      </c>
      <c r="W141" s="19" t="s">
        <v>1303</v>
      </c>
      <c r="X141" s="23" t="s">
        <v>96</v>
      </c>
      <c r="Y141" s="24"/>
    </row>
    <row r="142" customFormat="false" ht="75" hidden="false" customHeight="true" outlineLevel="0" collapsed="false">
      <c r="A142" s="18" t="n">
        <v>138</v>
      </c>
      <c r="B142" s="18" t="s">
        <v>213</v>
      </c>
      <c r="C142" s="18" t="s">
        <v>1304</v>
      </c>
      <c r="D142" s="19" t="s">
        <v>1305</v>
      </c>
      <c r="E142" s="19" t="s">
        <v>1306</v>
      </c>
      <c r="F142" s="18" t="s">
        <v>32</v>
      </c>
      <c r="G142" s="28" t="s">
        <v>23</v>
      </c>
      <c r="H142" s="19" t="s">
        <v>1307</v>
      </c>
      <c r="I142" s="19" t="s">
        <v>1308</v>
      </c>
      <c r="J142" s="26" t="n">
        <v>42</v>
      </c>
      <c r="K142" s="18" t="s">
        <v>228</v>
      </c>
      <c r="L142" s="21" t="n">
        <v>96.58</v>
      </c>
      <c r="M142" s="21" t="n">
        <v>4056.36</v>
      </c>
      <c r="N142" s="19" t="s">
        <v>1309</v>
      </c>
      <c r="O142" s="21" t="n">
        <v>0</v>
      </c>
      <c r="P142" s="21" t="n">
        <v>-1472.94</v>
      </c>
      <c r="Q142" s="22" t="n">
        <f aca="false">AVERAGE(O142:P142)</f>
        <v>-736.47</v>
      </c>
      <c r="R142" s="19" t="s">
        <v>1310</v>
      </c>
      <c r="S142" s="19" t="s">
        <v>1311</v>
      </c>
      <c r="T142" s="18" t="s">
        <v>123</v>
      </c>
      <c r="U142" s="18" t="s">
        <v>93</v>
      </c>
      <c r="V142" s="18" t="s">
        <v>94</v>
      </c>
      <c r="W142" s="19" t="s">
        <v>1312</v>
      </c>
      <c r="X142" s="23" t="s">
        <v>96</v>
      </c>
      <c r="Y142" s="24"/>
    </row>
    <row r="143" customFormat="false" ht="75" hidden="false" customHeight="true" outlineLevel="0" collapsed="false">
      <c r="A143" s="18" t="n">
        <v>139</v>
      </c>
      <c r="B143" s="18" t="s">
        <v>213</v>
      </c>
      <c r="C143" s="18" t="s">
        <v>1313</v>
      </c>
      <c r="D143" s="19" t="s">
        <v>1314</v>
      </c>
      <c r="E143" s="19" t="s">
        <v>1315</v>
      </c>
      <c r="F143" s="18" t="s">
        <v>30</v>
      </c>
      <c r="G143" s="28" t="s">
        <v>23</v>
      </c>
      <c r="H143" s="19" t="s">
        <v>1316</v>
      </c>
      <c r="I143" s="19" t="s">
        <v>1317</v>
      </c>
      <c r="J143" s="26" t="n">
        <v>2</v>
      </c>
      <c r="K143" s="18" t="s">
        <v>165</v>
      </c>
      <c r="L143" s="21" t="n">
        <v>471.36</v>
      </c>
      <c r="M143" s="21" t="n">
        <v>942.72</v>
      </c>
      <c r="N143" s="19" t="s">
        <v>1318</v>
      </c>
      <c r="O143" s="21" t="n">
        <v>477.34</v>
      </c>
      <c r="P143" s="21" t="n">
        <v>957.9</v>
      </c>
      <c r="Q143" s="22" t="n">
        <f aca="false">AVERAGE(O143:P143)</f>
        <v>717.62</v>
      </c>
      <c r="R143" s="19" t="s">
        <v>1319</v>
      </c>
      <c r="S143" s="19" t="s">
        <v>1167</v>
      </c>
      <c r="T143" s="18" t="s">
        <v>92</v>
      </c>
      <c r="U143" s="18" t="s">
        <v>124</v>
      </c>
      <c r="V143" s="18" t="s">
        <v>211</v>
      </c>
      <c r="W143" s="19" t="s">
        <v>1320</v>
      </c>
      <c r="X143" s="23" t="s">
        <v>96</v>
      </c>
      <c r="Y143" s="24"/>
    </row>
    <row r="144" customFormat="false" ht="75" hidden="false" customHeight="true" outlineLevel="0" collapsed="false">
      <c r="A144" s="18" t="n">
        <v>140</v>
      </c>
      <c r="B144" s="18" t="s">
        <v>213</v>
      </c>
      <c r="C144" s="18" t="s">
        <v>1321</v>
      </c>
      <c r="D144" s="19" t="s">
        <v>1322</v>
      </c>
      <c r="E144" s="19" t="s">
        <v>1323</v>
      </c>
      <c r="F144" s="18" t="s">
        <v>32</v>
      </c>
      <c r="G144" s="28" t="s">
        <v>23</v>
      </c>
      <c r="H144" s="19" t="s">
        <v>1324</v>
      </c>
      <c r="I144" s="19" t="s">
        <v>1325</v>
      </c>
      <c r="J144" s="26" t="n">
        <v>1</v>
      </c>
      <c r="K144" s="18" t="s">
        <v>165</v>
      </c>
      <c r="L144" s="21" t="n">
        <v>2388.8</v>
      </c>
      <c r="M144" s="21" t="n">
        <v>2388.8</v>
      </c>
      <c r="N144" s="19" t="s">
        <v>1326</v>
      </c>
      <c r="O144" s="21" t="n">
        <v>-286.4</v>
      </c>
      <c r="P144" s="21" t="n">
        <v>143.2</v>
      </c>
      <c r="Q144" s="22" t="n">
        <f aca="false">AVERAGE(O144:P144)</f>
        <v>-71.6</v>
      </c>
      <c r="R144" s="19" t="s">
        <v>1327</v>
      </c>
      <c r="S144" s="19" t="s">
        <v>1328</v>
      </c>
      <c r="T144" s="18" t="s">
        <v>92</v>
      </c>
      <c r="U144" s="18" t="s">
        <v>124</v>
      </c>
      <c r="V144" s="18" t="s">
        <v>94</v>
      </c>
      <c r="W144" s="19" t="s">
        <v>1329</v>
      </c>
      <c r="X144" s="23" t="s">
        <v>96</v>
      </c>
      <c r="Y144" s="24"/>
    </row>
    <row r="145" customFormat="false" ht="75" hidden="false" customHeight="true" outlineLevel="0" collapsed="false">
      <c r="A145" s="18" t="n">
        <v>141</v>
      </c>
      <c r="B145" s="18" t="s">
        <v>213</v>
      </c>
      <c r="C145" s="18" t="s">
        <v>1330</v>
      </c>
      <c r="D145" s="19" t="s">
        <v>1331</v>
      </c>
      <c r="E145" s="19" t="s">
        <v>1332</v>
      </c>
      <c r="F145" s="18" t="s">
        <v>32</v>
      </c>
      <c r="G145" s="28" t="s">
        <v>23</v>
      </c>
      <c r="H145" s="19" t="s">
        <v>1333</v>
      </c>
      <c r="I145" s="19" t="s">
        <v>1334</v>
      </c>
      <c r="J145" s="26" t="n">
        <v>3</v>
      </c>
      <c r="K145" s="18" t="s">
        <v>165</v>
      </c>
      <c r="L145" s="21" t="n">
        <v>1204</v>
      </c>
      <c r="M145" s="21" t="n">
        <v>3612</v>
      </c>
      <c r="N145" s="19" t="s">
        <v>1326</v>
      </c>
      <c r="O145" s="21" t="n">
        <v>-477.6</v>
      </c>
      <c r="P145" s="21" t="n">
        <v>159.2</v>
      </c>
      <c r="Q145" s="22" t="n">
        <f aca="false">AVERAGE(O145:P145)</f>
        <v>-159.2</v>
      </c>
      <c r="R145" s="19" t="s">
        <v>1335</v>
      </c>
      <c r="S145" s="19" t="s">
        <v>1336</v>
      </c>
      <c r="T145" s="18" t="s">
        <v>92</v>
      </c>
      <c r="U145" s="18" t="s">
        <v>124</v>
      </c>
      <c r="V145" s="18" t="s">
        <v>94</v>
      </c>
      <c r="W145" s="19" t="s">
        <v>1337</v>
      </c>
      <c r="X145" s="23" t="s">
        <v>96</v>
      </c>
      <c r="Y145" s="24"/>
    </row>
    <row r="146" customFormat="false" ht="75" hidden="false" customHeight="true" outlineLevel="0" collapsed="false">
      <c r="A146" s="18" t="n">
        <v>142</v>
      </c>
      <c r="B146" s="18" t="s">
        <v>213</v>
      </c>
      <c r="C146" s="18" t="s">
        <v>1338</v>
      </c>
      <c r="D146" s="19" t="s">
        <v>1339</v>
      </c>
      <c r="E146" s="19" t="s">
        <v>1340</v>
      </c>
      <c r="F146" s="18" t="s">
        <v>32</v>
      </c>
      <c r="G146" s="28" t="s">
        <v>23</v>
      </c>
      <c r="H146" s="19" t="s">
        <v>1341</v>
      </c>
      <c r="I146" s="19" t="s">
        <v>1342</v>
      </c>
      <c r="J146" s="26" t="n">
        <v>1</v>
      </c>
      <c r="K146" s="18" t="s">
        <v>165</v>
      </c>
      <c r="L146" s="21" t="n">
        <v>1481.6</v>
      </c>
      <c r="M146" s="21" t="n">
        <v>1481.6</v>
      </c>
      <c r="N146" s="19" t="s">
        <v>1343</v>
      </c>
      <c r="O146" s="21" t="n">
        <v>0</v>
      </c>
      <c r="P146" s="21" t="n">
        <v>-1481.6</v>
      </c>
      <c r="Q146" s="22" t="n">
        <f aca="false">AVERAGE(O146:P146)</f>
        <v>-740.8</v>
      </c>
      <c r="R146" s="19" t="s">
        <v>1344</v>
      </c>
      <c r="S146" s="19" t="s">
        <v>1345</v>
      </c>
      <c r="T146" s="18" t="s">
        <v>123</v>
      </c>
      <c r="U146" s="18" t="s">
        <v>124</v>
      </c>
      <c r="V146" s="18" t="s">
        <v>94</v>
      </c>
      <c r="W146" s="19" t="s">
        <v>1346</v>
      </c>
      <c r="X146" s="23" t="s">
        <v>96</v>
      </c>
      <c r="Y146" s="24"/>
    </row>
    <row r="147" customFormat="false" ht="75" hidden="false" customHeight="true" outlineLevel="0" collapsed="false">
      <c r="A147" s="18" t="n">
        <v>143</v>
      </c>
      <c r="B147" s="18" t="s">
        <v>213</v>
      </c>
      <c r="C147" s="18" t="s">
        <v>1347</v>
      </c>
      <c r="D147" s="19" t="s">
        <v>1348</v>
      </c>
      <c r="E147" s="19" t="s">
        <v>1349</v>
      </c>
      <c r="F147" s="18" t="s">
        <v>29</v>
      </c>
      <c r="G147" s="28" t="s">
        <v>23</v>
      </c>
      <c r="H147" s="19" t="s">
        <v>1350</v>
      </c>
      <c r="I147" s="19" t="s">
        <v>1351</v>
      </c>
      <c r="J147" s="19"/>
      <c r="K147" s="18"/>
      <c r="L147" s="19"/>
      <c r="M147" s="19"/>
      <c r="N147" s="19" t="s">
        <v>1352</v>
      </c>
      <c r="O147" s="21" t="n">
        <v>0</v>
      </c>
      <c r="P147" s="21" t="n">
        <v>0</v>
      </c>
      <c r="Q147" s="22" t="n">
        <f aca="false">AVERAGE(O147:P147)</f>
        <v>0</v>
      </c>
      <c r="R147" s="19" t="s">
        <v>1353</v>
      </c>
      <c r="S147" s="19" t="s">
        <v>1354</v>
      </c>
      <c r="T147" s="18" t="s">
        <v>123</v>
      </c>
      <c r="U147" s="18" t="s">
        <v>93</v>
      </c>
      <c r="V147" s="18" t="s">
        <v>94</v>
      </c>
      <c r="W147" s="19" t="s">
        <v>1355</v>
      </c>
      <c r="X147" s="23" t="s">
        <v>96</v>
      </c>
      <c r="Y147" s="24"/>
    </row>
    <row r="148" customFormat="false" ht="75" hidden="false" customHeight="true" outlineLevel="0" collapsed="false">
      <c r="A148" s="18" t="n">
        <v>144</v>
      </c>
      <c r="B148" s="18" t="s">
        <v>213</v>
      </c>
      <c r="C148" s="18" t="s">
        <v>1356</v>
      </c>
      <c r="D148" s="19" t="s">
        <v>1357</v>
      </c>
      <c r="E148" s="19" t="s">
        <v>1358</v>
      </c>
      <c r="F148" s="18" t="s">
        <v>32</v>
      </c>
      <c r="G148" s="28" t="s">
        <v>23</v>
      </c>
      <c r="H148" s="19" t="s">
        <v>1359</v>
      </c>
      <c r="I148" s="19" t="s">
        <v>1360</v>
      </c>
      <c r="J148" s="26" t="n">
        <v>380</v>
      </c>
      <c r="K148" s="18" t="s">
        <v>228</v>
      </c>
      <c r="L148" s="21" t="n">
        <v>2.5</v>
      </c>
      <c r="M148" s="21" t="n">
        <v>950</v>
      </c>
      <c r="N148" s="19" t="s">
        <v>1361</v>
      </c>
      <c r="O148" s="21" t="n">
        <v>40</v>
      </c>
      <c r="P148" s="21" t="n">
        <v>40</v>
      </c>
      <c r="Q148" s="22" t="n">
        <f aca="false">AVERAGE(O148:P148)</f>
        <v>40</v>
      </c>
      <c r="R148" s="19" t="s">
        <v>1362</v>
      </c>
      <c r="S148" s="19" t="s">
        <v>1363</v>
      </c>
      <c r="T148" s="18" t="s">
        <v>123</v>
      </c>
      <c r="U148" s="18" t="s">
        <v>93</v>
      </c>
      <c r="V148" s="18" t="s">
        <v>94</v>
      </c>
      <c r="W148" s="19" t="s">
        <v>1364</v>
      </c>
      <c r="X148" s="23" t="s">
        <v>96</v>
      </c>
      <c r="Y148" s="24"/>
    </row>
    <row r="149" customFormat="false" ht="75" hidden="false" customHeight="true" outlineLevel="0" collapsed="false">
      <c r="A149" s="18" t="n">
        <v>145</v>
      </c>
      <c r="B149" s="18" t="s">
        <v>213</v>
      </c>
      <c r="C149" s="18" t="s">
        <v>1365</v>
      </c>
      <c r="D149" s="19" t="s">
        <v>1366</v>
      </c>
      <c r="E149" s="19" t="s">
        <v>1367</v>
      </c>
      <c r="F149" s="18" t="s">
        <v>28</v>
      </c>
      <c r="G149" s="28" t="s">
        <v>23</v>
      </c>
      <c r="H149" s="19" t="s">
        <v>1368</v>
      </c>
      <c r="I149" s="19" t="s">
        <v>1369</v>
      </c>
      <c r="J149" s="26" t="n">
        <v>15</v>
      </c>
      <c r="K149" s="18" t="s">
        <v>165</v>
      </c>
      <c r="L149" s="21" t="n">
        <v>336.41</v>
      </c>
      <c r="M149" s="21" t="n">
        <v>5046.15</v>
      </c>
      <c r="N149" s="19" t="s">
        <v>1370</v>
      </c>
      <c r="O149" s="21" t="n">
        <v>0</v>
      </c>
      <c r="P149" s="21" t="n">
        <v>1890</v>
      </c>
      <c r="Q149" s="22" t="n">
        <f aca="false">AVERAGE(O149:P149)</f>
        <v>945</v>
      </c>
      <c r="R149" s="19" t="s">
        <v>1371</v>
      </c>
      <c r="S149" s="19" t="s">
        <v>1372</v>
      </c>
      <c r="T149" s="18" t="s">
        <v>123</v>
      </c>
      <c r="U149" s="18" t="s">
        <v>124</v>
      </c>
      <c r="V149" s="18" t="s">
        <v>94</v>
      </c>
      <c r="W149" s="19" t="s">
        <v>1373</v>
      </c>
      <c r="X149" s="23" t="s">
        <v>96</v>
      </c>
      <c r="Y149" s="24"/>
    </row>
    <row r="150" customFormat="false" ht="75" hidden="false" customHeight="true" outlineLevel="0" collapsed="false">
      <c r="A150" s="18" t="n">
        <v>146</v>
      </c>
      <c r="B150" s="18" t="s">
        <v>213</v>
      </c>
      <c r="C150" s="18" t="s">
        <v>1374</v>
      </c>
      <c r="D150" s="19" t="s">
        <v>1375</v>
      </c>
      <c r="E150" s="19" t="s">
        <v>1376</v>
      </c>
      <c r="F150" s="18" t="s">
        <v>29</v>
      </c>
      <c r="G150" s="28" t="s">
        <v>23</v>
      </c>
      <c r="H150" s="19" t="s">
        <v>1377</v>
      </c>
      <c r="I150" s="19" t="s">
        <v>1378</v>
      </c>
      <c r="J150" s="26" t="n">
        <v>20</v>
      </c>
      <c r="K150" s="18" t="s">
        <v>165</v>
      </c>
      <c r="L150" s="21" t="n">
        <v>189.26</v>
      </c>
      <c r="M150" s="21" t="n">
        <v>3785.2</v>
      </c>
      <c r="N150" s="19" t="s">
        <v>1379</v>
      </c>
      <c r="O150" s="21" t="n">
        <v>0</v>
      </c>
      <c r="P150" s="21" t="n">
        <v>0</v>
      </c>
      <c r="Q150" s="22" t="n">
        <f aca="false">AVERAGE(O150:P150)</f>
        <v>0</v>
      </c>
      <c r="R150" s="19" t="s">
        <v>1380</v>
      </c>
      <c r="S150" s="19" t="s">
        <v>1381</v>
      </c>
      <c r="T150" s="18" t="s">
        <v>123</v>
      </c>
      <c r="U150" s="18" t="s">
        <v>93</v>
      </c>
      <c r="V150" s="18" t="s">
        <v>94</v>
      </c>
      <c r="W150" s="19" t="s">
        <v>1382</v>
      </c>
      <c r="X150" s="23" t="s">
        <v>96</v>
      </c>
      <c r="Y150" s="24"/>
    </row>
    <row r="151" customFormat="false" ht="75" hidden="false" customHeight="true" outlineLevel="0" collapsed="false">
      <c r="A151" s="18" t="n">
        <v>147</v>
      </c>
      <c r="B151" s="18" t="s">
        <v>213</v>
      </c>
      <c r="C151" s="18" t="s">
        <v>1383</v>
      </c>
      <c r="D151" s="19" t="s">
        <v>1384</v>
      </c>
      <c r="E151" s="19" t="s">
        <v>1385</v>
      </c>
      <c r="F151" s="18" t="s">
        <v>29</v>
      </c>
      <c r="G151" s="28" t="s">
        <v>23</v>
      </c>
      <c r="H151" s="19" t="s">
        <v>1386</v>
      </c>
      <c r="I151" s="19" t="s">
        <v>1387</v>
      </c>
      <c r="J151" s="26" t="n">
        <v>6</v>
      </c>
      <c r="K151" s="18" t="s">
        <v>165</v>
      </c>
      <c r="L151" s="21" t="n">
        <v>195.03</v>
      </c>
      <c r="M151" s="21" t="n">
        <v>1170.18</v>
      </c>
      <c r="N151" s="19" t="s">
        <v>1388</v>
      </c>
      <c r="O151" s="21" t="n">
        <v>0</v>
      </c>
      <c r="P151" s="21" t="n">
        <v>0</v>
      </c>
      <c r="Q151" s="22" t="n">
        <f aca="false">AVERAGE(O151:P151)</f>
        <v>0</v>
      </c>
      <c r="R151" s="19" t="s">
        <v>1389</v>
      </c>
      <c r="S151" s="19" t="s">
        <v>1390</v>
      </c>
      <c r="T151" s="18" t="s">
        <v>123</v>
      </c>
      <c r="U151" s="18" t="s">
        <v>93</v>
      </c>
      <c r="V151" s="18" t="s">
        <v>94</v>
      </c>
      <c r="W151" s="19" t="s">
        <v>1391</v>
      </c>
      <c r="X151" s="23" t="s">
        <v>96</v>
      </c>
      <c r="Y151" s="24"/>
    </row>
    <row r="152" customFormat="false" ht="75" hidden="false" customHeight="true" outlineLevel="0" collapsed="false">
      <c r="A152" s="18" t="n">
        <v>148</v>
      </c>
      <c r="B152" s="18" t="s">
        <v>213</v>
      </c>
      <c r="C152" s="18" t="s">
        <v>1392</v>
      </c>
      <c r="D152" s="19" t="s">
        <v>1393</v>
      </c>
      <c r="E152" s="19" t="s">
        <v>1394</v>
      </c>
      <c r="F152" s="18" t="s">
        <v>32</v>
      </c>
      <c r="G152" s="28" t="s">
        <v>23</v>
      </c>
      <c r="H152" s="19" t="s">
        <v>1395</v>
      </c>
      <c r="I152" s="19" t="s">
        <v>1396</v>
      </c>
      <c r="J152" s="26" t="n">
        <v>16</v>
      </c>
      <c r="K152" s="18" t="s">
        <v>165</v>
      </c>
      <c r="L152" s="21" t="n">
        <v>63.1</v>
      </c>
      <c r="M152" s="21" t="n">
        <v>1009.6</v>
      </c>
      <c r="N152" s="19" t="s">
        <v>1397</v>
      </c>
      <c r="O152" s="21" t="n">
        <v>-126.2</v>
      </c>
      <c r="P152" s="21" t="n">
        <v>-126.2</v>
      </c>
      <c r="Q152" s="22" t="n">
        <f aca="false">AVERAGE(O152:P152)</f>
        <v>-126.2</v>
      </c>
      <c r="R152" s="19" t="s">
        <v>1398</v>
      </c>
      <c r="S152" s="19" t="s">
        <v>1399</v>
      </c>
      <c r="T152" s="18" t="s">
        <v>123</v>
      </c>
      <c r="U152" s="18" t="s">
        <v>93</v>
      </c>
      <c r="V152" s="18" t="s">
        <v>94</v>
      </c>
      <c r="W152" s="19" t="s">
        <v>1400</v>
      </c>
      <c r="X152" s="23" t="s">
        <v>96</v>
      </c>
      <c r="Y152" s="24"/>
    </row>
    <row r="153" customFormat="false" ht="75" hidden="false" customHeight="true" outlineLevel="0" collapsed="false">
      <c r="A153" s="18" t="n">
        <v>149</v>
      </c>
      <c r="B153" s="18" t="s">
        <v>213</v>
      </c>
      <c r="C153" s="18" t="s">
        <v>1401</v>
      </c>
      <c r="D153" s="19" t="s">
        <v>1402</v>
      </c>
      <c r="E153" s="19" t="s">
        <v>1403</v>
      </c>
      <c r="F153" s="18" t="s">
        <v>27</v>
      </c>
      <c r="G153" s="28" t="s">
        <v>23</v>
      </c>
      <c r="H153" s="19" t="s">
        <v>1404</v>
      </c>
      <c r="I153" s="19" t="s">
        <v>1405</v>
      </c>
      <c r="J153" s="26" t="n">
        <v>20</v>
      </c>
      <c r="K153" s="18" t="s">
        <v>165</v>
      </c>
      <c r="L153" s="21" t="n">
        <v>122.43</v>
      </c>
      <c r="M153" s="21" t="n">
        <v>2448.6</v>
      </c>
      <c r="N153" s="19" t="s">
        <v>1406</v>
      </c>
      <c r="O153" s="21" t="n">
        <v>0</v>
      </c>
      <c r="P153" s="21" t="n">
        <v>0</v>
      </c>
      <c r="Q153" s="22" t="n">
        <f aca="false">AVERAGE(O153:P153)</f>
        <v>0</v>
      </c>
      <c r="R153" s="19" t="s">
        <v>1407</v>
      </c>
      <c r="S153" s="19" t="s">
        <v>1408</v>
      </c>
      <c r="T153" s="18" t="s">
        <v>123</v>
      </c>
      <c r="U153" s="18" t="s">
        <v>93</v>
      </c>
      <c r="V153" s="18" t="s">
        <v>94</v>
      </c>
      <c r="W153" s="19" t="s">
        <v>1409</v>
      </c>
      <c r="X153" s="23" t="s">
        <v>96</v>
      </c>
      <c r="Y153" s="24"/>
    </row>
    <row r="154" customFormat="false" ht="75" hidden="false" customHeight="true" outlineLevel="0" collapsed="false">
      <c r="A154" s="18" t="n">
        <v>150</v>
      </c>
      <c r="B154" s="18" t="s">
        <v>213</v>
      </c>
      <c r="C154" s="18" t="s">
        <v>1410</v>
      </c>
      <c r="D154" s="19" t="s">
        <v>1411</v>
      </c>
      <c r="E154" s="19" t="s">
        <v>1412</v>
      </c>
      <c r="F154" s="18" t="s">
        <v>30</v>
      </c>
      <c r="G154" s="28" t="s">
        <v>23</v>
      </c>
      <c r="H154" s="19" t="s">
        <v>1413</v>
      </c>
      <c r="I154" s="19" t="s">
        <v>1414</v>
      </c>
      <c r="J154" s="19"/>
      <c r="K154" s="18"/>
      <c r="L154" s="19"/>
      <c r="M154" s="19"/>
      <c r="N154" s="19" t="s">
        <v>1415</v>
      </c>
      <c r="O154" s="21" t="n">
        <v>207</v>
      </c>
      <c r="P154" s="21" t="n">
        <v>667</v>
      </c>
      <c r="Q154" s="22" t="n">
        <f aca="false">AVERAGE(O154:P154)</f>
        <v>437</v>
      </c>
      <c r="R154" s="19" t="s">
        <v>1416</v>
      </c>
      <c r="S154" s="19" t="s">
        <v>1417</v>
      </c>
      <c r="T154" s="18" t="s">
        <v>92</v>
      </c>
      <c r="U154" s="18" t="s">
        <v>93</v>
      </c>
      <c r="V154" s="18" t="s">
        <v>94</v>
      </c>
      <c r="W154" s="19" t="s">
        <v>1418</v>
      </c>
      <c r="X154" s="23" t="s">
        <v>96</v>
      </c>
      <c r="Y154" s="24"/>
    </row>
    <row r="155" customFormat="false" ht="75" hidden="false" customHeight="true" outlineLevel="0" collapsed="false">
      <c r="A155" s="18" t="n">
        <v>151</v>
      </c>
      <c r="B155" s="18" t="s">
        <v>822</v>
      </c>
      <c r="C155" s="18" t="s">
        <v>1419</v>
      </c>
      <c r="D155" s="19" t="s">
        <v>1420</v>
      </c>
      <c r="E155" s="19" t="s">
        <v>1421</v>
      </c>
      <c r="F155" s="18" t="s">
        <v>30</v>
      </c>
      <c r="G155" s="28" t="s">
        <v>23</v>
      </c>
      <c r="H155" s="19" t="s">
        <v>1422</v>
      </c>
      <c r="I155" s="19" t="s">
        <v>1423</v>
      </c>
      <c r="J155" s="26" t="n">
        <v>39.5</v>
      </c>
      <c r="K155" s="18" t="s">
        <v>138</v>
      </c>
      <c r="L155" s="21" t="n">
        <v>5.5</v>
      </c>
      <c r="M155" s="21" t="n">
        <v>217.25</v>
      </c>
      <c r="N155" s="19" t="s">
        <v>1424</v>
      </c>
      <c r="O155" s="21" t="n">
        <v>256.75</v>
      </c>
      <c r="P155" s="21" t="n">
        <v>493.75</v>
      </c>
      <c r="Q155" s="22" t="n">
        <f aca="false">AVERAGE(O155:P155)</f>
        <v>375.25</v>
      </c>
      <c r="R155" s="19" t="s">
        <v>1425</v>
      </c>
      <c r="S155" s="19" t="s">
        <v>1426</v>
      </c>
      <c r="T155" s="18" t="s">
        <v>92</v>
      </c>
      <c r="U155" s="18" t="s">
        <v>93</v>
      </c>
      <c r="V155" s="18" t="s">
        <v>211</v>
      </c>
      <c r="W155" s="19" t="s">
        <v>1427</v>
      </c>
      <c r="X155" s="23" t="s">
        <v>96</v>
      </c>
      <c r="Y155" s="24"/>
    </row>
    <row r="156" customFormat="false" ht="75" hidden="false" customHeight="true" outlineLevel="0" collapsed="false">
      <c r="A156" s="18" t="n">
        <v>152</v>
      </c>
      <c r="B156" s="18" t="s">
        <v>822</v>
      </c>
      <c r="C156" s="18" t="s">
        <v>1428</v>
      </c>
      <c r="D156" s="19" t="s">
        <v>1429</v>
      </c>
      <c r="E156" s="19" t="s">
        <v>1430</v>
      </c>
      <c r="F156" s="18" t="s">
        <v>31</v>
      </c>
      <c r="G156" s="28" t="s">
        <v>23</v>
      </c>
      <c r="H156" s="19" t="s">
        <v>1431</v>
      </c>
      <c r="I156" s="19" t="s">
        <v>1432</v>
      </c>
      <c r="J156" s="26" t="n">
        <v>37.91</v>
      </c>
      <c r="K156" s="18" t="s">
        <v>312</v>
      </c>
      <c r="L156" s="21" t="n">
        <v>51.9</v>
      </c>
      <c r="M156" s="21" t="n">
        <v>1967.53</v>
      </c>
      <c r="N156" s="19" t="s">
        <v>1433</v>
      </c>
      <c r="O156" s="21" t="n">
        <v>-640.68</v>
      </c>
      <c r="P156" s="21" t="n">
        <v>-1019.78</v>
      </c>
      <c r="Q156" s="22" t="n">
        <f aca="false">AVERAGE(O156:P156)</f>
        <v>-830.23</v>
      </c>
      <c r="R156" s="19" t="s">
        <v>1434</v>
      </c>
      <c r="S156" s="19" t="s">
        <v>1435</v>
      </c>
      <c r="T156" s="18" t="s">
        <v>92</v>
      </c>
      <c r="U156" s="18" t="s">
        <v>124</v>
      </c>
      <c r="V156" s="18" t="s">
        <v>211</v>
      </c>
      <c r="W156" s="19" t="s">
        <v>1436</v>
      </c>
      <c r="X156" s="23" t="s">
        <v>96</v>
      </c>
      <c r="Y156" s="24"/>
    </row>
    <row r="157" customFormat="false" ht="75" hidden="false" customHeight="true" outlineLevel="0" collapsed="false">
      <c r="A157" s="18" t="n">
        <v>153</v>
      </c>
      <c r="B157" s="18" t="s">
        <v>822</v>
      </c>
      <c r="C157" s="18" t="s">
        <v>1437</v>
      </c>
      <c r="D157" s="19" t="s">
        <v>1438</v>
      </c>
      <c r="E157" s="19" t="s">
        <v>1439</v>
      </c>
      <c r="F157" s="18" t="s">
        <v>37</v>
      </c>
      <c r="G157" s="28" t="s">
        <v>23</v>
      </c>
      <c r="H157" s="19" t="s">
        <v>1440</v>
      </c>
      <c r="I157" s="19" t="s">
        <v>1441</v>
      </c>
      <c r="J157" s="19"/>
      <c r="K157" s="18"/>
      <c r="L157" s="19"/>
      <c r="M157" s="19"/>
      <c r="N157" s="19" t="s">
        <v>1442</v>
      </c>
      <c r="O157" s="21" t="n">
        <v>0</v>
      </c>
      <c r="P157" s="21" t="n">
        <v>-678</v>
      </c>
      <c r="Q157" s="22" t="n">
        <f aca="false">AVERAGE(O157:P157)</f>
        <v>-339</v>
      </c>
      <c r="R157" s="19" t="s">
        <v>1443</v>
      </c>
      <c r="S157" s="19" t="s">
        <v>1444</v>
      </c>
      <c r="T157" s="18" t="s">
        <v>123</v>
      </c>
      <c r="U157" s="18" t="s">
        <v>93</v>
      </c>
      <c r="V157" s="18" t="s">
        <v>211</v>
      </c>
      <c r="W157" s="19" t="s">
        <v>1445</v>
      </c>
      <c r="X157" s="23" t="s">
        <v>96</v>
      </c>
      <c r="Y157" s="24"/>
    </row>
    <row r="158" customFormat="false" ht="75" hidden="false" customHeight="true" outlineLevel="0" collapsed="false">
      <c r="A158" s="18" t="n">
        <v>154</v>
      </c>
      <c r="B158" s="18" t="s">
        <v>822</v>
      </c>
      <c r="C158" s="18" t="s">
        <v>1446</v>
      </c>
      <c r="D158" s="19" t="s">
        <v>1447</v>
      </c>
      <c r="E158" s="19" t="s">
        <v>1448</v>
      </c>
      <c r="F158" s="18" t="s">
        <v>37</v>
      </c>
      <c r="G158" s="28" t="s">
        <v>23</v>
      </c>
      <c r="H158" s="19" t="s">
        <v>1449</v>
      </c>
      <c r="I158" s="19" t="s">
        <v>1450</v>
      </c>
      <c r="J158" s="19"/>
      <c r="K158" s="18"/>
      <c r="L158" s="19"/>
      <c r="M158" s="19"/>
      <c r="N158" s="19" t="s">
        <v>1451</v>
      </c>
      <c r="O158" s="21" t="n">
        <v>0</v>
      </c>
      <c r="P158" s="21" t="n">
        <v>-255</v>
      </c>
      <c r="Q158" s="22" t="n">
        <f aca="false">AVERAGE(O158:P158)</f>
        <v>-127.5</v>
      </c>
      <c r="R158" s="19" t="s">
        <v>1452</v>
      </c>
      <c r="S158" s="19" t="s">
        <v>1453</v>
      </c>
      <c r="T158" s="18" t="s">
        <v>123</v>
      </c>
      <c r="U158" s="18" t="s">
        <v>93</v>
      </c>
      <c r="V158" s="18" t="s">
        <v>94</v>
      </c>
      <c r="W158" s="19" t="s">
        <v>1454</v>
      </c>
      <c r="X158" s="23" t="s">
        <v>96</v>
      </c>
      <c r="Y158" s="24"/>
    </row>
    <row r="159" customFormat="false" ht="75" hidden="false" customHeight="true" outlineLevel="0" collapsed="false">
      <c r="A159" s="18" t="n">
        <v>155</v>
      </c>
      <c r="B159" s="18" t="s">
        <v>822</v>
      </c>
      <c r="C159" s="18" t="s">
        <v>850</v>
      </c>
      <c r="D159" s="19"/>
      <c r="E159" s="19" t="s">
        <v>852</v>
      </c>
      <c r="F159" s="18" t="s">
        <v>34</v>
      </c>
      <c r="G159" s="28" t="s">
        <v>23</v>
      </c>
      <c r="H159" s="19" t="s">
        <v>1455</v>
      </c>
      <c r="I159" s="19" t="s">
        <v>1456</v>
      </c>
      <c r="J159" s="26" t="n">
        <v>10</v>
      </c>
      <c r="K159" s="18" t="s">
        <v>165</v>
      </c>
      <c r="L159" s="21" t="n">
        <v>499.9</v>
      </c>
      <c r="M159" s="21" t="n">
        <v>4999</v>
      </c>
      <c r="N159" s="19" t="s">
        <v>1457</v>
      </c>
      <c r="O159" s="21" t="n">
        <v>0</v>
      </c>
      <c r="P159" s="21" t="n">
        <v>0</v>
      </c>
      <c r="Q159" s="22" t="n">
        <f aca="false">AVERAGE(O159:P159)</f>
        <v>0</v>
      </c>
      <c r="R159" s="19" t="s">
        <v>1458</v>
      </c>
      <c r="S159" s="19" t="s">
        <v>1459</v>
      </c>
      <c r="T159" s="18" t="s">
        <v>123</v>
      </c>
      <c r="U159" s="18" t="s">
        <v>124</v>
      </c>
      <c r="V159" s="18" t="s">
        <v>94</v>
      </c>
      <c r="W159" s="19" t="s">
        <v>1460</v>
      </c>
      <c r="X159" s="23" t="s">
        <v>96</v>
      </c>
      <c r="Y159" s="24"/>
    </row>
    <row r="160" customFormat="false" ht="75" hidden="false" customHeight="true" outlineLevel="0" collapsed="false">
      <c r="A160" s="18" t="n">
        <v>156</v>
      </c>
      <c r="B160" s="18" t="s">
        <v>822</v>
      </c>
      <c r="C160" s="18" t="s">
        <v>1461</v>
      </c>
      <c r="D160" s="19" t="s">
        <v>1462</v>
      </c>
      <c r="E160" s="19" t="s">
        <v>1463</v>
      </c>
      <c r="F160" s="18" t="s">
        <v>29</v>
      </c>
      <c r="G160" s="28" t="s">
        <v>23</v>
      </c>
      <c r="H160" s="19" t="s">
        <v>1464</v>
      </c>
      <c r="I160" s="19" t="s">
        <v>1465</v>
      </c>
      <c r="J160" s="26" t="n">
        <v>1</v>
      </c>
      <c r="K160" s="18" t="s">
        <v>165</v>
      </c>
      <c r="L160" s="21" t="n">
        <v>250</v>
      </c>
      <c r="M160" s="21" t="n">
        <v>250</v>
      </c>
      <c r="N160" s="19" t="s">
        <v>1466</v>
      </c>
      <c r="O160" s="21" t="n">
        <v>0</v>
      </c>
      <c r="P160" s="21" t="n">
        <v>-1000</v>
      </c>
      <c r="Q160" s="22" t="n">
        <f aca="false">AVERAGE(O160:P160)</f>
        <v>-500</v>
      </c>
      <c r="R160" s="19" t="s">
        <v>1467</v>
      </c>
      <c r="S160" s="19" t="s">
        <v>1468</v>
      </c>
      <c r="T160" s="18" t="s">
        <v>123</v>
      </c>
      <c r="U160" s="18" t="s">
        <v>124</v>
      </c>
      <c r="V160" s="18" t="s">
        <v>94</v>
      </c>
      <c r="W160" s="19" t="s">
        <v>1469</v>
      </c>
      <c r="X160" s="23" t="s">
        <v>96</v>
      </c>
      <c r="Y160" s="24"/>
    </row>
    <row r="161" customFormat="false" ht="75" hidden="false" customHeight="true" outlineLevel="0" collapsed="false">
      <c r="A161" s="18" t="n">
        <v>157</v>
      </c>
      <c r="B161" s="18" t="s">
        <v>822</v>
      </c>
      <c r="C161" s="18" t="s">
        <v>1470</v>
      </c>
      <c r="D161" s="19" t="s">
        <v>1471</v>
      </c>
      <c r="E161" s="19" t="s">
        <v>1472</v>
      </c>
      <c r="F161" s="18" t="s">
        <v>30</v>
      </c>
      <c r="G161" s="28" t="s">
        <v>23</v>
      </c>
      <c r="H161" s="19" t="s">
        <v>1473</v>
      </c>
      <c r="I161" s="19" t="s">
        <v>1474</v>
      </c>
      <c r="J161" s="26" t="n">
        <v>1</v>
      </c>
      <c r="K161" s="18" t="s">
        <v>165</v>
      </c>
      <c r="L161" s="21" t="n">
        <v>595.47</v>
      </c>
      <c r="M161" s="21" t="n">
        <v>595.47</v>
      </c>
      <c r="N161" s="19" t="s">
        <v>1475</v>
      </c>
      <c r="O161" s="21" t="n">
        <v>404.53</v>
      </c>
      <c r="P161" s="21" t="n">
        <v>1404.53</v>
      </c>
      <c r="Q161" s="22" t="n">
        <f aca="false">AVERAGE(O161:P161)</f>
        <v>904.53</v>
      </c>
      <c r="R161" s="19" t="s">
        <v>1476</v>
      </c>
      <c r="S161" s="19" t="s">
        <v>1477</v>
      </c>
      <c r="T161" s="18" t="s">
        <v>92</v>
      </c>
      <c r="U161" s="18" t="s">
        <v>93</v>
      </c>
      <c r="V161" s="18" t="s">
        <v>94</v>
      </c>
      <c r="W161" s="19" t="s">
        <v>1478</v>
      </c>
      <c r="X161" s="23" t="s">
        <v>96</v>
      </c>
      <c r="Y161" s="24"/>
    </row>
    <row r="162" customFormat="false" ht="75" hidden="false" customHeight="true" outlineLevel="0" collapsed="false">
      <c r="A162" s="18" t="n">
        <v>158</v>
      </c>
      <c r="B162" s="18" t="s">
        <v>822</v>
      </c>
      <c r="C162" s="18" t="s">
        <v>1479</v>
      </c>
      <c r="D162" s="19" t="s">
        <v>1480</v>
      </c>
      <c r="E162" s="19" t="s">
        <v>1481</v>
      </c>
      <c r="F162" s="18" t="s">
        <v>30</v>
      </c>
      <c r="G162" s="28" t="s">
        <v>23</v>
      </c>
      <c r="H162" s="19" t="s">
        <v>1482</v>
      </c>
      <c r="I162" s="19" t="s">
        <v>1483</v>
      </c>
      <c r="J162" s="26" t="n">
        <v>1</v>
      </c>
      <c r="K162" s="18" t="s">
        <v>165</v>
      </c>
      <c r="L162" s="21" t="n">
        <v>150</v>
      </c>
      <c r="M162" s="21" t="n">
        <v>150</v>
      </c>
      <c r="N162" s="19" t="s">
        <v>1484</v>
      </c>
      <c r="O162" s="21" t="n">
        <v>800</v>
      </c>
      <c r="P162" s="21" t="n">
        <v>2600</v>
      </c>
      <c r="Q162" s="22" t="n">
        <f aca="false">AVERAGE(O162:P162)</f>
        <v>1700</v>
      </c>
      <c r="R162" s="19" t="s">
        <v>1485</v>
      </c>
      <c r="S162" s="19" t="s">
        <v>1486</v>
      </c>
      <c r="T162" s="18" t="s">
        <v>92</v>
      </c>
      <c r="U162" s="18" t="s">
        <v>124</v>
      </c>
      <c r="V162" s="18" t="s">
        <v>94</v>
      </c>
      <c r="W162" s="19" t="s">
        <v>1487</v>
      </c>
      <c r="X162" s="23" t="s">
        <v>96</v>
      </c>
      <c r="Y162" s="24"/>
    </row>
    <row r="163" customFormat="false" ht="75" hidden="false" customHeight="true" outlineLevel="0" collapsed="false">
      <c r="A163" s="18" t="n">
        <v>159</v>
      </c>
      <c r="B163" s="18" t="s">
        <v>306</v>
      </c>
      <c r="C163" s="18" t="s">
        <v>1488</v>
      </c>
      <c r="D163" s="19" t="s">
        <v>1489</v>
      </c>
      <c r="E163" s="19" t="s">
        <v>825</v>
      </c>
      <c r="F163" s="18" t="s">
        <v>32</v>
      </c>
      <c r="G163" s="28" t="s">
        <v>23</v>
      </c>
      <c r="H163" s="19" t="s">
        <v>1490</v>
      </c>
      <c r="I163" s="19" t="s">
        <v>1491</v>
      </c>
      <c r="J163" s="26" t="n">
        <v>394.5</v>
      </c>
      <c r="K163" s="18" t="s">
        <v>138</v>
      </c>
      <c r="L163" s="21" t="n">
        <v>5.5</v>
      </c>
      <c r="M163" s="21" t="n">
        <v>2169.75</v>
      </c>
      <c r="N163" s="19" t="s">
        <v>1492</v>
      </c>
      <c r="O163" s="21" t="n">
        <v>-69.25</v>
      </c>
      <c r="P163" s="21" t="n">
        <v>-248.16</v>
      </c>
      <c r="Q163" s="22" t="n">
        <f aca="false">AVERAGE(O163:P163)</f>
        <v>-158.705</v>
      </c>
      <c r="R163" s="19" t="s">
        <v>1493</v>
      </c>
      <c r="S163" s="19" t="s">
        <v>1494</v>
      </c>
      <c r="T163" s="18" t="s">
        <v>123</v>
      </c>
      <c r="U163" s="18" t="s">
        <v>124</v>
      </c>
      <c r="V163" s="18" t="s">
        <v>94</v>
      </c>
      <c r="W163" s="19" t="s">
        <v>1495</v>
      </c>
      <c r="X163" s="23" t="s">
        <v>96</v>
      </c>
      <c r="Y163" s="24"/>
    </row>
    <row r="164" customFormat="false" ht="75" hidden="false" customHeight="true" outlineLevel="0" collapsed="false">
      <c r="A164" s="18" t="n">
        <v>160</v>
      </c>
      <c r="B164" s="18" t="s">
        <v>306</v>
      </c>
      <c r="C164" s="18" t="s">
        <v>1496</v>
      </c>
      <c r="D164" s="19" t="s">
        <v>1497</v>
      </c>
      <c r="E164" s="19" t="s">
        <v>1498</v>
      </c>
      <c r="F164" s="18" t="s">
        <v>29</v>
      </c>
      <c r="G164" s="28" t="s">
        <v>23</v>
      </c>
      <c r="H164" s="19" t="s">
        <v>1499</v>
      </c>
      <c r="I164" s="19" t="s">
        <v>1500</v>
      </c>
      <c r="J164" s="19"/>
      <c r="K164" s="18"/>
      <c r="L164" s="19"/>
      <c r="M164" s="19"/>
      <c r="N164" s="19" t="s">
        <v>1501</v>
      </c>
      <c r="O164" s="21" t="n">
        <v>-700</v>
      </c>
      <c r="P164" s="21" t="n">
        <v>-840</v>
      </c>
      <c r="Q164" s="22" t="n">
        <f aca="false">AVERAGE(O164:P164)</f>
        <v>-770</v>
      </c>
      <c r="R164" s="19" t="s">
        <v>1502</v>
      </c>
      <c r="S164" s="19" t="s">
        <v>1503</v>
      </c>
      <c r="T164" s="18" t="s">
        <v>123</v>
      </c>
      <c r="U164" s="18" t="s">
        <v>93</v>
      </c>
      <c r="V164" s="18" t="s">
        <v>94</v>
      </c>
      <c r="W164" s="19" t="s">
        <v>1504</v>
      </c>
      <c r="X164" s="23" t="s">
        <v>96</v>
      </c>
      <c r="Y164" s="24"/>
    </row>
    <row r="165" customFormat="false" ht="75" hidden="false" customHeight="true" outlineLevel="0" collapsed="false">
      <c r="A165" s="18" t="n">
        <v>161</v>
      </c>
      <c r="B165" s="18" t="s">
        <v>306</v>
      </c>
      <c r="C165" s="18" t="s">
        <v>1384</v>
      </c>
      <c r="D165" s="19" t="s">
        <v>1505</v>
      </c>
      <c r="E165" s="19" t="s">
        <v>1506</v>
      </c>
      <c r="F165" s="18" t="s">
        <v>29</v>
      </c>
      <c r="G165" s="28" t="s">
        <v>23</v>
      </c>
      <c r="H165" s="19" t="s">
        <v>1507</v>
      </c>
      <c r="I165" s="19" t="s">
        <v>1508</v>
      </c>
      <c r="J165" s="19"/>
      <c r="K165" s="18"/>
      <c r="L165" s="19"/>
      <c r="M165" s="19"/>
      <c r="N165" s="19" t="s">
        <v>1509</v>
      </c>
      <c r="O165" s="21" t="n">
        <v>-210</v>
      </c>
      <c r="P165" s="21" t="n">
        <v>-245</v>
      </c>
      <c r="Q165" s="22" t="n">
        <f aca="false">AVERAGE(O165:P165)</f>
        <v>-227.5</v>
      </c>
      <c r="R165" s="19" t="s">
        <v>1510</v>
      </c>
      <c r="S165" s="19" t="s">
        <v>1511</v>
      </c>
      <c r="T165" s="18" t="s">
        <v>123</v>
      </c>
      <c r="U165" s="18" t="s">
        <v>93</v>
      </c>
      <c r="V165" s="18" t="s">
        <v>94</v>
      </c>
      <c r="W165" s="19" t="s">
        <v>1512</v>
      </c>
      <c r="X165" s="23" t="s">
        <v>96</v>
      </c>
      <c r="Y165" s="24"/>
    </row>
    <row r="166" customFormat="false" ht="75" hidden="false" customHeight="true" outlineLevel="0" collapsed="false">
      <c r="A166" s="18" t="n">
        <v>162</v>
      </c>
      <c r="B166" s="18" t="s">
        <v>306</v>
      </c>
      <c r="C166" s="18" t="s">
        <v>1513</v>
      </c>
      <c r="D166" s="19" t="s">
        <v>1514</v>
      </c>
      <c r="E166" s="19" t="s">
        <v>1515</v>
      </c>
      <c r="F166" s="18" t="s">
        <v>33</v>
      </c>
      <c r="G166" s="28" t="s">
        <v>23</v>
      </c>
      <c r="H166" s="19" t="s">
        <v>1516</v>
      </c>
      <c r="I166" s="19" t="s">
        <v>1517</v>
      </c>
      <c r="J166" s="26" t="n">
        <v>10</v>
      </c>
      <c r="K166" s="18" t="s">
        <v>165</v>
      </c>
      <c r="L166" s="21" t="n">
        <v>496.02</v>
      </c>
      <c r="M166" s="21" t="n">
        <v>4960.2</v>
      </c>
      <c r="N166" s="19" t="s">
        <v>1518</v>
      </c>
      <c r="O166" s="21" t="n">
        <v>0</v>
      </c>
      <c r="P166" s="21" t="n">
        <v>0</v>
      </c>
      <c r="Q166" s="22" t="n">
        <f aca="false">AVERAGE(O166:P166)</f>
        <v>0</v>
      </c>
      <c r="R166" s="19" t="s">
        <v>1519</v>
      </c>
      <c r="S166" s="19" t="s">
        <v>1520</v>
      </c>
      <c r="T166" s="18" t="s">
        <v>123</v>
      </c>
      <c r="U166" s="18" t="s">
        <v>124</v>
      </c>
      <c r="V166" s="18" t="s">
        <v>94</v>
      </c>
      <c r="W166" s="19" t="s">
        <v>1521</v>
      </c>
      <c r="X166" s="23" t="s">
        <v>96</v>
      </c>
      <c r="Y166" s="24"/>
    </row>
    <row r="167" customFormat="false" ht="75" hidden="false" customHeight="true" outlineLevel="0" collapsed="false">
      <c r="A167" s="18" t="n">
        <v>163</v>
      </c>
      <c r="B167" s="18" t="s">
        <v>306</v>
      </c>
      <c r="C167" s="18" t="s">
        <v>1522</v>
      </c>
      <c r="D167" s="19" t="s">
        <v>1523</v>
      </c>
      <c r="E167" s="19" t="s">
        <v>1472</v>
      </c>
      <c r="F167" s="18" t="s">
        <v>30</v>
      </c>
      <c r="G167" s="28" t="s">
        <v>23</v>
      </c>
      <c r="H167" s="19" t="s">
        <v>1524</v>
      </c>
      <c r="I167" s="19" t="s">
        <v>1525</v>
      </c>
      <c r="J167" s="26" t="n">
        <v>1</v>
      </c>
      <c r="K167" s="18" t="s">
        <v>1526</v>
      </c>
      <c r="L167" s="21" t="n">
        <v>100</v>
      </c>
      <c r="M167" s="21" t="n">
        <v>100</v>
      </c>
      <c r="N167" s="19" t="s">
        <v>1527</v>
      </c>
      <c r="O167" s="21" t="n">
        <v>400</v>
      </c>
      <c r="P167" s="21" t="n">
        <v>1400</v>
      </c>
      <c r="Q167" s="22" t="n">
        <f aca="false">AVERAGE(O167:P167)</f>
        <v>900</v>
      </c>
      <c r="R167" s="19" t="s">
        <v>1528</v>
      </c>
      <c r="S167" s="19" t="s">
        <v>1529</v>
      </c>
      <c r="T167" s="18" t="s">
        <v>92</v>
      </c>
      <c r="U167" s="18" t="s">
        <v>93</v>
      </c>
      <c r="V167" s="18" t="s">
        <v>94</v>
      </c>
      <c r="W167" s="19" t="s">
        <v>1530</v>
      </c>
      <c r="X167" s="23" t="s">
        <v>96</v>
      </c>
      <c r="Y167" s="24"/>
    </row>
    <row r="168" customFormat="false" ht="75" hidden="false" customHeight="true" outlineLevel="0" collapsed="false">
      <c r="A168" s="18" t="n">
        <v>164</v>
      </c>
      <c r="B168" s="18" t="s">
        <v>317</v>
      </c>
      <c r="C168" s="18" t="s">
        <v>1531</v>
      </c>
      <c r="D168" s="19" t="s">
        <v>1532</v>
      </c>
      <c r="E168" s="19" t="s">
        <v>1533</v>
      </c>
      <c r="F168" s="18" t="s">
        <v>33</v>
      </c>
      <c r="G168" s="28" t="s">
        <v>23</v>
      </c>
      <c r="H168" s="19" t="s">
        <v>1534</v>
      </c>
      <c r="I168" s="19" t="s">
        <v>1535</v>
      </c>
      <c r="J168" s="19"/>
      <c r="K168" s="18"/>
      <c r="L168" s="19"/>
      <c r="M168" s="19"/>
      <c r="N168" s="19" t="s">
        <v>1536</v>
      </c>
      <c r="O168" s="21" t="n">
        <v>0</v>
      </c>
      <c r="P168" s="21" t="n">
        <v>0</v>
      </c>
      <c r="Q168" s="22" t="n">
        <f aca="false">AVERAGE(O168:P168)</f>
        <v>0</v>
      </c>
      <c r="R168" s="19" t="s">
        <v>1537</v>
      </c>
      <c r="S168" s="19" t="s">
        <v>1538</v>
      </c>
      <c r="T168" s="18" t="s">
        <v>123</v>
      </c>
      <c r="U168" s="18" t="s">
        <v>93</v>
      </c>
      <c r="V168" s="18" t="s">
        <v>94</v>
      </c>
      <c r="W168" s="19" t="s">
        <v>1539</v>
      </c>
      <c r="X168" s="23" t="s">
        <v>96</v>
      </c>
      <c r="Y168" s="24"/>
    </row>
    <row r="169" customFormat="false" ht="75" hidden="false" customHeight="true" outlineLevel="0" collapsed="false">
      <c r="A169" s="18" t="n">
        <v>165</v>
      </c>
      <c r="B169" s="18" t="s">
        <v>317</v>
      </c>
      <c r="C169" s="18" t="s">
        <v>1540</v>
      </c>
      <c r="D169" s="19" t="s">
        <v>1541</v>
      </c>
      <c r="E169" s="19" t="s">
        <v>1542</v>
      </c>
      <c r="F169" s="18" t="s">
        <v>33</v>
      </c>
      <c r="G169" s="28" t="s">
        <v>23</v>
      </c>
      <c r="H169" s="19" t="s">
        <v>1543</v>
      </c>
      <c r="I169" s="19" t="s">
        <v>1544</v>
      </c>
      <c r="J169" s="26" t="n">
        <v>8.4</v>
      </c>
      <c r="K169" s="18" t="s">
        <v>312</v>
      </c>
      <c r="L169" s="21" t="n">
        <v>147.46</v>
      </c>
      <c r="M169" s="21" t="n">
        <v>1238.66</v>
      </c>
      <c r="N169" s="19" t="s">
        <v>1545</v>
      </c>
      <c r="O169" s="21" t="n">
        <v>0</v>
      </c>
      <c r="P169" s="21" t="n">
        <v>0</v>
      </c>
      <c r="Q169" s="22" t="n">
        <f aca="false">AVERAGE(O169:P169)</f>
        <v>0</v>
      </c>
      <c r="R169" s="19" t="s">
        <v>1546</v>
      </c>
      <c r="S169" s="19" t="s">
        <v>1547</v>
      </c>
      <c r="T169" s="18" t="s">
        <v>123</v>
      </c>
      <c r="U169" s="18" t="s">
        <v>124</v>
      </c>
      <c r="V169" s="18" t="s">
        <v>94</v>
      </c>
      <c r="W169" s="19" t="s">
        <v>1548</v>
      </c>
      <c r="X169" s="23" t="s">
        <v>96</v>
      </c>
      <c r="Y169" s="24"/>
    </row>
    <row r="170" customFormat="false" ht="75" hidden="false" customHeight="true" outlineLevel="0" collapsed="false">
      <c r="A170" s="18" t="n">
        <v>166</v>
      </c>
      <c r="B170" s="18" t="s">
        <v>317</v>
      </c>
      <c r="C170" s="18" t="s">
        <v>1549</v>
      </c>
      <c r="D170" s="19" t="s">
        <v>1550</v>
      </c>
      <c r="E170" s="19" t="s">
        <v>1551</v>
      </c>
      <c r="F170" s="18" t="s">
        <v>32</v>
      </c>
      <c r="G170" s="28" t="s">
        <v>23</v>
      </c>
      <c r="H170" s="19" t="s">
        <v>1552</v>
      </c>
      <c r="I170" s="19" t="s">
        <v>1553</v>
      </c>
      <c r="J170" s="26" t="n">
        <v>1</v>
      </c>
      <c r="K170" s="18" t="s">
        <v>165</v>
      </c>
      <c r="L170" s="21" t="n">
        <v>473.97</v>
      </c>
      <c r="M170" s="21" t="n">
        <v>473.97</v>
      </c>
      <c r="N170" s="19" t="s">
        <v>1554</v>
      </c>
      <c r="O170" s="21" t="n">
        <v>170.86</v>
      </c>
      <c r="P170" s="21" t="n">
        <v>1026.03</v>
      </c>
      <c r="Q170" s="22" t="n">
        <f aca="false">AVERAGE(O170:P170)</f>
        <v>598.445</v>
      </c>
      <c r="R170" s="19" t="s">
        <v>1555</v>
      </c>
      <c r="S170" s="19" t="s">
        <v>1556</v>
      </c>
      <c r="T170" s="18" t="s">
        <v>92</v>
      </c>
      <c r="U170" s="18" t="s">
        <v>93</v>
      </c>
      <c r="V170" s="18" t="s">
        <v>94</v>
      </c>
      <c r="W170" s="19" t="s">
        <v>1557</v>
      </c>
      <c r="X170" s="23" t="s">
        <v>96</v>
      </c>
      <c r="Y170" s="24"/>
    </row>
    <row r="171" customFormat="false" ht="75" hidden="false" customHeight="true" outlineLevel="0" collapsed="false">
      <c r="A171" s="18" t="n">
        <v>167</v>
      </c>
      <c r="B171" s="18" t="s">
        <v>317</v>
      </c>
      <c r="C171" s="18" t="s">
        <v>1558</v>
      </c>
      <c r="D171" s="19" t="s">
        <v>1559</v>
      </c>
      <c r="E171" s="19" t="s">
        <v>1560</v>
      </c>
      <c r="F171" s="18" t="s">
        <v>33</v>
      </c>
      <c r="G171" s="28" t="s">
        <v>23</v>
      </c>
      <c r="H171" s="19" t="s">
        <v>1561</v>
      </c>
      <c r="I171" s="19" t="s">
        <v>1562</v>
      </c>
      <c r="J171" s="26" t="n">
        <v>87.4</v>
      </c>
      <c r="K171" s="18" t="s">
        <v>312</v>
      </c>
      <c r="L171" s="21" t="n">
        <v>236.38</v>
      </c>
      <c r="M171" s="21" t="n">
        <v>20659.56</v>
      </c>
      <c r="N171" s="19" t="s">
        <v>1563</v>
      </c>
      <c r="O171" s="21" t="n">
        <v>0</v>
      </c>
      <c r="P171" s="21" t="n">
        <v>0</v>
      </c>
      <c r="Q171" s="22" t="n">
        <f aca="false">AVERAGE(O171:P171)</f>
        <v>0</v>
      </c>
      <c r="R171" s="19" t="s">
        <v>1564</v>
      </c>
      <c r="S171" s="19" t="s">
        <v>1565</v>
      </c>
      <c r="T171" s="18" t="s">
        <v>123</v>
      </c>
      <c r="U171" s="18" t="s">
        <v>124</v>
      </c>
      <c r="V171" s="18" t="s">
        <v>94</v>
      </c>
      <c r="W171" s="19" t="s">
        <v>1566</v>
      </c>
      <c r="X171" s="23" t="s">
        <v>96</v>
      </c>
      <c r="Y171" s="24"/>
    </row>
    <row r="172" customFormat="false" ht="75" hidden="false" customHeight="true" outlineLevel="0" collapsed="false">
      <c r="A172" s="18" t="n">
        <v>168</v>
      </c>
      <c r="B172" s="18" t="s">
        <v>317</v>
      </c>
      <c r="C172" s="18" t="s">
        <v>1567</v>
      </c>
      <c r="D172" s="19" t="s">
        <v>1568</v>
      </c>
      <c r="E172" s="19" t="s">
        <v>1569</v>
      </c>
      <c r="F172" s="18" t="s">
        <v>30</v>
      </c>
      <c r="G172" s="28" t="s">
        <v>23</v>
      </c>
      <c r="H172" s="19" t="s">
        <v>1570</v>
      </c>
      <c r="I172" s="19" t="s">
        <v>1571</v>
      </c>
      <c r="J172" s="26" t="n">
        <v>1</v>
      </c>
      <c r="K172" s="18" t="s">
        <v>1526</v>
      </c>
      <c r="L172" s="21" t="n">
        <v>200</v>
      </c>
      <c r="M172" s="21" t="n">
        <v>200</v>
      </c>
      <c r="N172" s="19" t="s">
        <v>1572</v>
      </c>
      <c r="O172" s="21" t="n">
        <v>500</v>
      </c>
      <c r="P172" s="21" t="n">
        <v>1800</v>
      </c>
      <c r="Q172" s="22" t="n">
        <f aca="false">AVERAGE(O172:P172)</f>
        <v>1150</v>
      </c>
      <c r="R172" s="19" t="s">
        <v>1573</v>
      </c>
      <c r="S172" s="19" t="s">
        <v>1574</v>
      </c>
      <c r="T172" s="18" t="s">
        <v>92</v>
      </c>
      <c r="U172" s="18" t="s">
        <v>93</v>
      </c>
      <c r="V172" s="18" t="s">
        <v>94</v>
      </c>
      <c r="W172" s="19" t="s">
        <v>1575</v>
      </c>
      <c r="X172" s="23" t="s">
        <v>96</v>
      </c>
      <c r="Y172" s="24"/>
    </row>
    <row r="173" customFormat="false" ht="75" hidden="false" customHeight="true" outlineLevel="0" collapsed="false">
      <c r="A173" s="18" t="n">
        <v>169</v>
      </c>
      <c r="B173" s="18" t="s">
        <v>354</v>
      </c>
      <c r="C173" s="18" t="s">
        <v>1576</v>
      </c>
      <c r="D173" s="19" t="s">
        <v>1577</v>
      </c>
      <c r="E173" s="19" t="s">
        <v>1578</v>
      </c>
      <c r="F173" s="18" t="s">
        <v>27</v>
      </c>
      <c r="G173" s="28" t="s">
        <v>23</v>
      </c>
      <c r="H173" s="19" t="s">
        <v>1579</v>
      </c>
      <c r="I173" s="19" t="s">
        <v>1580</v>
      </c>
      <c r="J173" s="26" t="n">
        <v>4</v>
      </c>
      <c r="K173" s="18" t="s">
        <v>165</v>
      </c>
      <c r="L173" s="21" t="n">
        <v>150</v>
      </c>
      <c r="M173" s="21" t="n">
        <v>600</v>
      </c>
      <c r="N173" s="19" t="s">
        <v>1581</v>
      </c>
      <c r="O173" s="21" t="n">
        <v>0</v>
      </c>
      <c r="P173" s="21" t="n">
        <v>400</v>
      </c>
      <c r="Q173" s="22" t="n">
        <f aca="false">AVERAGE(O173:P173)</f>
        <v>200</v>
      </c>
      <c r="R173" s="19" t="s">
        <v>1582</v>
      </c>
      <c r="S173" s="19" t="s">
        <v>1583</v>
      </c>
      <c r="T173" s="18" t="s">
        <v>123</v>
      </c>
      <c r="U173" s="18" t="s">
        <v>93</v>
      </c>
      <c r="V173" s="18" t="s">
        <v>94</v>
      </c>
      <c r="W173" s="19" t="s">
        <v>1584</v>
      </c>
      <c r="X173" s="23" t="s">
        <v>96</v>
      </c>
      <c r="Y173" s="24"/>
    </row>
    <row r="174" customFormat="false" ht="75" hidden="false" customHeight="true" outlineLevel="0" collapsed="false">
      <c r="A174" s="18" t="n">
        <v>170</v>
      </c>
      <c r="B174" s="18" t="s">
        <v>354</v>
      </c>
      <c r="C174" s="18" t="s">
        <v>1585</v>
      </c>
      <c r="D174" s="19" t="s">
        <v>1586</v>
      </c>
      <c r="E174" s="19" t="s">
        <v>1587</v>
      </c>
      <c r="F174" s="18" t="s">
        <v>29</v>
      </c>
      <c r="G174" s="28" t="s">
        <v>23</v>
      </c>
      <c r="H174" s="19" t="s">
        <v>1588</v>
      </c>
      <c r="I174" s="19" t="s">
        <v>1589</v>
      </c>
      <c r="J174" s="26" t="n">
        <v>155</v>
      </c>
      <c r="K174" s="18" t="s">
        <v>312</v>
      </c>
      <c r="L174" s="21" t="n">
        <v>4.51</v>
      </c>
      <c r="M174" s="21" t="n">
        <v>699.05</v>
      </c>
      <c r="N174" s="19" t="s">
        <v>1590</v>
      </c>
      <c r="O174" s="21" t="n">
        <v>-699.05</v>
      </c>
      <c r="P174" s="21" t="n">
        <v>-699.05</v>
      </c>
      <c r="Q174" s="22" t="n">
        <f aca="false">AVERAGE(O174:P174)</f>
        <v>-699.05</v>
      </c>
      <c r="R174" s="19" t="s">
        <v>1591</v>
      </c>
      <c r="S174" s="19" t="s">
        <v>1592</v>
      </c>
      <c r="T174" s="18" t="s">
        <v>123</v>
      </c>
      <c r="U174" s="18" t="s">
        <v>93</v>
      </c>
      <c r="V174" s="18" t="s">
        <v>94</v>
      </c>
      <c r="W174" s="19" t="s">
        <v>1593</v>
      </c>
      <c r="X174" s="23" t="s">
        <v>96</v>
      </c>
      <c r="Y174" s="24"/>
    </row>
    <row r="175" customFormat="false" ht="75" hidden="false" customHeight="true" outlineLevel="0" collapsed="false">
      <c r="A175" s="18" t="n">
        <v>171</v>
      </c>
      <c r="B175" s="18" t="s">
        <v>354</v>
      </c>
      <c r="C175" s="18" t="s">
        <v>1594</v>
      </c>
      <c r="D175" s="19" t="s">
        <v>1595</v>
      </c>
      <c r="E175" s="19" t="s">
        <v>1596</v>
      </c>
      <c r="F175" s="18" t="s">
        <v>37</v>
      </c>
      <c r="G175" s="28" t="s">
        <v>23</v>
      </c>
      <c r="H175" s="19" t="s">
        <v>1597</v>
      </c>
      <c r="I175" s="19" t="s">
        <v>1598</v>
      </c>
      <c r="J175" s="26" t="n">
        <v>1</v>
      </c>
      <c r="K175" s="18" t="s">
        <v>165</v>
      </c>
      <c r="L175" s="21" t="n">
        <v>1313.81</v>
      </c>
      <c r="M175" s="21" t="n">
        <v>1313.81</v>
      </c>
      <c r="N175" s="19" t="s">
        <v>1599</v>
      </c>
      <c r="O175" s="21" t="n">
        <v>0</v>
      </c>
      <c r="P175" s="21" t="n">
        <v>0</v>
      </c>
      <c r="Q175" s="22" t="n">
        <f aca="false">AVERAGE(O175:P175)</f>
        <v>0</v>
      </c>
      <c r="R175" s="19" t="s">
        <v>1600</v>
      </c>
      <c r="S175" s="19" t="s">
        <v>1601</v>
      </c>
      <c r="T175" s="18" t="s">
        <v>92</v>
      </c>
      <c r="U175" s="18" t="s">
        <v>124</v>
      </c>
      <c r="V175" s="18" t="s">
        <v>94</v>
      </c>
      <c r="W175" s="19" t="s">
        <v>1602</v>
      </c>
      <c r="X175" s="23" t="s">
        <v>96</v>
      </c>
      <c r="Y175" s="24"/>
    </row>
    <row r="176" customFormat="false" ht="75" hidden="false" customHeight="true" outlineLevel="0" collapsed="false">
      <c r="A176" s="18" t="n">
        <v>172</v>
      </c>
      <c r="B176" s="18" t="s">
        <v>354</v>
      </c>
      <c r="C176" s="18" t="s">
        <v>1603</v>
      </c>
      <c r="D176" s="19" t="s">
        <v>1604</v>
      </c>
      <c r="E176" s="19" t="s">
        <v>1605</v>
      </c>
      <c r="F176" s="18" t="s">
        <v>27</v>
      </c>
      <c r="G176" s="28" t="s">
        <v>23</v>
      </c>
      <c r="H176" s="19" t="s">
        <v>1606</v>
      </c>
      <c r="I176" s="19" t="s">
        <v>1607</v>
      </c>
      <c r="J176" s="26" t="n">
        <v>10</v>
      </c>
      <c r="K176" s="18" t="s">
        <v>312</v>
      </c>
      <c r="L176" s="21" t="n">
        <v>3.98</v>
      </c>
      <c r="M176" s="21" t="n">
        <v>39.8</v>
      </c>
      <c r="N176" s="19" t="s">
        <v>1608</v>
      </c>
      <c r="O176" s="21" t="n">
        <v>0</v>
      </c>
      <c r="P176" s="21" t="n">
        <v>0</v>
      </c>
      <c r="Q176" s="22" t="n">
        <f aca="false">AVERAGE(O176:P176)</f>
        <v>0</v>
      </c>
      <c r="R176" s="19" t="s">
        <v>1609</v>
      </c>
      <c r="S176" s="19" t="s">
        <v>1610</v>
      </c>
      <c r="T176" s="18" t="s">
        <v>123</v>
      </c>
      <c r="U176" s="18" t="s">
        <v>93</v>
      </c>
      <c r="V176" s="18" t="s">
        <v>94</v>
      </c>
      <c r="W176" s="19" t="s">
        <v>1611</v>
      </c>
      <c r="X176" s="23" t="s">
        <v>96</v>
      </c>
      <c r="Y176" s="24"/>
    </row>
    <row r="177" customFormat="false" ht="75" hidden="false" customHeight="true" outlineLevel="0" collapsed="false">
      <c r="A177" s="18" t="n">
        <v>173</v>
      </c>
      <c r="B177" s="18" t="s">
        <v>354</v>
      </c>
      <c r="C177" s="18" t="s">
        <v>1612</v>
      </c>
      <c r="D177" s="19" t="s">
        <v>1613</v>
      </c>
      <c r="E177" s="19" t="s">
        <v>1614</v>
      </c>
      <c r="F177" s="18" t="s">
        <v>37</v>
      </c>
      <c r="G177" s="28" t="s">
        <v>23</v>
      </c>
      <c r="H177" s="19" t="s">
        <v>1615</v>
      </c>
      <c r="I177" s="19" t="s">
        <v>1616</v>
      </c>
      <c r="J177" s="19"/>
      <c r="K177" s="18"/>
      <c r="L177" s="19"/>
      <c r="M177" s="19"/>
      <c r="N177" s="19" t="s">
        <v>1617</v>
      </c>
      <c r="O177" s="21" t="n">
        <v>0</v>
      </c>
      <c r="P177" s="21" t="n">
        <v>3599.5</v>
      </c>
      <c r="Q177" s="22" t="n">
        <f aca="false">AVERAGE(O177:P177)</f>
        <v>1799.75</v>
      </c>
      <c r="R177" s="19" t="s">
        <v>1618</v>
      </c>
      <c r="S177" s="19" t="s">
        <v>1619</v>
      </c>
      <c r="T177" s="18" t="s">
        <v>123</v>
      </c>
      <c r="U177" s="18" t="s">
        <v>93</v>
      </c>
      <c r="V177" s="18" t="s">
        <v>211</v>
      </c>
      <c r="W177" s="19" t="s">
        <v>1620</v>
      </c>
      <c r="X177" s="23" t="s">
        <v>96</v>
      </c>
      <c r="Y177" s="24"/>
    </row>
    <row r="178" customFormat="false" ht="75" hidden="false" customHeight="true" outlineLevel="0" collapsed="false">
      <c r="A178" s="18" t="n">
        <v>174</v>
      </c>
      <c r="B178" s="18" t="s">
        <v>354</v>
      </c>
      <c r="C178" s="18" t="s">
        <v>1621</v>
      </c>
      <c r="D178" s="19" t="s">
        <v>1622</v>
      </c>
      <c r="E178" s="19" t="s">
        <v>1623</v>
      </c>
      <c r="F178" s="18" t="s">
        <v>37</v>
      </c>
      <c r="G178" s="28" t="s">
        <v>23</v>
      </c>
      <c r="H178" s="19" t="s">
        <v>1624</v>
      </c>
      <c r="I178" s="19" t="s">
        <v>1625</v>
      </c>
      <c r="J178" s="26" t="n">
        <v>31</v>
      </c>
      <c r="K178" s="18" t="s">
        <v>165</v>
      </c>
      <c r="L178" s="21" t="n">
        <v>11.94</v>
      </c>
      <c r="M178" s="21" t="n">
        <v>370.14</v>
      </c>
      <c r="N178" s="19" t="s">
        <v>1626</v>
      </c>
      <c r="O178" s="21" t="n">
        <v>0</v>
      </c>
      <c r="P178" s="21" t="n">
        <v>0</v>
      </c>
      <c r="Q178" s="22" t="n">
        <f aca="false">AVERAGE(O178:P178)</f>
        <v>0</v>
      </c>
      <c r="R178" s="19" t="s">
        <v>1627</v>
      </c>
      <c r="S178" s="19" t="s">
        <v>1628</v>
      </c>
      <c r="T178" s="18" t="s">
        <v>123</v>
      </c>
      <c r="U178" s="18" t="s">
        <v>93</v>
      </c>
      <c r="V178" s="18" t="s">
        <v>94</v>
      </c>
      <c r="W178" s="19" t="s">
        <v>1629</v>
      </c>
      <c r="X178" s="23" t="s">
        <v>96</v>
      </c>
      <c r="Y178" s="24"/>
    </row>
    <row r="179" customFormat="false" ht="75" hidden="false" customHeight="true" outlineLevel="0" collapsed="false">
      <c r="A179" s="18" t="n">
        <v>175</v>
      </c>
      <c r="B179" s="18" t="s">
        <v>354</v>
      </c>
      <c r="C179" s="18" t="s">
        <v>1630</v>
      </c>
      <c r="D179" s="19" t="s">
        <v>1631</v>
      </c>
      <c r="E179" s="19" t="s">
        <v>1632</v>
      </c>
      <c r="F179" s="18" t="s">
        <v>33</v>
      </c>
      <c r="G179" s="28" t="s">
        <v>23</v>
      </c>
      <c r="H179" s="19" t="s">
        <v>1633</v>
      </c>
      <c r="I179" s="19" t="s">
        <v>1634</v>
      </c>
      <c r="J179" s="26" t="n">
        <v>10</v>
      </c>
      <c r="K179" s="18" t="s">
        <v>312</v>
      </c>
      <c r="L179" s="21" t="n">
        <v>25.21</v>
      </c>
      <c r="M179" s="21" t="n">
        <v>252.1</v>
      </c>
      <c r="N179" s="19" t="s">
        <v>1635</v>
      </c>
      <c r="O179" s="21" t="n">
        <v>-172.1</v>
      </c>
      <c r="P179" s="21" t="n">
        <v>-222.1</v>
      </c>
      <c r="Q179" s="22" t="n">
        <f aca="false">AVERAGE(O179:P179)</f>
        <v>-197.1</v>
      </c>
      <c r="R179" s="19" t="s">
        <v>1636</v>
      </c>
      <c r="S179" s="19" t="s">
        <v>1637</v>
      </c>
      <c r="T179" s="18" t="s">
        <v>92</v>
      </c>
      <c r="U179" s="18" t="s">
        <v>93</v>
      </c>
      <c r="V179" s="18" t="s">
        <v>211</v>
      </c>
      <c r="W179" s="19" t="s">
        <v>1638</v>
      </c>
      <c r="X179" s="23" t="s">
        <v>96</v>
      </c>
      <c r="Y179" s="24"/>
    </row>
    <row r="180" customFormat="false" ht="75" hidden="false" customHeight="true" outlineLevel="0" collapsed="false">
      <c r="A180" s="18" t="n">
        <v>176</v>
      </c>
      <c r="B180" s="18" t="s">
        <v>354</v>
      </c>
      <c r="C180" s="18" t="s">
        <v>1639</v>
      </c>
      <c r="D180" s="19" t="s">
        <v>1640</v>
      </c>
      <c r="E180" s="19" t="s">
        <v>1641</v>
      </c>
      <c r="F180" s="18" t="s">
        <v>30</v>
      </c>
      <c r="G180" s="28" t="s">
        <v>23</v>
      </c>
      <c r="H180" s="19" t="s">
        <v>1642</v>
      </c>
      <c r="I180" s="19" t="s">
        <v>1643</v>
      </c>
      <c r="J180" s="26" t="n">
        <v>1</v>
      </c>
      <c r="K180" s="18" t="s">
        <v>165</v>
      </c>
      <c r="L180" s="21" t="n">
        <v>100</v>
      </c>
      <c r="M180" s="21" t="n">
        <v>100</v>
      </c>
      <c r="N180" s="19" t="s">
        <v>1644</v>
      </c>
      <c r="O180" s="21" t="n">
        <v>900</v>
      </c>
      <c r="P180" s="21" t="n">
        <v>1900</v>
      </c>
      <c r="Q180" s="22" t="n">
        <f aca="false">AVERAGE(O180:P180)</f>
        <v>1400</v>
      </c>
      <c r="R180" s="19" t="s">
        <v>1645</v>
      </c>
      <c r="S180" s="19" t="s">
        <v>1167</v>
      </c>
      <c r="T180" s="18" t="s">
        <v>92</v>
      </c>
      <c r="U180" s="18" t="s">
        <v>93</v>
      </c>
      <c r="V180" s="18" t="s">
        <v>94</v>
      </c>
      <c r="W180" s="19" t="s">
        <v>1646</v>
      </c>
      <c r="X180" s="23" t="s">
        <v>96</v>
      </c>
      <c r="Y180" s="24"/>
    </row>
    <row r="181" customFormat="false" ht="75" hidden="false" customHeight="true" outlineLevel="0" collapsed="false">
      <c r="A181" s="18" t="n">
        <v>177</v>
      </c>
      <c r="B181" s="18" t="s">
        <v>1046</v>
      </c>
      <c r="C181" s="18" t="s">
        <v>1048</v>
      </c>
      <c r="D181" s="19" t="s">
        <v>1647</v>
      </c>
      <c r="E181" s="19" t="s">
        <v>1648</v>
      </c>
      <c r="F181" s="18" t="s">
        <v>37</v>
      </c>
      <c r="G181" s="28" t="s">
        <v>23</v>
      </c>
      <c r="H181" s="19" t="s">
        <v>1649</v>
      </c>
      <c r="I181" s="19" t="s">
        <v>1650</v>
      </c>
      <c r="J181" s="26" t="n">
        <v>1</v>
      </c>
      <c r="K181" s="18" t="s">
        <v>165</v>
      </c>
      <c r="L181" s="21" t="n">
        <v>636.07</v>
      </c>
      <c r="M181" s="21" t="n">
        <v>636.07</v>
      </c>
      <c r="N181" s="19" t="s">
        <v>1651</v>
      </c>
      <c r="O181" s="21" t="n">
        <v>0</v>
      </c>
      <c r="P181" s="21" t="n">
        <v>1863.93</v>
      </c>
      <c r="Q181" s="22" t="n">
        <f aca="false">AVERAGE(O181:P181)</f>
        <v>931.965</v>
      </c>
      <c r="R181" s="19" t="s">
        <v>1652</v>
      </c>
      <c r="S181" s="19" t="s">
        <v>1653</v>
      </c>
      <c r="T181" s="18" t="s">
        <v>92</v>
      </c>
      <c r="U181" s="18" t="s">
        <v>93</v>
      </c>
      <c r="V181" s="18" t="s">
        <v>211</v>
      </c>
      <c r="W181" s="19" t="s">
        <v>1654</v>
      </c>
      <c r="X181" s="23" t="s">
        <v>96</v>
      </c>
      <c r="Y181" s="24"/>
    </row>
    <row r="182" customFormat="false" ht="75" hidden="false" customHeight="true" outlineLevel="0" collapsed="false">
      <c r="A182" s="18" t="n">
        <v>178</v>
      </c>
      <c r="B182" s="18" t="s">
        <v>1046</v>
      </c>
      <c r="C182" s="18" t="s">
        <v>1655</v>
      </c>
      <c r="D182" s="19" t="s">
        <v>1056</v>
      </c>
      <c r="E182" s="19" t="s">
        <v>1656</v>
      </c>
      <c r="F182" s="18" t="s">
        <v>37</v>
      </c>
      <c r="G182" s="28" t="s">
        <v>23</v>
      </c>
      <c r="H182" s="19" t="s">
        <v>1657</v>
      </c>
      <c r="I182" s="19" t="s">
        <v>1658</v>
      </c>
      <c r="J182" s="26" t="n">
        <v>7</v>
      </c>
      <c r="K182" s="18" t="s">
        <v>165</v>
      </c>
      <c r="L182" s="21" t="n">
        <v>41.27</v>
      </c>
      <c r="M182" s="21" t="n">
        <v>288.89</v>
      </c>
      <c r="N182" s="19" t="s">
        <v>1659</v>
      </c>
      <c r="O182" s="21" t="n">
        <v>0</v>
      </c>
      <c r="P182" s="21" t="n">
        <v>761.11</v>
      </c>
      <c r="Q182" s="22" t="n">
        <f aca="false">AVERAGE(O182:P182)</f>
        <v>380.555</v>
      </c>
      <c r="R182" s="19" t="s">
        <v>1660</v>
      </c>
      <c r="S182" s="19" t="s">
        <v>1661</v>
      </c>
      <c r="T182" s="18" t="s">
        <v>92</v>
      </c>
      <c r="U182" s="18" t="s">
        <v>124</v>
      </c>
      <c r="V182" s="18" t="s">
        <v>211</v>
      </c>
      <c r="W182" s="19" t="s">
        <v>1662</v>
      </c>
      <c r="X182" s="23" t="s">
        <v>96</v>
      </c>
      <c r="Y182" s="24"/>
    </row>
    <row r="183" customFormat="false" ht="75" hidden="false" customHeight="true" outlineLevel="0" collapsed="false">
      <c r="A183" s="18" t="n">
        <v>179</v>
      </c>
      <c r="B183" s="18" t="s">
        <v>1046</v>
      </c>
      <c r="C183" s="18" t="s">
        <v>1663</v>
      </c>
      <c r="D183" s="19" t="s">
        <v>1664</v>
      </c>
      <c r="E183" s="19" t="s">
        <v>1665</v>
      </c>
      <c r="F183" s="18" t="s">
        <v>29</v>
      </c>
      <c r="G183" s="28" t="s">
        <v>23</v>
      </c>
      <c r="H183" s="19" t="s">
        <v>1666</v>
      </c>
      <c r="I183" s="19" t="s">
        <v>1667</v>
      </c>
      <c r="J183" s="26" t="n">
        <v>2</v>
      </c>
      <c r="K183" s="18" t="s">
        <v>165</v>
      </c>
      <c r="L183" s="21" t="n">
        <v>77.63</v>
      </c>
      <c r="M183" s="21" t="n">
        <v>155.26</v>
      </c>
      <c r="N183" s="19" t="s">
        <v>1668</v>
      </c>
      <c r="O183" s="21" t="n">
        <v>-155.26</v>
      </c>
      <c r="P183" s="21" t="n">
        <v>-155.26</v>
      </c>
      <c r="Q183" s="22" t="n">
        <f aca="false">AVERAGE(O183:P183)</f>
        <v>-155.26</v>
      </c>
      <c r="R183" s="19" t="s">
        <v>1669</v>
      </c>
      <c r="S183" s="19" t="s">
        <v>1670</v>
      </c>
      <c r="T183" s="18" t="s">
        <v>123</v>
      </c>
      <c r="U183" s="18" t="s">
        <v>93</v>
      </c>
      <c r="V183" s="18" t="s">
        <v>94</v>
      </c>
      <c r="W183" s="19" t="s">
        <v>1671</v>
      </c>
      <c r="X183" s="23" t="s">
        <v>96</v>
      </c>
      <c r="Y183" s="24"/>
    </row>
    <row r="184" customFormat="false" ht="75" hidden="false" customHeight="true" outlineLevel="0" collapsed="false">
      <c r="A184" s="18" t="n">
        <v>180</v>
      </c>
      <c r="B184" s="18" t="s">
        <v>1046</v>
      </c>
      <c r="C184" s="18" t="s">
        <v>1672</v>
      </c>
      <c r="D184" s="19" t="s">
        <v>1673</v>
      </c>
      <c r="E184" s="19" t="s">
        <v>1674</v>
      </c>
      <c r="F184" s="18" t="s">
        <v>32</v>
      </c>
      <c r="G184" s="28" t="s">
        <v>23</v>
      </c>
      <c r="H184" s="19" t="s">
        <v>1675</v>
      </c>
      <c r="I184" s="19" t="s">
        <v>1676</v>
      </c>
      <c r="J184" s="26" t="n">
        <v>60</v>
      </c>
      <c r="K184" s="18" t="s">
        <v>312</v>
      </c>
      <c r="L184" s="21" t="n">
        <v>2.32</v>
      </c>
      <c r="M184" s="21" t="n">
        <v>139.2</v>
      </c>
      <c r="N184" s="19" t="s">
        <v>1677</v>
      </c>
      <c r="O184" s="21" t="n">
        <v>-21.6</v>
      </c>
      <c r="P184" s="21" t="n">
        <v>-21.6</v>
      </c>
      <c r="Q184" s="22" t="n">
        <f aca="false">AVERAGE(O184:P184)</f>
        <v>-21.6</v>
      </c>
      <c r="R184" s="19" t="s">
        <v>1678</v>
      </c>
      <c r="S184" s="19" t="s">
        <v>1679</v>
      </c>
      <c r="T184" s="18" t="s">
        <v>92</v>
      </c>
      <c r="U184" s="18" t="s">
        <v>124</v>
      </c>
      <c r="V184" s="18" t="s">
        <v>94</v>
      </c>
      <c r="W184" s="19" t="s">
        <v>1680</v>
      </c>
      <c r="X184" s="23" t="s">
        <v>96</v>
      </c>
      <c r="Y184" s="24"/>
    </row>
    <row r="185" customFormat="false" ht="75" hidden="false" customHeight="true" outlineLevel="0" collapsed="false">
      <c r="A185" s="18" t="n">
        <v>181</v>
      </c>
      <c r="B185" s="18" t="s">
        <v>1046</v>
      </c>
      <c r="C185" s="18" t="s">
        <v>1681</v>
      </c>
      <c r="D185" s="19" t="s">
        <v>1682</v>
      </c>
      <c r="E185" s="19" t="s">
        <v>1683</v>
      </c>
      <c r="F185" s="18" t="s">
        <v>37</v>
      </c>
      <c r="G185" s="28" t="s">
        <v>23</v>
      </c>
      <c r="H185" s="19" t="s">
        <v>1684</v>
      </c>
      <c r="I185" s="19" t="s">
        <v>1685</v>
      </c>
      <c r="J185" s="19"/>
      <c r="K185" s="18"/>
      <c r="L185" s="19"/>
      <c r="M185" s="21" t="n">
        <v>500</v>
      </c>
      <c r="N185" s="19" t="s">
        <v>1686</v>
      </c>
      <c r="O185" s="21" t="n">
        <v>0</v>
      </c>
      <c r="P185" s="21" t="n">
        <v>-500</v>
      </c>
      <c r="Q185" s="22" t="n">
        <f aca="false">AVERAGE(O185:P185)</f>
        <v>-250</v>
      </c>
      <c r="R185" s="19" t="s">
        <v>1687</v>
      </c>
      <c r="S185" s="19" t="s">
        <v>1688</v>
      </c>
      <c r="T185" s="18" t="s">
        <v>123</v>
      </c>
      <c r="U185" s="18" t="s">
        <v>124</v>
      </c>
      <c r="V185" s="18" t="s">
        <v>211</v>
      </c>
      <c r="W185" s="19" t="s">
        <v>1689</v>
      </c>
      <c r="X185" s="23" t="s">
        <v>96</v>
      </c>
      <c r="Y185" s="24"/>
    </row>
    <row r="186" customFormat="false" ht="75" hidden="false" customHeight="true" outlineLevel="0" collapsed="false">
      <c r="A186" s="18" t="n">
        <v>182</v>
      </c>
      <c r="B186" s="18" t="s">
        <v>1046</v>
      </c>
      <c r="C186" s="18" t="s">
        <v>1690</v>
      </c>
      <c r="D186" s="19" t="s">
        <v>1691</v>
      </c>
      <c r="E186" s="19" t="s">
        <v>1692</v>
      </c>
      <c r="F186" s="18" t="s">
        <v>30</v>
      </c>
      <c r="G186" s="28" t="s">
        <v>23</v>
      </c>
      <c r="H186" s="19" t="s">
        <v>1693</v>
      </c>
      <c r="I186" s="19" t="s">
        <v>1694</v>
      </c>
      <c r="J186" s="26" t="n">
        <v>1</v>
      </c>
      <c r="K186" s="18" t="s">
        <v>165</v>
      </c>
      <c r="L186" s="21" t="n">
        <v>100</v>
      </c>
      <c r="M186" s="21" t="n">
        <v>100</v>
      </c>
      <c r="N186" s="19" t="s">
        <v>1695</v>
      </c>
      <c r="O186" s="21" t="n">
        <v>700</v>
      </c>
      <c r="P186" s="21" t="n">
        <v>2000</v>
      </c>
      <c r="Q186" s="22" t="n">
        <f aca="false">AVERAGE(O186:P186)</f>
        <v>1350</v>
      </c>
      <c r="R186" s="19" t="s">
        <v>1696</v>
      </c>
      <c r="S186" s="19" t="s">
        <v>1697</v>
      </c>
      <c r="T186" s="18" t="s">
        <v>92</v>
      </c>
      <c r="U186" s="18" t="s">
        <v>124</v>
      </c>
      <c r="V186" s="18" t="s">
        <v>94</v>
      </c>
      <c r="W186" s="19" t="s">
        <v>1698</v>
      </c>
      <c r="X186" s="23" t="s">
        <v>96</v>
      </c>
      <c r="Y186" s="24"/>
    </row>
    <row r="187" customFormat="false" ht="75" hidden="false" customHeight="true" outlineLevel="0" collapsed="false">
      <c r="A187" s="18" t="n">
        <v>183</v>
      </c>
      <c r="B187" s="18" t="s">
        <v>1046</v>
      </c>
      <c r="C187" s="18" t="s">
        <v>1699</v>
      </c>
      <c r="D187" s="19" t="s">
        <v>1700</v>
      </c>
      <c r="E187" s="19" t="s">
        <v>1701</v>
      </c>
      <c r="F187" s="18" t="s">
        <v>27</v>
      </c>
      <c r="G187" s="28" t="s">
        <v>23</v>
      </c>
      <c r="H187" s="19" t="s">
        <v>1702</v>
      </c>
      <c r="I187" s="19" t="s">
        <v>1703</v>
      </c>
      <c r="J187" s="26" t="n">
        <v>14</v>
      </c>
      <c r="K187" s="18" t="s">
        <v>165</v>
      </c>
      <c r="L187" s="21" t="n">
        <v>175.36</v>
      </c>
      <c r="M187" s="21" t="n">
        <v>2455.04</v>
      </c>
      <c r="N187" s="19" t="s">
        <v>1704</v>
      </c>
      <c r="O187" s="21" t="n">
        <v>0</v>
      </c>
      <c r="P187" s="21" t="n">
        <v>0</v>
      </c>
      <c r="Q187" s="22" t="n">
        <f aca="false">AVERAGE(O187:P187)</f>
        <v>0</v>
      </c>
      <c r="R187" s="19" t="s">
        <v>1705</v>
      </c>
      <c r="S187" s="19" t="s">
        <v>1706</v>
      </c>
      <c r="T187" s="18" t="s">
        <v>92</v>
      </c>
      <c r="U187" s="18" t="s">
        <v>93</v>
      </c>
      <c r="V187" s="18" t="s">
        <v>94</v>
      </c>
      <c r="W187" s="19" t="s">
        <v>1707</v>
      </c>
      <c r="X187" s="23" t="s">
        <v>96</v>
      </c>
      <c r="Y187" s="24"/>
    </row>
    <row r="188" customFormat="false" ht="75" hidden="false" customHeight="true" outlineLevel="0" collapsed="false">
      <c r="A188" s="18" t="n">
        <v>184</v>
      </c>
      <c r="B188" s="18" t="s">
        <v>1083</v>
      </c>
      <c r="C188" s="18" t="s">
        <v>1708</v>
      </c>
      <c r="D188" s="19" t="s">
        <v>1709</v>
      </c>
      <c r="E188" s="19" t="s">
        <v>1710</v>
      </c>
      <c r="F188" s="18" t="s">
        <v>28</v>
      </c>
      <c r="G188" s="28" t="s">
        <v>23</v>
      </c>
      <c r="H188" s="19" t="s">
        <v>1711</v>
      </c>
      <c r="I188" s="19" t="s">
        <v>1712</v>
      </c>
      <c r="J188" s="19"/>
      <c r="K188" s="18"/>
      <c r="L188" s="19"/>
      <c r="M188" s="19"/>
      <c r="N188" s="19" t="s">
        <v>1713</v>
      </c>
      <c r="O188" s="21" t="n">
        <v>0</v>
      </c>
      <c r="P188" s="21" t="n">
        <v>1500</v>
      </c>
      <c r="Q188" s="22" t="n">
        <f aca="false">AVERAGE(O188:P188)</f>
        <v>750</v>
      </c>
      <c r="R188" s="19" t="s">
        <v>1714</v>
      </c>
      <c r="S188" s="19" t="s">
        <v>1715</v>
      </c>
      <c r="T188" s="18" t="s">
        <v>123</v>
      </c>
      <c r="U188" s="18" t="s">
        <v>124</v>
      </c>
      <c r="V188" s="18" t="s">
        <v>211</v>
      </c>
      <c r="W188" s="19" t="s">
        <v>1716</v>
      </c>
      <c r="X188" s="23" t="s">
        <v>96</v>
      </c>
      <c r="Y188" s="24"/>
    </row>
    <row r="189" customFormat="false" ht="75" hidden="false" customHeight="true" outlineLevel="0" collapsed="false">
      <c r="A189" s="18" t="n">
        <v>185</v>
      </c>
      <c r="B189" s="18" t="s">
        <v>1083</v>
      </c>
      <c r="C189" s="18" t="s">
        <v>1717</v>
      </c>
      <c r="D189" s="19" t="s">
        <v>1718</v>
      </c>
      <c r="E189" s="19" t="s">
        <v>1719</v>
      </c>
      <c r="F189" s="18" t="s">
        <v>27</v>
      </c>
      <c r="G189" s="28" t="s">
        <v>23</v>
      </c>
      <c r="H189" s="19" t="s">
        <v>1720</v>
      </c>
      <c r="I189" s="19" t="s">
        <v>1721</v>
      </c>
      <c r="J189" s="26" t="n">
        <v>1</v>
      </c>
      <c r="K189" s="18" t="s">
        <v>165</v>
      </c>
      <c r="L189" s="21" t="n">
        <v>6287.35</v>
      </c>
      <c r="M189" s="21" t="n">
        <v>6287.35</v>
      </c>
      <c r="N189" s="19" t="s">
        <v>1722</v>
      </c>
      <c r="O189" s="21" t="n">
        <v>0</v>
      </c>
      <c r="P189" s="21" t="n">
        <v>0</v>
      </c>
      <c r="Q189" s="22" t="n">
        <f aca="false">AVERAGE(O189:P189)</f>
        <v>0</v>
      </c>
      <c r="R189" s="19" t="s">
        <v>1723</v>
      </c>
      <c r="S189" s="19" t="s">
        <v>1724</v>
      </c>
      <c r="T189" s="18" t="s">
        <v>123</v>
      </c>
      <c r="U189" s="18" t="s">
        <v>93</v>
      </c>
      <c r="V189" s="18" t="s">
        <v>211</v>
      </c>
      <c r="W189" s="19" t="s">
        <v>1725</v>
      </c>
      <c r="X189" s="23" t="s">
        <v>96</v>
      </c>
      <c r="Y189" s="24"/>
    </row>
    <row r="190" customFormat="false" ht="75" hidden="false" customHeight="true" outlineLevel="0" collapsed="false">
      <c r="A190" s="18" t="n">
        <v>186</v>
      </c>
      <c r="B190" s="18" t="s">
        <v>1083</v>
      </c>
      <c r="C190" s="18" t="s">
        <v>1718</v>
      </c>
      <c r="D190" s="19" t="s">
        <v>1717</v>
      </c>
      <c r="E190" s="19" t="s">
        <v>1726</v>
      </c>
      <c r="F190" s="18" t="s">
        <v>27</v>
      </c>
      <c r="G190" s="28" t="s">
        <v>23</v>
      </c>
      <c r="H190" s="19" t="s">
        <v>1727</v>
      </c>
      <c r="I190" s="19" t="s">
        <v>1728</v>
      </c>
      <c r="J190" s="26" t="n">
        <v>1</v>
      </c>
      <c r="K190" s="18" t="s">
        <v>165</v>
      </c>
      <c r="L190" s="21" t="n">
        <v>5757.2</v>
      </c>
      <c r="M190" s="21" t="n">
        <v>5757.2</v>
      </c>
      <c r="N190" s="19" t="s">
        <v>1729</v>
      </c>
      <c r="O190" s="21" t="n">
        <v>0</v>
      </c>
      <c r="P190" s="21" t="n">
        <v>0</v>
      </c>
      <c r="Q190" s="22" t="n">
        <f aca="false">AVERAGE(O190:P190)</f>
        <v>0</v>
      </c>
      <c r="R190" s="19" t="s">
        <v>1730</v>
      </c>
      <c r="S190" s="19" t="s">
        <v>1731</v>
      </c>
      <c r="T190" s="18" t="s">
        <v>123</v>
      </c>
      <c r="U190" s="18" t="s">
        <v>93</v>
      </c>
      <c r="V190" s="18" t="s">
        <v>211</v>
      </c>
      <c r="W190" s="19" t="s">
        <v>1732</v>
      </c>
      <c r="X190" s="23" t="s">
        <v>96</v>
      </c>
      <c r="Y190" s="24"/>
    </row>
    <row r="191" customFormat="false" ht="75" hidden="false" customHeight="true" outlineLevel="0" collapsed="false">
      <c r="A191" s="18" t="n">
        <v>187</v>
      </c>
      <c r="B191" s="18" t="s">
        <v>1083</v>
      </c>
      <c r="C191" s="18" t="s">
        <v>1733</v>
      </c>
      <c r="D191" s="19" t="s">
        <v>1734</v>
      </c>
      <c r="E191" s="19" t="s">
        <v>1735</v>
      </c>
      <c r="F191" s="18" t="s">
        <v>29</v>
      </c>
      <c r="G191" s="28" t="s">
        <v>23</v>
      </c>
      <c r="H191" s="19" t="s">
        <v>1736</v>
      </c>
      <c r="I191" s="19" t="s">
        <v>1737</v>
      </c>
      <c r="J191" s="26" t="n">
        <v>2</v>
      </c>
      <c r="K191" s="18" t="s">
        <v>165</v>
      </c>
      <c r="L191" s="21" t="n">
        <v>14538.44</v>
      </c>
      <c r="M191" s="21" t="n">
        <v>29076.88</v>
      </c>
      <c r="N191" s="19" t="s">
        <v>1738</v>
      </c>
      <c r="O191" s="21" t="n">
        <v>0</v>
      </c>
      <c r="P191" s="21" t="n">
        <v>0</v>
      </c>
      <c r="Q191" s="22" t="n">
        <f aca="false">AVERAGE(O191:P191)</f>
        <v>0</v>
      </c>
      <c r="R191" s="19" t="s">
        <v>1739</v>
      </c>
      <c r="S191" s="19" t="s">
        <v>1740</v>
      </c>
      <c r="T191" s="18" t="s">
        <v>123</v>
      </c>
      <c r="U191" s="18" t="s">
        <v>93</v>
      </c>
      <c r="V191" s="18" t="s">
        <v>94</v>
      </c>
      <c r="W191" s="19" t="s">
        <v>1741</v>
      </c>
      <c r="X191" s="23" t="s">
        <v>96</v>
      </c>
      <c r="Y191" s="24"/>
    </row>
    <row r="192" customFormat="false" ht="75" hidden="false" customHeight="true" outlineLevel="0" collapsed="false">
      <c r="A192" s="18" t="n">
        <v>188</v>
      </c>
      <c r="B192" s="18" t="s">
        <v>1083</v>
      </c>
      <c r="C192" s="18" t="s">
        <v>1742</v>
      </c>
      <c r="D192" s="19" t="s">
        <v>1743</v>
      </c>
      <c r="E192" s="19" t="s">
        <v>1744</v>
      </c>
      <c r="F192" s="18" t="s">
        <v>33</v>
      </c>
      <c r="G192" s="28" t="s">
        <v>23</v>
      </c>
      <c r="H192" s="19" t="s">
        <v>1745</v>
      </c>
      <c r="I192" s="19" t="s">
        <v>1746</v>
      </c>
      <c r="J192" s="26" t="n">
        <v>1</v>
      </c>
      <c r="K192" s="18" t="s">
        <v>165</v>
      </c>
      <c r="L192" s="21" t="n">
        <v>795.5</v>
      </c>
      <c r="M192" s="21" t="n">
        <v>795.5</v>
      </c>
      <c r="N192" s="19" t="s">
        <v>1747</v>
      </c>
      <c r="O192" s="21" t="n">
        <v>0</v>
      </c>
      <c r="P192" s="21" t="n">
        <v>0</v>
      </c>
      <c r="Q192" s="22" t="n">
        <f aca="false">AVERAGE(O192:P192)</f>
        <v>0</v>
      </c>
      <c r="R192" s="19" t="s">
        <v>1748</v>
      </c>
      <c r="S192" s="19" t="s">
        <v>1749</v>
      </c>
      <c r="T192" s="18" t="s">
        <v>123</v>
      </c>
      <c r="U192" s="18" t="s">
        <v>124</v>
      </c>
      <c r="V192" s="18" t="s">
        <v>94</v>
      </c>
      <c r="W192" s="19" t="s">
        <v>1750</v>
      </c>
      <c r="X192" s="23" t="s">
        <v>96</v>
      </c>
      <c r="Y192" s="24"/>
    </row>
    <row r="193" customFormat="false" ht="75" hidden="false" customHeight="true" outlineLevel="0" collapsed="false">
      <c r="A193" s="18" t="n">
        <v>189</v>
      </c>
      <c r="B193" s="18" t="s">
        <v>1083</v>
      </c>
      <c r="C193" s="18" t="s">
        <v>1751</v>
      </c>
      <c r="D193" s="19" t="s">
        <v>1752</v>
      </c>
      <c r="E193" s="19" t="s">
        <v>1753</v>
      </c>
      <c r="F193" s="18" t="s">
        <v>27</v>
      </c>
      <c r="G193" s="28" t="s">
        <v>23</v>
      </c>
      <c r="H193" s="19" t="s">
        <v>1754</v>
      </c>
      <c r="I193" s="19" t="s">
        <v>1755</v>
      </c>
      <c r="J193" s="19"/>
      <c r="K193" s="18"/>
      <c r="L193" s="19"/>
      <c r="M193" s="19"/>
      <c r="N193" s="19" t="s">
        <v>1756</v>
      </c>
      <c r="O193" s="21" t="n">
        <v>0</v>
      </c>
      <c r="P193" s="21" t="n">
        <v>0</v>
      </c>
      <c r="Q193" s="22" t="n">
        <f aca="false">AVERAGE(O193:P193)</f>
        <v>0</v>
      </c>
      <c r="R193" s="19" t="s">
        <v>1757</v>
      </c>
      <c r="S193" s="19" t="s">
        <v>1758</v>
      </c>
      <c r="T193" s="18" t="s">
        <v>123</v>
      </c>
      <c r="U193" s="18" t="s">
        <v>93</v>
      </c>
      <c r="V193" s="18" t="s">
        <v>94</v>
      </c>
      <c r="W193" s="19" t="s">
        <v>1759</v>
      </c>
      <c r="X193" s="23" t="s">
        <v>96</v>
      </c>
      <c r="Y193" s="24"/>
    </row>
    <row r="194" customFormat="false" ht="75" hidden="false" customHeight="true" outlineLevel="0" collapsed="false">
      <c r="A194" s="18" t="n">
        <v>190</v>
      </c>
      <c r="B194" s="18" t="s">
        <v>1083</v>
      </c>
      <c r="C194" s="18" t="s">
        <v>1760</v>
      </c>
      <c r="D194" s="19" t="s">
        <v>1761</v>
      </c>
      <c r="E194" s="19" t="s">
        <v>1762</v>
      </c>
      <c r="F194" s="18" t="s">
        <v>27</v>
      </c>
      <c r="G194" s="28" t="s">
        <v>23</v>
      </c>
      <c r="H194" s="19" t="s">
        <v>1763</v>
      </c>
      <c r="I194" s="19" t="s">
        <v>1764</v>
      </c>
      <c r="J194" s="26" t="n">
        <v>2</v>
      </c>
      <c r="K194" s="18" t="s">
        <v>165</v>
      </c>
      <c r="L194" s="21" t="n">
        <v>118.5</v>
      </c>
      <c r="M194" s="21" t="n">
        <v>237</v>
      </c>
      <c r="N194" s="19" t="s">
        <v>1765</v>
      </c>
      <c r="O194" s="21" t="n">
        <v>0</v>
      </c>
      <c r="P194" s="21" t="n">
        <v>0</v>
      </c>
      <c r="Q194" s="22" t="n">
        <f aca="false">AVERAGE(O194:P194)</f>
        <v>0</v>
      </c>
      <c r="R194" s="19" t="s">
        <v>1766</v>
      </c>
      <c r="S194" s="19" t="s">
        <v>1767</v>
      </c>
      <c r="T194" s="18" t="s">
        <v>123</v>
      </c>
      <c r="U194" s="18" t="s">
        <v>93</v>
      </c>
      <c r="V194" s="18" t="s">
        <v>94</v>
      </c>
      <c r="W194" s="19" t="s">
        <v>1768</v>
      </c>
      <c r="X194" s="23" t="s">
        <v>96</v>
      </c>
      <c r="Y194" s="24"/>
    </row>
    <row r="195" customFormat="false" ht="75" hidden="false" customHeight="true" outlineLevel="0" collapsed="false">
      <c r="A195" s="18" t="n">
        <v>191</v>
      </c>
      <c r="B195" s="18" t="s">
        <v>1083</v>
      </c>
      <c r="C195" s="18" t="s">
        <v>1769</v>
      </c>
      <c r="D195" s="19" t="s">
        <v>1770</v>
      </c>
      <c r="E195" s="19" t="s">
        <v>1771</v>
      </c>
      <c r="F195" s="18" t="s">
        <v>27</v>
      </c>
      <c r="G195" s="28" t="s">
        <v>23</v>
      </c>
      <c r="H195" s="19" t="s">
        <v>1772</v>
      </c>
      <c r="I195" s="19" t="s">
        <v>1773</v>
      </c>
      <c r="J195" s="26" t="n">
        <v>2</v>
      </c>
      <c r="K195" s="18" t="s">
        <v>312</v>
      </c>
      <c r="L195" s="21" t="n">
        <v>1897.94</v>
      </c>
      <c r="M195" s="21" t="n">
        <v>3795.88</v>
      </c>
      <c r="N195" s="19" t="s">
        <v>1774</v>
      </c>
      <c r="O195" s="21" t="n">
        <v>0</v>
      </c>
      <c r="P195" s="21" t="n">
        <v>0</v>
      </c>
      <c r="Q195" s="22" t="n">
        <f aca="false">AVERAGE(O195:P195)</f>
        <v>0</v>
      </c>
      <c r="R195" s="19" t="s">
        <v>1775</v>
      </c>
      <c r="S195" s="19" t="s">
        <v>1776</v>
      </c>
      <c r="T195" s="18" t="s">
        <v>123</v>
      </c>
      <c r="U195" s="18" t="s">
        <v>93</v>
      </c>
      <c r="V195" s="18" t="s">
        <v>211</v>
      </c>
      <c r="W195" s="19" t="s">
        <v>1777</v>
      </c>
      <c r="X195" s="23" t="s">
        <v>96</v>
      </c>
      <c r="Y195" s="24"/>
    </row>
    <row r="196" customFormat="false" ht="75" hidden="false" customHeight="true" outlineLevel="0" collapsed="false">
      <c r="A196" s="18" t="n">
        <v>192</v>
      </c>
      <c r="B196" s="18" t="s">
        <v>1083</v>
      </c>
      <c r="C196" s="18" t="s">
        <v>1778</v>
      </c>
      <c r="D196" s="19" t="s">
        <v>1779</v>
      </c>
      <c r="E196" s="19" t="s">
        <v>1780</v>
      </c>
      <c r="F196" s="18" t="s">
        <v>27</v>
      </c>
      <c r="G196" s="28" t="s">
        <v>23</v>
      </c>
      <c r="H196" s="19" t="s">
        <v>1781</v>
      </c>
      <c r="I196" s="19" t="s">
        <v>1782</v>
      </c>
      <c r="J196" s="19"/>
      <c r="K196" s="18"/>
      <c r="L196" s="19"/>
      <c r="M196" s="21" t="n">
        <v>28201.65</v>
      </c>
      <c r="N196" s="19" t="s">
        <v>1783</v>
      </c>
      <c r="O196" s="21" t="n">
        <v>0</v>
      </c>
      <c r="P196" s="21" t="n">
        <v>0</v>
      </c>
      <c r="Q196" s="22" t="n">
        <f aca="false">AVERAGE(O196:P196)</f>
        <v>0</v>
      </c>
      <c r="R196" s="19" t="s">
        <v>1784</v>
      </c>
      <c r="S196" s="19" t="s">
        <v>1785</v>
      </c>
      <c r="T196" s="18" t="s">
        <v>92</v>
      </c>
      <c r="U196" s="18" t="s">
        <v>93</v>
      </c>
      <c r="V196" s="18" t="s">
        <v>94</v>
      </c>
      <c r="W196" s="19" t="s">
        <v>1786</v>
      </c>
      <c r="X196" s="23" t="s">
        <v>96</v>
      </c>
      <c r="Y196" s="24"/>
    </row>
    <row r="197" customFormat="false" ht="75" hidden="false" customHeight="true" outlineLevel="0" collapsed="false">
      <c r="A197" s="18" t="n">
        <v>193</v>
      </c>
      <c r="B197" s="18" t="s">
        <v>1083</v>
      </c>
      <c r="C197" s="18" t="s">
        <v>1787</v>
      </c>
      <c r="D197" s="19" t="s">
        <v>1788</v>
      </c>
      <c r="E197" s="19" t="s">
        <v>1789</v>
      </c>
      <c r="F197" s="18" t="s">
        <v>27</v>
      </c>
      <c r="G197" s="28" t="s">
        <v>23</v>
      </c>
      <c r="H197" s="19" t="s">
        <v>1790</v>
      </c>
      <c r="I197" s="19" t="s">
        <v>1791</v>
      </c>
      <c r="J197" s="26" t="n">
        <v>135</v>
      </c>
      <c r="K197" s="18" t="s">
        <v>165</v>
      </c>
      <c r="L197" s="21" t="n">
        <v>3.65</v>
      </c>
      <c r="M197" s="21" t="n">
        <v>492.75</v>
      </c>
      <c r="N197" s="19" t="s">
        <v>1792</v>
      </c>
      <c r="O197" s="21" t="n">
        <v>0</v>
      </c>
      <c r="P197" s="21" t="n">
        <v>0</v>
      </c>
      <c r="Q197" s="22" t="n">
        <f aca="false">AVERAGE(O197:P197)</f>
        <v>0</v>
      </c>
      <c r="R197" s="19" t="s">
        <v>1793</v>
      </c>
      <c r="S197" s="19" t="s">
        <v>1794</v>
      </c>
      <c r="T197" s="18" t="s">
        <v>123</v>
      </c>
      <c r="U197" s="18" t="s">
        <v>93</v>
      </c>
      <c r="V197" s="18" t="s">
        <v>94</v>
      </c>
      <c r="W197" s="19" t="s">
        <v>1795</v>
      </c>
      <c r="X197" s="23" t="s">
        <v>96</v>
      </c>
      <c r="Y197" s="24"/>
    </row>
    <row r="198" customFormat="false" ht="75" hidden="false" customHeight="true" outlineLevel="0" collapsed="false">
      <c r="A198" s="18" t="n">
        <v>194</v>
      </c>
      <c r="B198" s="18" t="s">
        <v>1083</v>
      </c>
      <c r="C198" s="18" t="s">
        <v>1796</v>
      </c>
      <c r="D198" s="19" t="s">
        <v>1797</v>
      </c>
      <c r="E198" s="19" t="s">
        <v>1798</v>
      </c>
      <c r="F198" s="18" t="s">
        <v>32</v>
      </c>
      <c r="G198" s="28" t="s">
        <v>23</v>
      </c>
      <c r="H198" s="19" t="s">
        <v>1799</v>
      </c>
      <c r="I198" s="19" t="s">
        <v>1800</v>
      </c>
      <c r="J198" s="26" t="n">
        <v>705</v>
      </c>
      <c r="K198" s="18" t="s">
        <v>165</v>
      </c>
      <c r="L198" s="21" t="n">
        <v>3.52</v>
      </c>
      <c r="M198" s="21" t="n">
        <v>2481.6</v>
      </c>
      <c r="N198" s="19" t="s">
        <v>1801</v>
      </c>
      <c r="O198" s="21" t="n">
        <v>-282</v>
      </c>
      <c r="P198" s="21" t="n">
        <v>-282</v>
      </c>
      <c r="Q198" s="22" t="n">
        <f aca="false">AVERAGE(O198:P198)</f>
        <v>-282</v>
      </c>
      <c r="R198" s="19" t="s">
        <v>1802</v>
      </c>
      <c r="S198" s="19" t="s">
        <v>1803</v>
      </c>
      <c r="T198" s="18" t="s">
        <v>92</v>
      </c>
      <c r="U198" s="18" t="s">
        <v>124</v>
      </c>
      <c r="V198" s="18" t="s">
        <v>211</v>
      </c>
      <c r="W198" s="19" t="s">
        <v>1804</v>
      </c>
      <c r="X198" s="23" t="s">
        <v>96</v>
      </c>
      <c r="Y198" s="24"/>
    </row>
    <row r="199" customFormat="false" ht="75" hidden="false" customHeight="true" outlineLevel="0" collapsed="false">
      <c r="A199" s="18" t="n">
        <v>195</v>
      </c>
      <c r="B199" s="18" t="s">
        <v>1083</v>
      </c>
      <c r="C199" s="18" t="s">
        <v>1805</v>
      </c>
      <c r="D199" s="19" t="s">
        <v>1806</v>
      </c>
      <c r="E199" s="19" t="s">
        <v>1807</v>
      </c>
      <c r="F199" s="18" t="s">
        <v>27</v>
      </c>
      <c r="G199" s="28" t="s">
        <v>23</v>
      </c>
      <c r="H199" s="19" t="s">
        <v>1808</v>
      </c>
      <c r="I199" s="19" t="s">
        <v>1809</v>
      </c>
      <c r="J199" s="26" t="n">
        <v>1</v>
      </c>
      <c r="K199" s="18" t="s">
        <v>165</v>
      </c>
      <c r="L199" s="21" t="n">
        <v>16.39</v>
      </c>
      <c r="M199" s="21" t="n">
        <v>16.39</v>
      </c>
      <c r="N199" s="19" t="s">
        <v>1810</v>
      </c>
      <c r="O199" s="21" t="n">
        <v>127.87</v>
      </c>
      <c r="P199" s="21" t="n">
        <v>127.87</v>
      </c>
      <c r="Q199" s="22" t="n">
        <f aca="false">AVERAGE(O199:P199)</f>
        <v>127.87</v>
      </c>
      <c r="R199" s="19" t="s">
        <v>1811</v>
      </c>
      <c r="S199" s="19" t="s">
        <v>1812</v>
      </c>
      <c r="T199" s="18" t="s">
        <v>123</v>
      </c>
      <c r="U199" s="18" t="s">
        <v>93</v>
      </c>
      <c r="V199" s="18" t="s">
        <v>94</v>
      </c>
      <c r="W199" s="19" t="s">
        <v>1813</v>
      </c>
      <c r="X199" s="23" t="s">
        <v>96</v>
      </c>
      <c r="Y199" s="24"/>
    </row>
    <row r="200" customFormat="false" ht="75" hidden="false" customHeight="true" outlineLevel="0" collapsed="false">
      <c r="A200" s="18" t="n">
        <v>196</v>
      </c>
      <c r="B200" s="18" t="s">
        <v>1814</v>
      </c>
      <c r="C200" s="18" t="s">
        <v>1815</v>
      </c>
      <c r="D200" s="19" t="s">
        <v>1816</v>
      </c>
      <c r="E200" s="19" t="s">
        <v>1817</v>
      </c>
      <c r="F200" s="18" t="s">
        <v>37</v>
      </c>
      <c r="G200" s="28" t="s">
        <v>23</v>
      </c>
      <c r="H200" s="19" t="s">
        <v>1818</v>
      </c>
      <c r="I200" s="19" t="s">
        <v>1819</v>
      </c>
      <c r="J200" s="26" t="n">
        <v>1</v>
      </c>
      <c r="K200" s="18" t="s">
        <v>165</v>
      </c>
      <c r="L200" s="21" t="n">
        <v>29950</v>
      </c>
      <c r="M200" s="21" t="n">
        <v>29950</v>
      </c>
      <c r="N200" s="19" t="s">
        <v>1820</v>
      </c>
      <c r="O200" s="21" t="n">
        <v>0</v>
      </c>
      <c r="P200" s="21" t="n">
        <v>2000</v>
      </c>
      <c r="Q200" s="22" t="n">
        <f aca="false">AVERAGE(O200:P200)</f>
        <v>1000</v>
      </c>
      <c r="R200" s="19" t="s">
        <v>1821</v>
      </c>
      <c r="S200" s="19" t="s">
        <v>1822</v>
      </c>
      <c r="T200" s="18" t="s">
        <v>123</v>
      </c>
      <c r="U200" s="18" t="s">
        <v>93</v>
      </c>
      <c r="V200" s="18" t="s">
        <v>211</v>
      </c>
      <c r="W200" s="19" t="s">
        <v>1823</v>
      </c>
      <c r="X200" s="23" t="s">
        <v>96</v>
      </c>
      <c r="Y200" s="24"/>
    </row>
    <row r="201" customFormat="false" ht="75" hidden="false" customHeight="true" outlineLevel="0" collapsed="false">
      <c r="A201" s="18" t="n">
        <v>197</v>
      </c>
      <c r="B201" s="18" t="s">
        <v>390</v>
      </c>
      <c r="C201" s="18" t="s">
        <v>1824</v>
      </c>
      <c r="D201" s="19" t="s">
        <v>1825</v>
      </c>
      <c r="E201" s="19" t="s">
        <v>1826</v>
      </c>
      <c r="F201" s="18" t="s">
        <v>30</v>
      </c>
      <c r="G201" s="28" t="s">
        <v>23</v>
      </c>
      <c r="H201" s="19" t="s">
        <v>1827</v>
      </c>
      <c r="I201" s="19" t="s">
        <v>1828</v>
      </c>
      <c r="J201" s="26" t="n">
        <v>2</v>
      </c>
      <c r="K201" s="18" t="s">
        <v>165</v>
      </c>
      <c r="L201" s="21" t="n">
        <v>150</v>
      </c>
      <c r="M201" s="21" t="n">
        <v>300</v>
      </c>
      <c r="N201" s="19" t="s">
        <v>1829</v>
      </c>
      <c r="O201" s="21" t="n">
        <v>500</v>
      </c>
      <c r="P201" s="21" t="n">
        <v>2100</v>
      </c>
      <c r="Q201" s="22" t="n">
        <f aca="false">AVERAGE(O201:P201)</f>
        <v>1300</v>
      </c>
      <c r="R201" s="19" t="s">
        <v>1830</v>
      </c>
      <c r="S201" s="19" t="s">
        <v>1831</v>
      </c>
      <c r="T201" s="18" t="s">
        <v>92</v>
      </c>
      <c r="U201" s="18" t="s">
        <v>124</v>
      </c>
      <c r="V201" s="18" t="s">
        <v>94</v>
      </c>
      <c r="W201" s="19" t="s">
        <v>1832</v>
      </c>
      <c r="X201" s="23" t="s">
        <v>96</v>
      </c>
      <c r="Y201" s="24"/>
    </row>
    <row r="202" customFormat="false" ht="75" hidden="false" customHeight="true" outlineLevel="0" collapsed="false">
      <c r="A202" s="18" t="n">
        <v>198</v>
      </c>
      <c r="B202" s="18" t="s">
        <v>390</v>
      </c>
      <c r="C202" s="18" t="s">
        <v>1833</v>
      </c>
      <c r="D202" s="19" t="s">
        <v>1834</v>
      </c>
      <c r="E202" s="19" t="s">
        <v>1835</v>
      </c>
      <c r="F202" s="18" t="s">
        <v>33</v>
      </c>
      <c r="G202" s="28" t="s">
        <v>23</v>
      </c>
      <c r="H202" s="19" t="s">
        <v>1836</v>
      </c>
      <c r="I202" s="19" t="s">
        <v>1837</v>
      </c>
      <c r="J202" s="19"/>
      <c r="K202" s="18"/>
      <c r="L202" s="19"/>
      <c r="M202" s="21" t="n">
        <v>7975</v>
      </c>
      <c r="N202" s="19" t="s">
        <v>1838</v>
      </c>
      <c r="O202" s="21" t="n">
        <v>0</v>
      </c>
      <c r="P202" s="21" t="n">
        <v>0</v>
      </c>
      <c r="Q202" s="22" t="n">
        <f aca="false">AVERAGE(O202:P202)</f>
        <v>0</v>
      </c>
      <c r="R202" s="19" t="s">
        <v>1839</v>
      </c>
      <c r="S202" s="19" t="s">
        <v>1840</v>
      </c>
      <c r="T202" s="18" t="s">
        <v>123</v>
      </c>
      <c r="U202" s="18" t="s">
        <v>124</v>
      </c>
      <c r="V202" s="18" t="s">
        <v>94</v>
      </c>
      <c r="W202" s="19" t="s">
        <v>1841</v>
      </c>
      <c r="X202" s="23" t="s">
        <v>96</v>
      </c>
      <c r="Y202" s="24"/>
    </row>
    <row r="203" customFormat="false" ht="75" hidden="false" customHeight="true" outlineLevel="0" collapsed="false">
      <c r="A203" s="18" t="n">
        <v>199</v>
      </c>
      <c r="B203" s="18" t="s">
        <v>390</v>
      </c>
      <c r="C203" s="18" t="s">
        <v>1842</v>
      </c>
      <c r="D203" s="19" t="s">
        <v>1843</v>
      </c>
      <c r="E203" s="19" t="s">
        <v>1844</v>
      </c>
      <c r="F203" s="18" t="s">
        <v>32</v>
      </c>
      <c r="G203" s="28" t="s">
        <v>23</v>
      </c>
      <c r="H203" s="19" t="s">
        <v>1845</v>
      </c>
      <c r="I203" s="19" t="s">
        <v>1846</v>
      </c>
      <c r="J203" s="26" t="n">
        <v>158</v>
      </c>
      <c r="K203" s="18" t="s">
        <v>165</v>
      </c>
      <c r="L203" s="21" t="n">
        <v>12.5</v>
      </c>
      <c r="M203" s="21" t="n">
        <v>1975</v>
      </c>
      <c r="N203" s="19" t="s">
        <v>1847</v>
      </c>
      <c r="O203" s="21" t="n">
        <v>25</v>
      </c>
      <c r="P203" s="21" t="n">
        <v>75</v>
      </c>
      <c r="Q203" s="22" t="n">
        <f aca="false">AVERAGE(O203:P203)</f>
        <v>50</v>
      </c>
      <c r="R203" s="19" t="s">
        <v>1848</v>
      </c>
      <c r="S203" s="19" t="s">
        <v>1849</v>
      </c>
      <c r="T203" s="18" t="s">
        <v>123</v>
      </c>
      <c r="U203" s="18" t="s">
        <v>124</v>
      </c>
      <c r="V203" s="18" t="s">
        <v>94</v>
      </c>
      <c r="W203" s="19" t="s">
        <v>1850</v>
      </c>
      <c r="X203" s="23" t="s">
        <v>96</v>
      </c>
      <c r="Y203" s="24"/>
    </row>
    <row r="204" customFormat="false" ht="75" hidden="false" customHeight="true" outlineLevel="0" collapsed="false">
      <c r="A204" s="18" t="n">
        <v>200</v>
      </c>
      <c r="B204" s="18" t="s">
        <v>390</v>
      </c>
      <c r="C204" s="18" t="s">
        <v>1851</v>
      </c>
      <c r="D204" s="19" t="s">
        <v>1852</v>
      </c>
      <c r="E204" s="19" t="s">
        <v>1853</v>
      </c>
      <c r="F204" s="18" t="s">
        <v>30</v>
      </c>
      <c r="G204" s="28" t="s">
        <v>23</v>
      </c>
      <c r="H204" s="19" t="s">
        <v>1854</v>
      </c>
      <c r="I204" s="19" t="s">
        <v>1855</v>
      </c>
      <c r="J204" s="26" t="n">
        <v>65</v>
      </c>
      <c r="K204" s="18" t="s">
        <v>165</v>
      </c>
      <c r="L204" s="21" t="n">
        <v>2</v>
      </c>
      <c r="M204" s="21" t="n">
        <v>130</v>
      </c>
      <c r="N204" s="19" t="s">
        <v>1856</v>
      </c>
      <c r="O204" s="21" t="n">
        <v>520</v>
      </c>
      <c r="P204" s="21" t="n">
        <v>1070</v>
      </c>
      <c r="Q204" s="22" t="n">
        <f aca="false">AVERAGE(O204:P204)</f>
        <v>795</v>
      </c>
      <c r="R204" s="19" t="s">
        <v>1857</v>
      </c>
      <c r="S204" s="19" t="s">
        <v>1858</v>
      </c>
      <c r="T204" s="18" t="s">
        <v>92</v>
      </c>
      <c r="U204" s="18" t="s">
        <v>124</v>
      </c>
      <c r="V204" s="18" t="s">
        <v>94</v>
      </c>
      <c r="W204" s="19" t="s">
        <v>1859</v>
      </c>
      <c r="X204" s="23" t="s">
        <v>96</v>
      </c>
      <c r="Y204" s="24"/>
    </row>
    <row r="205" customFormat="false" ht="75" hidden="false" customHeight="true" outlineLevel="0" collapsed="false">
      <c r="A205" s="18" t="n">
        <v>201</v>
      </c>
      <c r="B205" s="18" t="s">
        <v>400</v>
      </c>
      <c r="C205" s="18" t="s">
        <v>1860</v>
      </c>
      <c r="D205" s="19" t="s">
        <v>1861</v>
      </c>
      <c r="E205" s="19" t="s">
        <v>1862</v>
      </c>
      <c r="F205" s="18" t="s">
        <v>37</v>
      </c>
      <c r="G205" s="28" t="s">
        <v>23</v>
      </c>
      <c r="H205" s="19" t="s">
        <v>1863</v>
      </c>
      <c r="I205" s="19" t="s">
        <v>1864</v>
      </c>
      <c r="J205" s="26" t="n">
        <v>1</v>
      </c>
      <c r="K205" s="18" t="s">
        <v>165</v>
      </c>
      <c r="L205" s="21" t="n">
        <v>1990.63</v>
      </c>
      <c r="M205" s="21" t="n">
        <v>1990.63</v>
      </c>
      <c r="N205" s="19" t="s">
        <v>1865</v>
      </c>
      <c r="O205" s="21" t="n">
        <v>0</v>
      </c>
      <c r="P205" s="21" t="n">
        <v>-1990.63</v>
      </c>
      <c r="Q205" s="22" t="n">
        <f aca="false">AVERAGE(O205:P205)</f>
        <v>-995.315</v>
      </c>
      <c r="R205" s="19" t="s">
        <v>1866</v>
      </c>
      <c r="S205" s="19" t="s">
        <v>1867</v>
      </c>
      <c r="T205" s="18" t="s">
        <v>123</v>
      </c>
      <c r="U205" s="18" t="s">
        <v>124</v>
      </c>
      <c r="V205" s="18" t="s">
        <v>211</v>
      </c>
      <c r="W205" s="19" t="s">
        <v>1868</v>
      </c>
      <c r="X205" s="23" t="s">
        <v>96</v>
      </c>
      <c r="Y205" s="24"/>
    </row>
    <row r="206" customFormat="false" ht="75" hidden="false" customHeight="true" outlineLevel="0" collapsed="false">
      <c r="A206" s="18" t="n">
        <v>202</v>
      </c>
      <c r="B206" s="18" t="s">
        <v>400</v>
      </c>
      <c r="C206" s="18" t="s">
        <v>1869</v>
      </c>
      <c r="D206" s="19" t="s">
        <v>1870</v>
      </c>
      <c r="E206" s="19" t="s">
        <v>1871</v>
      </c>
      <c r="F206" s="18" t="s">
        <v>37</v>
      </c>
      <c r="G206" s="28" t="s">
        <v>23</v>
      </c>
      <c r="H206" s="19" t="s">
        <v>1872</v>
      </c>
      <c r="I206" s="19" t="s">
        <v>1873</v>
      </c>
      <c r="J206" s="19"/>
      <c r="K206" s="18"/>
      <c r="L206" s="19"/>
      <c r="M206" s="21" t="n">
        <v>241.56</v>
      </c>
      <c r="N206" s="19" t="s">
        <v>1874</v>
      </c>
      <c r="O206" s="21" t="n">
        <v>0</v>
      </c>
      <c r="P206" s="21" t="n">
        <v>4800</v>
      </c>
      <c r="Q206" s="22" t="n">
        <f aca="false">AVERAGE(O206:P206)</f>
        <v>2400</v>
      </c>
      <c r="R206" s="19" t="s">
        <v>1875</v>
      </c>
      <c r="S206" s="19" t="s">
        <v>1876</v>
      </c>
      <c r="T206" s="18" t="s">
        <v>123</v>
      </c>
      <c r="U206" s="18" t="s">
        <v>93</v>
      </c>
      <c r="V206" s="18" t="s">
        <v>211</v>
      </c>
      <c r="W206" s="19" t="s">
        <v>1877</v>
      </c>
      <c r="X206" s="23" t="s">
        <v>96</v>
      </c>
      <c r="Y206" s="24"/>
    </row>
    <row r="207" customFormat="false" ht="1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ustomFormat="false" ht="15" hidden="false" customHeight="false" outlineLevel="0" collapsed="false">
      <c r="A208" s="2"/>
      <c r="B208" s="2"/>
      <c r="C208" s="2"/>
      <c r="D208" s="2"/>
      <c r="E208" s="2"/>
      <c r="F208" s="2"/>
      <c r="G208" s="2"/>
      <c r="H208" s="2"/>
      <c r="I208" s="2"/>
      <c r="J208" s="2"/>
      <c r="K208" s="2"/>
      <c r="L208" s="2"/>
      <c r="M208" s="2"/>
      <c r="N208" s="6" t="s">
        <v>24</v>
      </c>
      <c r="O208" s="29" t="n">
        <f aca="false">SUBTOTAL(9,O5:O206)</f>
        <v>115594.89</v>
      </c>
      <c r="P208" s="29" t="n">
        <f aca="false">SUBTOTAL(9,P5:P206)</f>
        <v>399725.14</v>
      </c>
      <c r="Q208" s="29" t="n">
        <f aca="false">SUBTOTAL(9,Q5:Q206)</f>
        <v>257660.015</v>
      </c>
      <c r="R208" s="2"/>
      <c r="S208" s="2"/>
      <c r="T208" s="2"/>
      <c r="U208" s="2"/>
      <c r="V208" s="2"/>
      <c r="W208" s="2"/>
      <c r="X208" s="2"/>
      <c r="Y208" s="2"/>
    </row>
    <row r="209" customFormat="false" ht="15" hidden="false" customHeight="false" outlineLevel="0" collapsed="false">
      <c r="A209" s="2"/>
      <c r="B209" s="2"/>
      <c r="C209" s="2"/>
      <c r="D209" s="2"/>
      <c r="E209" s="2"/>
      <c r="F209" s="2"/>
      <c r="G209" s="2"/>
      <c r="H209" s="2"/>
      <c r="I209" s="2"/>
      <c r="J209" s="2"/>
      <c r="K209" s="2"/>
      <c r="L209" s="2"/>
      <c r="M209" s="2"/>
      <c r="N209" s="30" t="s">
        <v>1878</v>
      </c>
      <c r="O209" s="2"/>
      <c r="P209" s="2"/>
      <c r="Q209" s="2"/>
      <c r="R209" s="2"/>
      <c r="S209" s="2"/>
      <c r="T209" s="2"/>
      <c r="U209" s="2"/>
      <c r="V209" s="2"/>
      <c r="W209" s="2"/>
      <c r="X209" s="2"/>
      <c r="Y209" s="2"/>
    </row>
  </sheetData>
  <autoFilter ref="A4:Y206"/>
  <conditionalFormatting sqref="X5:X206">
    <cfRule type="cellIs" priority="2" operator="equal" aboveAverage="0" equalAverage="0" bottom="0" percent="0" rank="0" text="" dxfId="10">
      <formula>"Corrigido no MQT"</formula>
    </cfRule>
    <cfRule type="cellIs" priority="3" operator="equal" aboveAverage="0" equalAverage="0" bottom="0" percent="0" rank="0" text="" dxfId="11">
      <formula>"Em análise"</formula>
    </cfRule>
  </conditionalFormatting>
  <dataValidations count="1">
    <dataValidation allowBlank="true" errorStyle="stop" operator="between" showDropDown="false" showErrorMessage="false" showInputMessage="false" sqref="X5:X206" type="list">
      <formula1>"Pendente,Em análise,Corrigido no MQT,Aceite sem alteração,Rejeitado pelo projetista"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4" min="3" style="0" width="16"/>
    <col collapsed="false" customWidth="true" hidden="false" outlineLevel="0" max="5" min="5" style="0" width="14"/>
    <col collapsed="false" customWidth="true" hidden="false" outlineLevel="0" max="6" min="6" style="0" width="9"/>
    <col collapsed="false" customWidth="true" hidden="false" outlineLevel="0" max="8" min="7" style="0" width="16"/>
    <col collapsed="false" customWidth="true" hidden="false" outlineLevel="0" max="12" min="9" style="0" width="17"/>
    <col collapsed="false" customWidth="true" hidden="false" outlineLevel="0" max="13" min="13" style="0" width="9"/>
  </cols>
  <sheetData>
    <row r="1" customFormat="false" ht="17.35" hidden="false" customHeight="false" outlineLevel="0" collapsed="false">
      <c r="A1" s="1" t="s">
        <v>1879</v>
      </c>
      <c r="B1" s="2"/>
      <c r="C1" s="2"/>
      <c r="D1" s="2"/>
      <c r="E1" s="2"/>
      <c r="F1" s="2"/>
      <c r="G1" s="2"/>
      <c r="H1" s="2"/>
      <c r="I1" s="2"/>
      <c r="J1" s="2"/>
      <c r="K1" s="2"/>
      <c r="L1" s="2"/>
      <c r="M1" s="2"/>
    </row>
    <row r="2" customFormat="false" ht="15" hidden="false" customHeight="false" outlineLevel="0" collapsed="false">
      <c r="A2" s="3" t="s">
        <v>1880</v>
      </c>
      <c r="B2" s="2"/>
      <c r="C2" s="2"/>
      <c r="D2" s="2"/>
      <c r="E2" s="2"/>
      <c r="F2" s="2"/>
      <c r="G2" s="2"/>
      <c r="H2" s="2"/>
      <c r="I2" s="2"/>
      <c r="J2" s="2"/>
      <c r="K2" s="2"/>
      <c r="L2" s="2"/>
      <c r="M2" s="2"/>
    </row>
    <row r="3" customFormat="false" ht="15" hidden="false" customHeight="false" outlineLevel="0" collapsed="false">
      <c r="A3" s="6" t="s">
        <v>1881</v>
      </c>
      <c r="B3" s="2"/>
      <c r="C3" s="31" t="n">
        <v>1.2</v>
      </c>
      <c r="D3" s="32" t="s">
        <v>1882</v>
      </c>
      <c r="E3" s="2"/>
      <c r="F3" s="2"/>
      <c r="G3" s="2"/>
      <c r="H3" s="2"/>
      <c r="I3" s="2"/>
      <c r="J3" s="2"/>
      <c r="K3" s="2"/>
      <c r="L3" s="2"/>
      <c r="M3" s="2"/>
    </row>
    <row r="4" customFormat="false" ht="15" hidden="false" customHeight="false" outlineLevel="0" collapsed="false">
      <c r="A4" s="2"/>
      <c r="B4" s="2"/>
      <c r="C4" s="2"/>
      <c r="D4" s="2"/>
      <c r="E4" s="2"/>
      <c r="F4" s="2"/>
      <c r="G4" s="2"/>
      <c r="H4" s="2"/>
      <c r="I4" s="2"/>
      <c r="J4" s="2"/>
      <c r="K4" s="2"/>
      <c r="L4" s="2"/>
      <c r="M4" s="2"/>
    </row>
    <row r="5" customFormat="false" ht="30" hidden="false" customHeight="true" outlineLevel="0" collapsed="false">
      <c r="A5" s="17" t="s">
        <v>64</v>
      </c>
      <c r="B5" s="17" t="s">
        <v>1883</v>
      </c>
      <c r="C5" s="17" t="s">
        <v>8</v>
      </c>
      <c r="D5" s="17" t="s">
        <v>9</v>
      </c>
      <c r="E5" s="17" t="s">
        <v>10</v>
      </c>
      <c r="F5" s="17" t="s">
        <v>1884</v>
      </c>
      <c r="G5" s="17" t="s">
        <v>1885</v>
      </c>
      <c r="H5" s="17" t="s">
        <v>1886</v>
      </c>
      <c r="I5" s="17" t="s">
        <v>1887</v>
      </c>
      <c r="J5" s="17" t="s">
        <v>1888</v>
      </c>
      <c r="K5" s="17" t="s">
        <v>1889</v>
      </c>
      <c r="L5" s="17" t="s">
        <v>1890</v>
      </c>
      <c r="M5" s="17" t="s">
        <v>1891</v>
      </c>
    </row>
    <row r="6" customFormat="false" ht="15" hidden="false" customHeight="false" outlineLevel="0" collapsed="false">
      <c r="A6" s="12" t="s">
        <v>424</v>
      </c>
      <c r="B6" s="12" t="s">
        <v>1892</v>
      </c>
      <c r="C6" s="33" t="n">
        <v>312435</v>
      </c>
      <c r="D6" s="33" t="n">
        <v>312435</v>
      </c>
      <c r="E6" s="34" t="n">
        <f aca="false">D6-C6</f>
        <v>0</v>
      </c>
      <c r="F6" s="35" t="n">
        <f aca="false">IFERROR(D6/C6,0)</f>
        <v>1</v>
      </c>
      <c r="G6" s="34" t="n">
        <f aca="false">SUMIFS('MAPA COMPARATIVO'!$O$5:$O$206,'MAPA COMPARATIVO'!$B$5:$B$206,A6,'MAPA COMPARATIVO'!$V$5:$V$206,"&lt;&gt;REJEITADO")</f>
        <v>2000</v>
      </c>
      <c r="H6" s="34" t="n">
        <f aca="false">SUMIFS('MAPA COMPARATIVO'!$P$5:$P$206,'MAPA COMPARATIVO'!$B$5:$B$206,A6,'MAPA COMPARATIVO'!$V$5:$V$206,"&lt;&gt;REJEITADO")</f>
        <v>21000</v>
      </c>
      <c r="I6" s="34" t="n">
        <f aca="false">C6+G6</f>
        <v>314435</v>
      </c>
      <c r="J6" s="34" t="n">
        <f aca="false">C6+H6</f>
        <v>333435</v>
      </c>
      <c r="K6" s="34" t="n">
        <f aca="false">I6*$C$3</f>
        <v>377322</v>
      </c>
      <c r="L6" s="34" t="n">
        <f aca="false">J6*$C$3</f>
        <v>400122</v>
      </c>
      <c r="M6" s="36" t="n">
        <f aca="false">IFERROR(C6/$C$21,0)</f>
        <v>0.0694355227471782</v>
      </c>
    </row>
    <row r="7" customFormat="false" ht="15" hidden="false" customHeight="false" outlineLevel="0" collapsed="false">
      <c r="A7" s="12" t="s">
        <v>113</v>
      </c>
      <c r="B7" s="12" t="s">
        <v>1893</v>
      </c>
      <c r="C7" s="33" t="n">
        <v>1651924.53</v>
      </c>
      <c r="D7" s="33" t="n">
        <v>1651922.68</v>
      </c>
      <c r="E7" s="34" t="n">
        <f aca="false">D7-C7</f>
        <v>-1.85000000009313</v>
      </c>
      <c r="F7" s="35" t="n">
        <f aca="false">IFERROR(D7/C7,0)</f>
        <v>0.999998880094117</v>
      </c>
      <c r="G7" s="34" t="n">
        <f aca="false">SUMIFS('MAPA COMPARATIVO'!$O$5:$O$206,'MAPA COMPARATIVO'!$B$5:$B$206,A7,'MAPA COMPARATIVO'!$V$5:$V$206,"&lt;&gt;REJEITADO")</f>
        <v>322.829999999999</v>
      </c>
      <c r="H7" s="34" t="n">
        <f aca="false">SUMIFS('MAPA COMPARATIVO'!$P$5:$P$206,'MAPA COMPARATIVO'!$B$5:$B$206,A7,'MAPA COMPARATIVO'!$V$5:$V$206,"&lt;&gt;REJEITADO")</f>
        <v>-143586.42</v>
      </c>
      <c r="I7" s="34" t="n">
        <f aca="false">C7+G7</f>
        <v>1652247.36</v>
      </c>
      <c r="J7" s="34" t="n">
        <f aca="false">C7+H7</f>
        <v>1508338.11</v>
      </c>
      <c r="K7" s="34" t="n">
        <f aca="false">I7*$C$3</f>
        <v>1982696.832</v>
      </c>
      <c r="L7" s="34" t="n">
        <f aca="false">J7*$C$3</f>
        <v>1810005.732</v>
      </c>
      <c r="M7" s="36" t="n">
        <f aca="false">IFERROR(C7/$C$21,0)</f>
        <v>0.367123540190557</v>
      </c>
    </row>
    <row r="8" customFormat="false" ht="15" hidden="false" customHeight="false" outlineLevel="0" collapsed="false">
      <c r="A8" s="12" t="s">
        <v>213</v>
      </c>
      <c r="B8" s="12" t="s">
        <v>1894</v>
      </c>
      <c r="C8" s="33" t="n">
        <v>1586732.18</v>
      </c>
      <c r="D8" s="33" t="n">
        <v>1586722.05</v>
      </c>
      <c r="E8" s="34" t="n">
        <f aca="false">D8-C8</f>
        <v>-10.1299999998882</v>
      </c>
      <c r="F8" s="35" t="n">
        <f aca="false">IFERROR(D8/C8,0)</f>
        <v>0.999993615809821</v>
      </c>
      <c r="G8" s="34" t="n">
        <f aca="false">SUMIFS('MAPA COMPARATIVO'!$O$5:$O$206,'MAPA COMPARATIVO'!$B$5:$B$206,A8,'MAPA COMPARATIVO'!$V$5:$V$206,"&lt;&gt;REJEITADO")</f>
        <v>68532.89</v>
      </c>
      <c r="H8" s="34" t="n">
        <f aca="false">SUMIFS('MAPA COMPARATIVO'!$P$5:$P$206,'MAPA COMPARATIVO'!$B$5:$B$206,A8,'MAPA COMPARATIVO'!$V$5:$V$206,"&lt;&gt;REJEITADO")</f>
        <v>297970.72</v>
      </c>
      <c r="I8" s="34" t="n">
        <f aca="false">C8+G8</f>
        <v>1655265.07</v>
      </c>
      <c r="J8" s="34" t="n">
        <f aca="false">C8+H8</f>
        <v>1884702.9</v>
      </c>
      <c r="K8" s="34" t="n">
        <f aca="false">I8*$C$3</f>
        <v>1986318.084</v>
      </c>
      <c r="L8" s="34" t="n">
        <f aca="false">J8*$C$3</f>
        <v>2261643.48</v>
      </c>
      <c r="M8" s="36" t="n">
        <f aca="false">IFERROR(C8/$C$21,0)</f>
        <v>0.3526351989312</v>
      </c>
    </row>
    <row r="9" customFormat="false" ht="15" hidden="false" customHeight="false" outlineLevel="0" collapsed="false">
      <c r="A9" s="12" t="s">
        <v>822</v>
      </c>
      <c r="B9" s="12" t="s">
        <v>1895</v>
      </c>
      <c r="C9" s="33" t="n">
        <v>78339.7</v>
      </c>
      <c r="D9" s="33" t="n">
        <v>78339.7</v>
      </c>
      <c r="E9" s="34" t="n">
        <f aca="false">D9-C9</f>
        <v>0</v>
      </c>
      <c r="F9" s="35" t="n">
        <f aca="false">IFERROR(D9/C9,0)</f>
        <v>1</v>
      </c>
      <c r="G9" s="34" t="n">
        <f aca="false">SUMIFS('MAPA COMPARATIVO'!$O$5:$O$206,'MAPA COMPARATIVO'!$B$5:$B$206,A9,'MAPA COMPARATIVO'!$V$5:$V$206,"&lt;&gt;REJEITADO")</f>
        <v>4996.18</v>
      </c>
      <c r="H9" s="34" t="n">
        <f aca="false">SUMIFS('MAPA COMPARATIVO'!$P$5:$P$206,'MAPA COMPARATIVO'!$B$5:$B$206,A9,'MAPA COMPARATIVO'!$V$5:$V$206,"&lt;&gt;REJEITADO")</f>
        <v>37769.6</v>
      </c>
      <c r="I9" s="34" t="n">
        <f aca="false">C9+G9</f>
        <v>83335.88</v>
      </c>
      <c r="J9" s="34" t="n">
        <f aca="false">C9+H9</f>
        <v>116109.3</v>
      </c>
      <c r="K9" s="34" t="n">
        <f aca="false">I9*$C$3</f>
        <v>100003.056</v>
      </c>
      <c r="L9" s="34" t="n">
        <f aca="false">J9*$C$3</f>
        <v>139331.16</v>
      </c>
      <c r="M9" s="36" t="n">
        <f aca="false">IFERROR(C9/$C$21,0)</f>
        <v>0.017410206991397</v>
      </c>
    </row>
    <row r="10" customFormat="false" ht="15" hidden="false" customHeight="false" outlineLevel="0" collapsed="false">
      <c r="A10" s="12" t="s">
        <v>306</v>
      </c>
      <c r="B10" s="12" t="s">
        <v>1896</v>
      </c>
      <c r="C10" s="33" t="n">
        <v>40966.31</v>
      </c>
      <c r="D10" s="33" t="n">
        <v>40966.25</v>
      </c>
      <c r="E10" s="34" t="n">
        <f aca="false">D10-C10</f>
        <v>-0.0599999999976717</v>
      </c>
      <c r="F10" s="35" t="n">
        <f aca="false">IFERROR(D10/C10,0)</f>
        <v>0.999998535381878</v>
      </c>
      <c r="G10" s="34" t="n">
        <f aca="false">SUMIFS('MAPA COMPARATIVO'!$O$5:$O$206,'MAPA COMPARATIVO'!$B$5:$B$206,A10,'MAPA COMPARATIVO'!$V$5:$V$206,"&lt;&gt;REJEITADO")</f>
        <v>3832.03</v>
      </c>
      <c r="H10" s="34" t="n">
        <f aca="false">SUMIFS('MAPA COMPARATIVO'!$P$5:$P$206,'MAPA COMPARATIVO'!$B$5:$B$206,A10,'MAPA COMPARATIVO'!$V$5:$V$206,"&lt;&gt;REJEITADO")</f>
        <v>14235.74</v>
      </c>
      <c r="I10" s="34" t="n">
        <f aca="false">C10+G10</f>
        <v>44798.34</v>
      </c>
      <c r="J10" s="34" t="n">
        <f aca="false">C10+H10</f>
        <v>55202.05</v>
      </c>
      <c r="K10" s="34" t="n">
        <f aca="false">I10*$C$3</f>
        <v>53758.008</v>
      </c>
      <c r="L10" s="34" t="n">
        <f aca="false">J10*$C$3</f>
        <v>66242.46</v>
      </c>
      <c r="M10" s="36" t="n">
        <f aca="false">IFERROR(C10/$C$21,0)</f>
        <v>0.00910434858409894</v>
      </c>
    </row>
    <row r="11" customFormat="false" ht="15" hidden="false" customHeight="false" outlineLevel="0" collapsed="false">
      <c r="A11" s="12" t="s">
        <v>317</v>
      </c>
      <c r="B11" s="12" t="s">
        <v>1897</v>
      </c>
      <c r="C11" s="33" t="n">
        <v>128757.01</v>
      </c>
      <c r="D11" s="33" t="n">
        <v>128756.93</v>
      </c>
      <c r="E11" s="34" t="n">
        <f aca="false">D11-C11</f>
        <v>-0.0800000000017462</v>
      </c>
      <c r="F11" s="35" t="n">
        <f aca="false">IFERROR(D11/C11,0)</f>
        <v>0.999999378674606</v>
      </c>
      <c r="G11" s="34" t="n">
        <f aca="false">SUMIFS('MAPA COMPARATIVO'!$O$5:$O$206,'MAPA COMPARATIVO'!$B$5:$B$206,A11,'MAPA COMPARATIVO'!$V$5:$V$206,"&lt;&gt;REJEITADO")</f>
        <v>9387.53</v>
      </c>
      <c r="H11" s="34" t="n">
        <f aca="false">SUMIFS('MAPA COMPARATIVO'!$P$5:$P$206,'MAPA COMPARATIVO'!$B$5:$B$206,A11,'MAPA COMPARATIVO'!$V$5:$V$206,"&lt;&gt;REJEITADO")</f>
        <v>28791.51</v>
      </c>
      <c r="I11" s="34" t="n">
        <f aca="false">C11+G11</f>
        <v>138144.54</v>
      </c>
      <c r="J11" s="34" t="n">
        <f aca="false">C11+H11</f>
        <v>157548.52</v>
      </c>
      <c r="K11" s="34" t="n">
        <f aca="false">I11*$C$3</f>
        <v>165773.448</v>
      </c>
      <c r="L11" s="34" t="n">
        <f aca="false">J11*$C$3</f>
        <v>189058.224</v>
      </c>
      <c r="M11" s="36" t="n">
        <f aca="false">IFERROR(C11/$C$21,0)</f>
        <v>0.0286149448580141</v>
      </c>
    </row>
    <row r="12" customFormat="false" ht="15" hidden="false" customHeight="false" outlineLevel="0" collapsed="false">
      <c r="A12" s="12" t="s">
        <v>354</v>
      </c>
      <c r="B12" s="12" t="s">
        <v>356</v>
      </c>
      <c r="C12" s="33" t="n">
        <v>265980.37</v>
      </c>
      <c r="D12" s="33" t="n">
        <v>265980.37</v>
      </c>
      <c r="E12" s="34" t="n">
        <f aca="false">D12-C12</f>
        <v>0</v>
      </c>
      <c r="F12" s="35" t="n">
        <f aca="false">IFERROR(D12/C12,0)</f>
        <v>1</v>
      </c>
      <c r="G12" s="34" t="n">
        <f aca="false">SUMIFS('MAPA COMPARATIVO'!$O$5:$O$206,'MAPA COMPARATIVO'!$B$5:$B$206,A12,'MAPA COMPARATIVO'!$V$5:$V$206,"&lt;&gt;REJEITADO")</f>
        <v>13523.8</v>
      </c>
      <c r="H12" s="34" t="n">
        <f aca="false">SUMIFS('MAPA COMPARATIVO'!$P$5:$P$206,'MAPA COMPARATIVO'!$B$5:$B$206,A12,'MAPA COMPARATIVO'!$V$5:$V$206,"&lt;&gt;REJEITADO")</f>
        <v>68197.32</v>
      </c>
      <c r="I12" s="34" t="n">
        <f aca="false">C12+G12</f>
        <v>279504.17</v>
      </c>
      <c r="J12" s="34" t="n">
        <f aca="false">C12+H12</f>
        <v>334177.69</v>
      </c>
      <c r="K12" s="34" t="n">
        <f aca="false">I12*$C$3</f>
        <v>335405.004</v>
      </c>
      <c r="L12" s="34" t="n">
        <f aca="false">J12*$C$3</f>
        <v>401013.228</v>
      </c>
      <c r="M12" s="36" t="n">
        <f aca="false">IFERROR(C12/$C$21,0)</f>
        <v>0.0591114504823015</v>
      </c>
    </row>
    <row r="13" customFormat="false" ht="15" hidden="false" customHeight="false" outlineLevel="0" collapsed="false">
      <c r="A13" s="12" t="s">
        <v>1010</v>
      </c>
      <c r="B13" s="12" t="s">
        <v>1012</v>
      </c>
      <c r="C13" s="33" t="n">
        <v>9863.68</v>
      </c>
      <c r="D13" s="33" t="n">
        <v>9863.68</v>
      </c>
      <c r="E13" s="34" t="n">
        <f aca="false">D13-C13</f>
        <v>0</v>
      </c>
      <c r="F13" s="35" t="n">
        <f aca="false">IFERROR(D13/C13,0)</f>
        <v>1</v>
      </c>
      <c r="G13" s="34" t="n">
        <f aca="false">SUMIFS('MAPA COMPARATIVO'!$O$5:$O$206,'MAPA COMPARATIVO'!$B$5:$B$206,A13,'MAPA COMPARATIVO'!$V$5:$V$206,"&lt;&gt;REJEITADO")</f>
        <v>2600</v>
      </c>
      <c r="H13" s="34" t="n">
        <f aca="false">SUMIFS('MAPA COMPARATIVO'!$P$5:$P$206,'MAPA COMPARATIVO'!$B$5:$B$206,A13,'MAPA COMPARATIVO'!$V$5:$V$206,"&lt;&gt;REJEITADO")</f>
        <v>6300</v>
      </c>
      <c r="I13" s="34" t="n">
        <f aca="false">C13+G13</f>
        <v>12463.68</v>
      </c>
      <c r="J13" s="34" t="n">
        <f aca="false">C13+H13</f>
        <v>16163.68</v>
      </c>
      <c r="K13" s="34" t="n">
        <f aca="false">I13*$C$3</f>
        <v>14956.416</v>
      </c>
      <c r="L13" s="34" t="n">
        <f aca="false">J13*$C$3</f>
        <v>19396.416</v>
      </c>
      <c r="M13" s="36" t="n">
        <f aca="false">IFERROR(C13/$C$21,0)</f>
        <v>0.00219210324390957</v>
      </c>
    </row>
    <row r="14" customFormat="false" ht="15" hidden="false" customHeight="false" outlineLevel="0" collapsed="false">
      <c r="A14" s="12" t="s">
        <v>1028</v>
      </c>
      <c r="B14" s="12" t="s">
        <v>1030</v>
      </c>
      <c r="C14" s="33" t="n">
        <v>2885.06</v>
      </c>
      <c r="D14" s="33" t="n">
        <v>2885.06</v>
      </c>
      <c r="E14" s="34" t="n">
        <f aca="false">D14-C14</f>
        <v>0</v>
      </c>
      <c r="F14" s="35" t="n">
        <f aca="false">IFERROR(D14/C14,0)</f>
        <v>1</v>
      </c>
      <c r="G14" s="34" t="n">
        <f aca="false">SUMIFS('MAPA COMPARATIVO'!$O$5:$O$206,'MAPA COMPARATIVO'!$B$5:$B$206,A14,'MAPA COMPARATIVO'!$V$5:$V$206,"&lt;&gt;REJEITADO")</f>
        <v>641.36</v>
      </c>
      <c r="H14" s="34" t="n">
        <f aca="false">SUMIFS('MAPA COMPARATIVO'!$P$5:$P$206,'MAPA COMPARATIVO'!$B$5:$B$206,A14,'MAPA COMPARATIVO'!$V$5:$V$206,"&lt;&gt;REJEITADO")</f>
        <v>1622.04</v>
      </c>
      <c r="I14" s="34" t="n">
        <f aca="false">C14+G14</f>
        <v>3526.42</v>
      </c>
      <c r="J14" s="34" t="n">
        <f aca="false">C14+H14</f>
        <v>4507.1</v>
      </c>
      <c r="K14" s="34" t="n">
        <f aca="false">I14*$C$3</f>
        <v>4231.704</v>
      </c>
      <c r="L14" s="34" t="n">
        <f aca="false">J14*$C$3</f>
        <v>5408.52</v>
      </c>
      <c r="M14" s="36" t="n">
        <f aca="false">IFERROR(C14/$C$21,0)</f>
        <v>0.000641175442114276</v>
      </c>
    </row>
    <row r="15" customFormat="false" ht="15" hidden="false" customHeight="false" outlineLevel="0" collapsed="false">
      <c r="A15" s="12" t="s">
        <v>1046</v>
      </c>
      <c r="B15" s="12" t="s">
        <v>1898</v>
      </c>
      <c r="C15" s="33" t="n">
        <v>17332.79</v>
      </c>
      <c r="D15" s="33" t="n">
        <v>17332.79</v>
      </c>
      <c r="E15" s="34" t="n">
        <f aca="false">D15-C15</f>
        <v>0</v>
      </c>
      <c r="F15" s="35" t="n">
        <f aca="false">IFERROR(D15/C15,0)</f>
        <v>1</v>
      </c>
      <c r="G15" s="34" t="n">
        <f aca="false">SUMIFS('MAPA COMPARATIVO'!$O$5:$O$206,'MAPA COMPARATIVO'!$B$5:$B$206,A15,'MAPA COMPARATIVO'!$V$5:$V$206,"&lt;&gt;REJEITADO")</f>
        <v>992.12</v>
      </c>
      <c r="H15" s="34" t="n">
        <f aca="false">SUMIFS('MAPA COMPARATIVO'!$P$5:$P$206,'MAPA COMPARATIVO'!$B$5:$B$206,A15,'MAPA COMPARATIVO'!$V$5:$V$206,"&lt;&gt;REJEITADO")</f>
        <v>8247.73</v>
      </c>
      <c r="I15" s="34" t="n">
        <f aca="false">C15+G15</f>
        <v>18324.91</v>
      </c>
      <c r="J15" s="34" t="n">
        <f aca="false">C15+H15</f>
        <v>25580.52</v>
      </c>
      <c r="K15" s="34" t="n">
        <f aca="false">I15*$C$3</f>
        <v>21989.892</v>
      </c>
      <c r="L15" s="34" t="n">
        <f aca="false">J15*$C$3</f>
        <v>30696.624</v>
      </c>
      <c r="M15" s="36" t="n">
        <f aca="false">IFERROR(C15/$C$21,0)</f>
        <v>0.00385203749361327</v>
      </c>
    </row>
    <row r="16" customFormat="false" ht="15" hidden="false" customHeight="false" outlineLevel="0" collapsed="false">
      <c r="A16" s="12" t="s">
        <v>1083</v>
      </c>
      <c r="B16" s="12" t="s">
        <v>1899</v>
      </c>
      <c r="C16" s="33" t="n">
        <v>271944.75</v>
      </c>
      <c r="D16" s="33" t="n">
        <v>271944.75</v>
      </c>
      <c r="E16" s="34" t="n">
        <f aca="false">D16-C16</f>
        <v>0</v>
      </c>
      <c r="F16" s="35" t="n">
        <f aca="false">IFERROR(D16/C16,0)</f>
        <v>1</v>
      </c>
      <c r="G16" s="34" t="n">
        <f aca="false">SUMIFS('MAPA COMPARATIVO'!$O$5:$O$206,'MAPA COMPARATIVO'!$B$5:$B$206,A16,'MAPA COMPARATIVO'!$V$5:$V$206,"&lt;&gt;REJEITADO")</f>
        <v>-154.13</v>
      </c>
      <c r="H16" s="34" t="n">
        <f aca="false">SUMIFS('MAPA COMPARATIVO'!$P$5:$P$206,'MAPA COMPARATIVO'!$B$5:$B$206,A16,'MAPA COMPARATIVO'!$V$5:$V$206,"&lt;&gt;REJEITADO")</f>
        <v>-1281.75</v>
      </c>
      <c r="I16" s="34" t="n">
        <f aca="false">C16+G16</f>
        <v>271790.62</v>
      </c>
      <c r="J16" s="34" t="n">
        <f aca="false">C16+H16</f>
        <v>270663</v>
      </c>
      <c r="K16" s="34" t="n">
        <f aca="false">I16*$C$3</f>
        <v>326148.744</v>
      </c>
      <c r="L16" s="34" t="n">
        <f aca="false">J16*$C$3</f>
        <v>324795.6</v>
      </c>
      <c r="M16" s="36" t="n">
        <f aca="false">IFERROR(C16/$C$21,0)</f>
        <v>0.0604369736892495</v>
      </c>
    </row>
    <row r="17" customFormat="false" ht="15" hidden="false" customHeight="false" outlineLevel="0" collapsed="false">
      <c r="A17" s="12" t="s">
        <v>1814</v>
      </c>
      <c r="B17" s="12" t="s">
        <v>1900</v>
      </c>
      <c r="C17" s="33" t="n">
        <v>31350</v>
      </c>
      <c r="D17" s="33" t="n">
        <v>31350</v>
      </c>
      <c r="E17" s="34" t="n">
        <f aca="false">D17-C17</f>
        <v>0</v>
      </c>
      <c r="F17" s="35" t="n">
        <f aca="false">IFERROR(D17/C17,0)</f>
        <v>1</v>
      </c>
      <c r="G17" s="34" t="n">
        <f aca="false">SUMIFS('MAPA COMPARATIVO'!$O$5:$O$206,'MAPA COMPARATIVO'!$B$5:$B$206,A17,'MAPA COMPARATIVO'!$V$5:$V$206,"&lt;&gt;REJEITADO")</f>
        <v>0</v>
      </c>
      <c r="H17" s="34" t="n">
        <f aca="false">SUMIFS('MAPA COMPARATIVO'!$P$5:$P$206,'MAPA COMPARATIVO'!$B$5:$B$206,A17,'MAPA COMPARATIVO'!$V$5:$V$206,"&lt;&gt;REJEITADO")</f>
        <v>2000</v>
      </c>
      <c r="I17" s="34" t="n">
        <f aca="false">C17+G17</f>
        <v>31350</v>
      </c>
      <c r="J17" s="34" t="n">
        <f aca="false">C17+H17</f>
        <v>33350</v>
      </c>
      <c r="K17" s="34" t="n">
        <f aca="false">I17*$C$3</f>
        <v>37620</v>
      </c>
      <c r="L17" s="34" t="n">
        <f aca="false">J17*$C$3</f>
        <v>40020</v>
      </c>
      <c r="M17" s="36" t="n">
        <f aca="false">IFERROR(C17/$C$21,0)</f>
        <v>0.00696722082392829</v>
      </c>
    </row>
    <row r="18" customFormat="false" ht="15" hidden="false" customHeight="false" outlineLevel="0" collapsed="false">
      <c r="A18" s="12" t="s">
        <v>390</v>
      </c>
      <c r="B18" s="12" t="s">
        <v>1901</v>
      </c>
      <c r="C18" s="33" t="n">
        <v>65465</v>
      </c>
      <c r="D18" s="33" t="n">
        <v>65465</v>
      </c>
      <c r="E18" s="34" t="n">
        <f aca="false">D18-C18</f>
        <v>0</v>
      </c>
      <c r="F18" s="35" t="n">
        <f aca="false">IFERROR(D18/C18,0)</f>
        <v>1</v>
      </c>
      <c r="G18" s="34" t="n">
        <f aca="false">SUMIFS('MAPA COMPARATIVO'!$O$5:$O$206,'MAPA COMPARATIVO'!$B$5:$B$206,A18,'MAPA COMPARATIVO'!$V$5:$V$206,"&lt;&gt;REJEITADO")</f>
        <v>17331</v>
      </c>
      <c r="H18" s="34" t="n">
        <f aca="false">SUMIFS('MAPA COMPARATIVO'!$P$5:$P$206,'MAPA COMPARATIVO'!$B$5:$B$206,A18,'MAPA COMPARATIVO'!$V$5:$V$206,"&lt;&gt;REJEITADO")</f>
        <v>59681</v>
      </c>
      <c r="I18" s="34" t="n">
        <f aca="false">C18+G18</f>
        <v>82796</v>
      </c>
      <c r="J18" s="34" t="n">
        <f aca="false">C18+H18</f>
        <v>125146</v>
      </c>
      <c r="K18" s="34" t="n">
        <f aca="false">I18*$C$3</f>
        <v>99355.2</v>
      </c>
      <c r="L18" s="34" t="n">
        <f aca="false">J18*$C$3</f>
        <v>150175.2</v>
      </c>
      <c r="M18" s="36" t="n">
        <f aca="false">IFERROR(C18/$C$21,0)</f>
        <v>0.0145489349677341</v>
      </c>
    </row>
    <row r="19" customFormat="false" ht="15" hidden="false" customHeight="false" outlineLevel="0" collapsed="false">
      <c r="A19" s="12" t="s">
        <v>400</v>
      </c>
      <c r="B19" s="12" t="s">
        <v>1902</v>
      </c>
      <c r="C19" s="33" t="n">
        <v>35665.7</v>
      </c>
      <c r="D19" s="33" t="n">
        <v>35665.7</v>
      </c>
      <c r="E19" s="34" t="n">
        <f aca="false">D19-C19</f>
        <v>0</v>
      </c>
      <c r="F19" s="35" t="n">
        <f aca="false">IFERROR(D19/C19,0)</f>
        <v>1</v>
      </c>
      <c r="G19" s="34" t="n">
        <f aca="false">SUMIFS('MAPA COMPARATIVO'!$O$5:$O$206,'MAPA COMPARATIVO'!$B$5:$B$206,A19,'MAPA COMPARATIVO'!$V$5:$V$206,"&lt;&gt;REJEITADO")</f>
        <v>-8398.6</v>
      </c>
      <c r="H19" s="34" t="n">
        <f aca="false">SUMIFS('MAPA COMPARATIVO'!$P$5:$P$206,'MAPA COMPARATIVO'!$B$5:$B$206,A19,'MAPA COMPARATIVO'!$V$5:$V$206,"&lt;&gt;REJEITADO")</f>
        <v>-1210.23</v>
      </c>
      <c r="I19" s="34" t="n">
        <f aca="false">C19+G19</f>
        <v>27267.1</v>
      </c>
      <c r="J19" s="34" t="n">
        <f aca="false">C19+H19</f>
        <v>34455.47</v>
      </c>
      <c r="K19" s="34" t="n">
        <f aca="false">I19*$C$3</f>
        <v>32720.52</v>
      </c>
      <c r="L19" s="34" t="n">
        <f aca="false">J19*$C$3</f>
        <v>41346.564</v>
      </c>
      <c r="M19" s="36" t="n">
        <f aca="false">IFERROR(C19/$C$21,0)</f>
        <v>0.00792634155470428</v>
      </c>
    </row>
    <row r="20" customFormat="false" ht="15" hidden="false" customHeight="false" outlineLevel="0" collapsed="false">
      <c r="A20" s="12" t="s">
        <v>84</v>
      </c>
      <c r="B20" s="12" t="s">
        <v>1903</v>
      </c>
      <c r="C20" s="12"/>
      <c r="D20" s="12"/>
      <c r="E20" s="12"/>
      <c r="F20" s="12"/>
      <c r="G20" s="34" t="n">
        <f aca="false">SUMIFS('MAPA COMPARATIVO'!$O$5:$O$206,'MAPA COMPARATIVO'!$B$5:$B$206,"GERAL",'MAPA COMPARATIVO'!$V$5:$V$206,"&lt;&gt;REJEITADO")</f>
        <v>-12.12</v>
      </c>
      <c r="H20" s="34" t="n">
        <f aca="false">SUMIFS('MAPA COMPARATIVO'!$P$5:$P$206,'MAPA COMPARATIVO'!$B$5:$B$206,"GERAL",'MAPA COMPARATIVO'!$V$5:$V$206,"&lt;&gt;REJEITADO")</f>
        <v>-12.12</v>
      </c>
      <c r="I20" s="34" t="n">
        <f aca="false">G20</f>
        <v>-12.12</v>
      </c>
      <c r="J20" s="34" t="n">
        <f aca="false">H20</f>
        <v>-12.12</v>
      </c>
      <c r="K20" s="34" t="n">
        <f aca="false">I20*$C$3</f>
        <v>-14.544</v>
      </c>
      <c r="L20" s="34" t="n">
        <f aca="false">J20*$C$3</f>
        <v>-14.544</v>
      </c>
      <c r="M20" s="36" t="n">
        <f aca="false">IFERROR(C20/$C$21,0)</f>
        <v>0</v>
      </c>
    </row>
    <row r="21" customFormat="false" ht="15" hidden="false" customHeight="false" outlineLevel="0" collapsed="false">
      <c r="A21" s="12"/>
      <c r="B21" s="13" t="s">
        <v>1904</v>
      </c>
      <c r="C21" s="37" t="n">
        <f aca="false">SUM(C6:C20)</f>
        <v>4499642.08</v>
      </c>
      <c r="D21" s="37" t="n">
        <f aca="false">SUM(D6:D20)</f>
        <v>4499629.96</v>
      </c>
      <c r="E21" s="37" t="n">
        <f aca="false">SUM(E6:E20)</f>
        <v>-12.1199999999808</v>
      </c>
      <c r="F21" s="38" t="n">
        <f aca="false">IFERROR(D21/C21,0)</f>
        <v>0.999997306452428</v>
      </c>
      <c r="G21" s="37" t="n">
        <f aca="false">SUM(G6:G20)</f>
        <v>115594.89</v>
      </c>
      <c r="H21" s="37" t="n">
        <f aca="false">SUM(H6:H20)</f>
        <v>399725.14</v>
      </c>
      <c r="I21" s="37" t="n">
        <f aca="false">SUM(I6:I20)</f>
        <v>4615236.97</v>
      </c>
      <c r="J21" s="37" t="n">
        <f aca="false">SUM(J6:J20)</f>
        <v>4899367.22</v>
      </c>
      <c r="K21" s="37" t="n">
        <f aca="false">SUM(K6:K20)</f>
        <v>5538284.364</v>
      </c>
      <c r="L21" s="37" t="n">
        <f aca="false">SUM(L6:L20)</f>
        <v>5879240.664</v>
      </c>
      <c r="M21" s="12"/>
    </row>
    <row r="22" customFormat="false" ht="15" hidden="false" customHeight="false" outlineLevel="0" collapsed="false">
      <c r="A22" s="2"/>
      <c r="B22" s="2"/>
      <c r="C22" s="2"/>
      <c r="D22" s="2"/>
      <c r="E22" s="2"/>
      <c r="F22" s="2"/>
      <c r="G22" s="2"/>
      <c r="H22" s="2"/>
      <c r="I22" s="2"/>
      <c r="J22" s="2"/>
      <c r="K22" s="2"/>
      <c r="L22" s="2"/>
      <c r="M22" s="2"/>
    </row>
    <row r="23" customFormat="false" ht="15" hidden="false" customHeight="false" outlineLevel="0" collapsed="false">
      <c r="A23" s="2"/>
      <c r="B23" s="6" t="s">
        <v>1905</v>
      </c>
      <c r="C23" s="2"/>
      <c r="D23" s="2"/>
      <c r="E23" s="2"/>
      <c r="F23" s="2"/>
      <c r="G23" s="2"/>
      <c r="H23" s="2"/>
      <c r="I23" s="39" t="n">
        <f aca="false">IFERROR(I21/C21-1,0)</f>
        <v>0.0256897966426697</v>
      </c>
      <c r="J23" s="39" t="n">
        <f aca="false">IFERROR(J21/C21-1,0)</f>
        <v>0.088834874617405</v>
      </c>
      <c r="K23" s="2"/>
      <c r="L23" s="2"/>
      <c r="M23" s="2"/>
    </row>
    <row r="24" customFormat="false" ht="15" hidden="false" customHeight="false" outlineLevel="0" collapsed="false">
      <c r="A24" s="2"/>
      <c r="B24" s="6" t="s">
        <v>1906</v>
      </c>
      <c r="C24" s="2"/>
      <c r="D24" s="2"/>
      <c r="E24" s="40" t="n">
        <f aca="false">E21</f>
        <v>-12.1199999999808</v>
      </c>
      <c r="F24" s="2"/>
      <c r="G24" s="2"/>
      <c r="H24" s="2"/>
      <c r="I24" s="2"/>
      <c r="J24" s="2"/>
      <c r="K24" s="2"/>
      <c r="L24" s="2"/>
      <c r="M2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13" min="3" style="0" width="11"/>
    <col collapsed="false" customWidth="true" hidden="false" outlineLevel="0" max="14" min="14" style="0" width="8"/>
    <col collapsed="false" customWidth="true" hidden="false" outlineLevel="0" max="15" min="15" style="0" width="9"/>
    <col collapsed="false" customWidth="true" hidden="false" outlineLevel="0" max="18" min="16" style="0" width="8"/>
    <col collapsed="false" customWidth="true" hidden="false" outlineLevel="0" max="20" min="19" style="0" width="15"/>
  </cols>
  <sheetData>
    <row r="1" customFormat="false" ht="17.35" hidden="false" customHeight="false" outlineLevel="0" collapsed="false">
      <c r="A1" s="1" t="s">
        <v>1907</v>
      </c>
      <c r="B1" s="2"/>
      <c r="C1" s="2"/>
      <c r="D1" s="2"/>
      <c r="E1" s="2"/>
      <c r="F1" s="2"/>
      <c r="G1" s="2"/>
      <c r="H1" s="2"/>
      <c r="I1" s="2"/>
      <c r="J1" s="2"/>
      <c r="K1" s="2"/>
      <c r="L1" s="2"/>
      <c r="M1" s="2"/>
      <c r="N1" s="2"/>
      <c r="O1" s="2"/>
      <c r="P1" s="2"/>
      <c r="Q1" s="2"/>
      <c r="R1" s="2"/>
      <c r="S1" s="2"/>
      <c r="T1" s="2"/>
    </row>
    <row r="2" customFormat="false" ht="15" hidden="false" customHeight="false" outlineLevel="0" collapsed="false">
      <c r="A2" s="3" t="s">
        <v>1908</v>
      </c>
      <c r="B2" s="2"/>
      <c r="C2" s="2"/>
      <c r="D2" s="2"/>
      <c r="E2" s="2"/>
      <c r="F2" s="2"/>
      <c r="G2" s="2"/>
      <c r="H2" s="2"/>
      <c r="I2" s="2"/>
      <c r="J2" s="2"/>
      <c r="K2" s="2"/>
      <c r="L2" s="2"/>
      <c r="M2" s="2"/>
      <c r="N2" s="2"/>
      <c r="O2" s="2"/>
      <c r="P2" s="2"/>
      <c r="Q2" s="2"/>
      <c r="R2" s="2"/>
      <c r="S2" s="2"/>
      <c r="T2" s="2"/>
    </row>
    <row r="3" customFormat="false" ht="15" hidden="false" customHeight="false" outlineLevel="0" collapsed="false">
      <c r="A3" s="2"/>
      <c r="B3" s="2"/>
      <c r="C3" s="2"/>
      <c r="D3" s="2"/>
      <c r="E3" s="2"/>
      <c r="F3" s="2"/>
      <c r="G3" s="2"/>
      <c r="H3" s="2"/>
      <c r="I3" s="2"/>
      <c r="J3" s="2"/>
      <c r="K3" s="2"/>
      <c r="L3" s="2"/>
      <c r="M3" s="2"/>
      <c r="N3" s="2"/>
      <c r="O3" s="2"/>
      <c r="P3" s="2"/>
      <c r="Q3" s="2"/>
      <c r="R3" s="2"/>
      <c r="S3" s="2"/>
      <c r="T3" s="2"/>
    </row>
    <row r="4" customFormat="false" ht="43.5" hidden="false" customHeight="true" outlineLevel="0" collapsed="false">
      <c r="A4" s="17" t="s">
        <v>64</v>
      </c>
      <c r="B4" s="17" t="s">
        <v>1883</v>
      </c>
      <c r="C4" s="17" t="s">
        <v>27</v>
      </c>
      <c r="D4" s="17" t="s">
        <v>28</v>
      </c>
      <c r="E4" s="17" t="s">
        <v>29</v>
      </c>
      <c r="F4" s="17" t="s">
        <v>30</v>
      </c>
      <c r="G4" s="17" t="s">
        <v>31</v>
      </c>
      <c r="H4" s="17" t="s">
        <v>32</v>
      </c>
      <c r="I4" s="17" t="s">
        <v>33</v>
      </c>
      <c r="J4" s="17" t="s">
        <v>34</v>
      </c>
      <c r="K4" s="17" t="s">
        <v>35</v>
      </c>
      <c r="L4" s="17" t="s">
        <v>36</v>
      </c>
      <c r="M4" s="17" t="s">
        <v>37</v>
      </c>
      <c r="N4" s="17" t="s">
        <v>24</v>
      </c>
      <c r="O4" s="17" t="s">
        <v>20</v>
      </c>
      <c r="P4" s="17" t="s">
        <v>21</v>
      </c>
      <c r="Q4" s="17" t="s">
        <v>22</v>
      </c>
      <c r="R4" s="17" t="s">
        <v>23</v>
      </c>
      <c r="S4" s="17" t="s">
        <v>25</v>
      </c>
      <c r="T4" s="17" t="s">
        <v>26</v>
      </c>
    </row>
    <row r="5" customFormat="false" ht="15" hidden="false" customHeight="false" outlineLevel="0" collapsed="false">
      <c r="A5" s="12" t="s">
        <v>424</v>
      </c>
      <c r="B5" s="12" t="s">
        <v>1892</v>
      </c>
      <c r="C5" s="41" t="n">
        <f aca="false">COUNTIFS('MAPA COMPARATIVO'!$B$5:$B$206,$A5,'MAPA COMPARATIVO'!$F$5:$F$206,"ERRO",'MAPA COMPARATIVO'!$V$5:$V$206,"&lt;&gt;REJEITADO")</f>
        <v>0</v>
      </c>
      <c r="D5" s="41" t="n">
        <f aca="false">COUNTIFS('MAPA COMPARATIVO'!$B$5:$B$206,$A5,'MAPA COMPARATIVO'!$F$5:$F$206,"FALHA/OMISSÃO",'MAPA COMPARATIVO'!$V$5:$V$206,"&lt;&gt;REJEITADO")</f>
        <v>1</v>
      </c>
      <c r="E5" s="41" t="n">
        <f aca="false">COUNTIFS('MAPA COMPARATIVO'!$B$5:$B$206,$A5,'MAPA COMPARATIVO'!$F$5:$F$206,"DUPLICAÇÃO",'MAPA COMPARATIVO'!$V$5:$V$206,"&lt;&gt;REJEITADO")</f>
        <v>0</v>
      </c>
      <c r="F5" s="41" t="n">
        <f aca="false">COUNTIFS('MAPA COMPARATIVO'!$B$5:$B$206,$A5,'MAPA COMPARATIVO'!$F$5:$F$206,"PREÇO BAIXO",'MAPA COMPARATIVO'!$V$5:$V$206,"&lt;&gt;REJEITADO")</f>
        <v>2</v>
      </c>
      <c r="G5" s="41" t="n">
        <f aca="false">COUNTIFS('MAPA COMPARATIVO'!$B$5:$B$206,$A5,'MAPA COMPARATIVO'!$F$5:$F$206,"PREÇO ALTO",'MAPA COMPARATIVO'!$V$5:$V$206,"&lt;&gt;REJEITADO")</f>
        <v>0</v>
      </c>
      <c r="H5" s="41" t="n">
        <f aca="false">COUNTIFS('MAPA COMPARATIVO'!$B$5:$B$206,$A5,'MAPA COMPARATIVO'!$F$5:$F$206,"INCOERÊNCIA",'MAPA COMPARATIVO'!$V$5:$V$206,"&lt;&gt;REJEITADO")</f>
        <v>0</v>
      </c>
      <c r="I5" s="41" t="n">
        <f aca="false">COUNTIFS('MAPA COMPARATIVO'!$B$5:$B$206,$A5,'MAPA COMPARATIVO'!$F$5:$F$206,"DESCRIÇÃO",'MAPA COMPARATIVO'!$V$5:$V$206,"&lt;&gt;REJEITADO")</f>
        <v>1</v>
      </c>
      <c r="J5" s="41" t="n">
        <f aca="false">COUNTIFS('MAPA COMPARATIVO'!$B$5:$B$206,$A5,'MAPA COMPARATIVO'!$F$5:$F$206,"NORMA",'MAPA COMPARATIVO'!$V$5:$V$206,"&lt;&gt;REJEITADO")</f>
        <v>0</v>
      </c>
      <c r="K5" s="41" t="n">
        <f aca="false">COUNTIFS('MAPA COMPARATIVO'!$B$5:$B$206,$A5,'MAPA COMPARATIVO'!$F$5:$F$206,"INCOMPATIBILIDADE",'MAPA COMPARATIVO'!$V$5:$V$206,"&lt;&gt;REJEITADO")</f>
        <v>0</v>
      </c>
      <c r="L5" s="41" t="n">
        <f aca="false">COUNTIFS('MAPA COMPARATIVO'!$B$5:$B$206,$A5,'MAPA COMPARATIVO'!$F$5:$F$206,"EXTRA/FORA DE ÂMBITO",'MAPA COMPARATIVO'!$V$5:$V$206,"&lt;&gt;REJEITADO")</f>
        <v>0</v>
      </c>
      <c r="M5" s="41" t="n">
        <f aca="false">COUNTIFS('MAPA COMPARATIVO'!$B$5:$B$206,$A5,'MAPA COMPARATIVO'!$F$5:$F$206,"VERIFICAR",'MAPA COMPARATIVO'!$V$5:$V$206,"&lt;&gt;REJEITADO")</f>
        <v>1</v>
      </c>
      <c r="N5" s="42" t="n">
        <f aca="false">SUM(C5:M5)</f>
        <v>5</v>
      </c>
      <c r="O5" s="18" t="n">
        <f aca="false">COUNTIFS('MAPA COMPARATIVO'!$B$5:$B$206,$A5,'MAPA COMPARATIVO'!$G$5:$G$206,"CRÍTICA",'MAPA COMPARATIVO'!$V$5:$V$206,"&lt;&gt;REJEITADO")</f>
        <v>0</v>
      </c>
      <c r="P5" s="18" t="n">
        <f aca="false">COUNTIFS('MAPA COMPARATIVO'!$B$5:$B$206,$A5,'MAPA COMPARATIVO'!$G$5:$G$206,"ALTA",'MAPA COMPARATIVO'!$V$5:$V$206,"&lt;&gt;REJEITADO")</f>
        <v>0</v>
      </c>
      <c r="Q5" s="18" t="n">
        <f aca="false">COUNTIFS('MAPA COMPARATIVO'!$B$5:$B$206,$A5,'MAPA COMPARATIVO'!$G$5:$G$206,"MÉDIA",'MAPA COMPARATIVO'!$V$5:$V$206,"&lt;&gt;REJEITADO")</f>
        <v>3</v>
      </c>
      <c r="R5" s="18" t="n">
        <f aca="false">COUNTIFS('MAPA COMPARATIVO'!$B$5:$B$206,$A5,'MAPA COMPARATIVO'!$G$5:$G$206,"BAIXA",'MAPA COMPARATIVO'!$V$5:$V$206,"&lt;&gt;REJEITADO")</f>
        <v>2</v>
      </c>
      <c r="S5" s="43" t="n">
        <f aca="false">SUMIFS('MAPA COMPARATIVO'!$O$5:$O$206,'MAPA COMPARATIVO'!$B$5:$B$206,$A5,'MAPA COMPARATIVO'!$V$5:$V$206,"&lt;&gt;REJEITADO")</f>
        <v>2000</v>
      </c>
      <c r="T5" s="43" t="n">
        <f aca="false">SUMIFS('MAPA COMPARATIVO'!$P$5:$P$206,'MAPA COMPARATIVO'!$B$5:$B$206,$A5,'MAPA COMPARATIVO'!$V$5:$V$206,"&lt;&gt;REJEITADO")</f>
        <v>21000</v>
      </c>
    </row>
    <row r="6" customFormat="false" ht="15" hidden="false" customHeight="false" outlineLevel="0" collapsed="false">
      <c r="A6" s="12" t="s">
        <v>113</v>
      </c>
      <c r="B6" s="12" t="s">
        <v>1893</v>
      </c>
      <c r="C6" s="41" t="n">
        <f aca="false">COUNTIFS('MAPA COMPARATIVO'!$B$5:$B$206,$A6,'MAPA COMPARATIVO'!$F$5:$F$206,"ERRO",'MAPA COMPARATIVO'!$V$5:$V$206,"&lt;&gt;REJEITADO")</f>
        <v>3</v>
      </c>
      <c r="D6" s="41" t="n">
        <f aca="false">COUNTIFS('MAPA COMPARATIVO'!$B$5:$B$206,$A6,'MAPA COMPARATIVO'!$F$5:$F$206,"FALHA/OMISSÃO",'MAPA COMPARATIVO'!$V$5:$V$206,"&lt;&gt;REJEITADO")</f>
        <v>4</v>
      </c>
      <c r="E6" s="41" t="n">
        <f aca="false">COUNTIFS('MAPA COMPARATIVO'!$B$5:$B$206,$A6,'MAPA COMPARATIVO'!$F$5:$F$206,"DUPLICAÇÃO",'MAPA COMPARATIVO'!$V$5:$V$206,"&lt;&gt;REJEITADO")</f>
        <v>3</v>
      </c>
      <c r="F6" s="41" t="n">
        <f aca="false">COUNTIFS('MAPA COMPARATIVO'!$B$5:$B$206,$A6,'MAPA COMPARATIVO'!$F$5:$F$206,"PREÇO BAIXO",'MAPA COMPARATIVO'!$V$5:$V$206,"&lt;&gt;REJEITADO")</f>
        <v>4</v>
      </c>
      <c r="G6" s="41" t="n">
        <f aca="false">COUNTIFS('MAPA COMPARATIVO'!$B$5:$B$206,$A6,'MAPA COMPARATIVO'!$F$5:$F$206,"PREÇO ALTO",'MAPA COMPARATIVO'!$V$5:$V$206,"&lt;&gt;REJEITADO")</f>
        <v>0</v>
      </c>
      <c r="H6" s="41" t="n">
        <f aca="false">COUNTIFS('MAPA COMPARATIVO'!$B$5:$B$206,$A6,'MAPA COMPARATIVO'!$F$5:$F$206,"INCOERÊNCIA",'MAPA COMPARATIVO'!$V$5:$V$206,"&lt;&gt;REJEITADO")</f>
        <v>3</v>
      </c>
      <c r="I6" s="41" t="n">
        <f aca="false">COUNTIFS('MAPA COMPARATIVO'!$B$5:$B$206,$A6,'MAPA COMPARATIVO'!$F$5:$F$206,"DESCRIÇÃO",'MAPA COMPARATIVO'!$V$5:$V$206,"&lt;&gt;REJEITADO")</f>
        <v>6</v>
      </c>
      <c r="J6" s="41" t="n">
        <f aca="false">COUNTIFS('MAPA COMPARATIVO'!$B$5:$B$206,$A6,'MAPA COMPARATIVO'!$F$5:$F$206,"NORMA",'MAPA COMPARATIVO'!$V$5:$V$206,"&lt;&gt;REJEITADO")</f>
        <v>5</v>
      </c>
      <c r="K6" s="41" t="n">
        <f aca="false">COUNTIFS('MAPA COMPARATIVO'!$B$5:$B$206,$A6,'MAPA COMPARATIVO'!$F$5:$F$206,"INCOMPATIBILIDADE",'MAPA COMPARATIVO'!$V$5:$V$206,"&lt;&gt;REJEITADO")</f>
        <v>0</v>
      </c>
      <c r="L6" s="41" t="n">
        <f aca="false">COUNTIFS('MAPA COMPARATIVO'!$B$5:$B$206,$A6,'MAPA COMPARATIVO'!$F$5:$F$206,"EXTRA/FORA DE ÂMBITO",'MAPA COMPARATIVO'!$V$5:$V$206,"&lt;&gt;REJEITADO")</f>
        <v>0</v>
      </c>
      <c r="M6" s="41" t="n">
        <f aca="false">COUNTIFS('MAPA COMPARATIVO'!$B$5:$B$206,$A6,'MAPA COMPARATIVO'!$F$5:$F$206,"VERIFICAR",'MAPA COMPARATIVO'!$V$5:$V$206,"&lt;&gt;REJEITADO")</f>
        <v>7</v>
      </c>
      <c r="N6" s="42" t="n">
        <f aca="false">SUM(C6:M6)</f>
        <v>35</v>
      </c>
      <c r="O6" s="18" t="n">
        <f aca="false">COUNTIFS('MAPA COMPARATIVO'!$B$5:$B$206,$A6,'MAPA COMPARATIVO'!$G$5:$G$206,"CRÍTICA",'MAPA COMPARATIVO'!$V$5:$V$206,"&lt;&gt;REJEITADO")</f>
        <v>0</v>
      </c>
      <c r="P6" s="18" t="n">
        <f aca="false">COUNTIFS('MAPA COMPARATIVO'!$B$5:$B$206,$A6,'MAPA COMPARATIVO'!$G$5:$G$206,"ALTA",'MAPA COMPARATIVO'!$V$5:$V$206,"&lt;&gt;REJEITADO")</f>
        <v>11</v>
      </c>
      <c r="Q6" s="18" t="n">
        <f aca="false">COUNTIFS('MAPA COMPARATIVO'!$B$5:$B$206,$A6,'MAPA COMPARATIVO'!$G$5:$G$206,"MÉDIA",'MAPA COMPARATIVO'!$V$5:$V$206,"&lt;&gt;REJEITADO")</f>
        <v>16</v>
      </c>
      <c r="R6" s="18" t="n">
        <f aca="false">COUNTIFS('MAPA COMPARATIVO'!$B$5:$B$206,$A6,'MAPA COMPARATIVO'!$G$5:$G$206,"BAIXA",'MAPA COMPARATIVO'!$V$5:$V$206,"&lt;&gt;REJEITADO")</f>
        <v>8</v>
      </c>
      <c r="S6" s="43" t="n">
        <f aca="false">SUMIFS('MAPA COMPARATIVO'!$O$5:$O$206,'MAPA COMPARATIVO'!$B$5:$B$206,$A6,'MAPA COMPARATIVO'!$V$5:$V$206,"&lt;&gt;REJEITADO")</f>
        <v>322.829999999999</v>
      </c>
      <c r="T6" s="43" t="n">
        <f aca="false">SUMIFS('MAPA COMPARATIVO'!$P$5:$P$206,'MAPA COMPARATIVO'!$B$5:$B$206,$A6,'MAPA COMPARATIVO'!$V$5:$V$206,"&lt;&gt;REJEITADO")</f>
        <v>-143586.42</v>
      </c>
    </row>
    <row r="7" customFormat="false" ht="15" hidden="false" customHeight="false" outlineLevel="0" collapsed="false">
      <c r="A7" s="12" t="s">
        <v>213</v>
      </c>
      <c r="B7" s="12" t="s">
        <v>1894</v>
      </c>
      <c r="C7" s="41" t="n">
        <f aca="false">COUNTIFS('MAPA COMPARATIVO'!$B$5:$B$206,$A7,'MAPA COMPARATIVO'!$F$5:$F$206,"ERRO",'MAPA COMPARATIVO'!$V$5:$V$206,"&lt;&gt;REJEITADO")</f>
        <v>4</v>
      </c>
      <c r="D7" s="41" t="n">
        <f aca="false">COUNTIFS('MAPA COMPARATIVO'!$B$5:$B$206,$A7,'MAPA COMPARATIVO'!$F$5:$F$206,"FALHA/OMISSÃO",'MAPA COMPARATIVO'!$V$5:$V$206,"&lt;&gt;REJEITADO")</f>
        <v>11</v>
      </c>
      <c r="E7" s="41" t="n">
        <f aca="false">COUNTIFS('MAPA COMPARATIVO'!$B$5:$B$206,$A7,'MAPA COMPARATIVO'!$F$5:$F$206,"DUPLICAÇÃO",'MAPA COMPARATIVO'!$V$5:$V$206,"&lt;&gt;REJEITADO")</f>
        <v>5</v>
      </c>
      <c r="F7" s="41" t="n">
        <f aca="false">COUNTIFS('MAPA COMPARATIVO'!$B$5:$B$206,$A7,'MAPA COMPARATIVO'!$F$5:$F$206,"PREÇO BAIXO",'MAPA COMPARATIVO'!$V$5:$V$206,"&lt;&gt;REJEITADO")</f>
        <v>11</v>
      </c>
      <c r="G7" s="41" t="n">
        <f aca="false">COUNTIFS('MAPA COMPARATIVO'!$B$5:$B$206,$A7,'MAPA COMPARATIVO'!$F$5:$F$206,"PREÇO ALTO",'MAPA COMPARATIVO'!$V$5:$V$206,"&lt;&gt;REJEITADO")</f>
        <v>1</v>
      </c>
      <c r="H7" s="41" t="n">
        <f aca="false">COUNTIFS('MAPA COMPARATIVO'!$B$5:$B$206,$A7,'MAPA COMPARATIVO'!$F$5:$F$206,"INCOERÊNCIA",'MAPA COMPARATIVO'!$V$5:$V$206,"&lt;&gt;REJEITADO")</f>
        <v>12</v>
      </c>
      <c r="I7" s="41" t="n">
        <f aca="false">COUNTIFS('MAPA COMPARATIVO'!$B$5:$B$206,$A7,'MAPA COMPARATIVO'!$F$5:$F$206,"DESCRIÇÃO",'MAPA COMPARATIVO'!$V$5:$V$206,"&lt;&gt;REJEITADO")</f>
        <v>6</v>
      </c>
      <c r="J7" s="41" t="n">
        <f aca="false">COUNTIFS('MAPA COMPARATIVO'!$B$5:$B$206,$A7,'MAPA COMPARATIVO'!$F$5:$F$206,"NORMA",'MAPA COMPARATIVO'!$V$5:$V$206,"&lt;&gt;REJEITADO")</f>
        <v>4</v>
      </c>
      <c r="K7" s="41" t="n">
        <f aca="false">COUNTIFS('MAPA COMPARATIVO'!$B$5:$B$206,$A7,'MAPA COMPARATIVO'!$F$5:$F$206,"INCOMPATIBILIDADE",'MAPA COMPARATIVO'!$V$5:$V$206,"&lt;&gt;REJEITADO")</f>
        <v>0</v>
      </c>
      <c r="L7" s="41" t="n">
        <f aca="false">COUNTIFS('MAPA COMPARATIVO'!$B$5:$B$206,$A7,'MAPA COMPARATIVO'!$F$5:$F$206,"EXTRA/FORA DE ÂMBITO",'MAPA COMPARATIVO'!$V$5:$V$206,"&lt;&gt;REJEITADO")</f>
        <v>0</v>
      </c>
      <c r="M7" s="41" t="n">
        <f aca="false">COUNTIFS('MAPA COMPARATIVO'!$B$5:$B$206,$A7,'MAPA COMPARATIVO'!$F$5:$F$206,"VERIFICAR",'MAPA COMPARATIVO'!$V$5:$V$206,"&lt;&gt;REJEITADO")</f>
        <v>5</v>
      </c>
      <c r="N7" s="42" t="n">
        <f aca="false">SUM(C7:M7)</f>
        <v>59</v>
      </c>
      <c r="O7" s="18" t="n">
        <f aca="false">COUNTIFS('MAPA COMPARATIVO'!$B$5:$B$206,$A7,'MAPA COMPARATIVO'!$G$5:$G$206,"CRÍTICA",'MAPA COMPARATIVO'!$V$5:$V$206,"&lt;&gt;REJEITADO")</f>
        <v>0</v>
      </c>
      <c r="P7" s="18" t="n">
        <f aca="false">COUNTIFS('MAPA COMPARATIVO'!$B$5:$B$206,$A7,'MAPA COMPARATIVO'!$G$5:$G$206,"ALTA",'MAPA COMPARATIVO'!$V$5:$V$206,"&lt;&gt;REJEITADO")</f>
        <v>10</v>
      </c>
      <c r="Q7" s="18" t="n">
        <f aca="false">COUNTIFS('MAPA COMPARATIVO'!$B$5:$B$206,$A7,'MAPA COMPARATIVO'!$G$5:$G$206,"MÉDIA",'MAPA COMPARATIVO'!$V$5:$V$206,"&lt;&gt;REJEITADO")</f>
        <v>26</v>
      </c>
      <c r="R7" s="18" t="n">
        <f aca="false">COUNTIFS('MAPA COMPARATIVO'!$B$5:$B$206,$A7,'MAPA COMPARATIVO'!$G$5:$G$206,"BAIXA",'MAPA COMPARATIVO'!$V$5:$V$206,"&lt;&gt;REJEITADO")</f>
        <v>23</v>
      </c>
      <c r="S7" s="43" t="n">
        <f aca="false">SUMIFS('MAPA COMPARATIVO'!$O$5:$O$206,'MAPA COMPARATIVO'!$B$5:$B$206,$A7,'MAPA COMPARATIVO'!$V$5:$V$206,"&lt;&gt;REJEITADO")</f>
        <v>68532.89</v>
      </c>
      <c r="T7" s="43" t="n">
        <f aca="false">SUMIFS('MAPA COMPARATIVO'!$P$5:$P$206,'MAPA COMPARATIVO'!$B$5:$B$206,$A7,'MAPA COMPARATIVO'!$V$5:$V$206,"&lt;&gt;REJEITADO")</f>
        <v>297970.72</v>
      </c>
    </row>
    <row r="8" customFormat="false" ht="15" hidden="false" customHeight="false" outlineLevel="0" collapsed="false">
      <c r="A8" s="12" t="s">
        <v>822</v>
      </c>
      <c r="B8" s="12" t="s">
        <v>1895</v>
      </c>
      <c r="C8" s="41" t="n">
        <f aca="false">COUNTIFS('MAPA COMPARATIVO'!$B$5:$B$206,$A8,'MAPA COMPARATIVO'!$F$5:$F$206,"ERRO",'MAPA COMPARATIVO'!$V$5:$V$206,"&lt;&gt;REJEITADO")</f>
        <v>0</v>
      </c>
      <c r="D8" s="41" t="n">
        <f aca="false">COUNTIFS('MAPA COMPARATIVO'!$B$5:$B$206,$A8,'MAPA COMPARATIVO'!$F$5:$F$206,"FALHA/OMISSÃO",'MAPA COMPARATIVO'!$V$5:$V$206,"&lt;&gt;REJEITADO")</f>
        <v>0</v>
      </c>
      <c r="E8" s="41" t="n">
        <f aca="false">COUNTIFS('MAPA COMPARATIVO'!$B$5:$B$206,$A8,'MAPA COMPARATIVO'!$F$5:$F$206,"DUPLICAÇÃO",'MAPA COMPARATIVO'!$V$5:$V$206,"&lt;&gt;REJEITADO")</f>
        <v>1</v>
      </c>
      <c r="F8" s="41" t="n">
        <f aca="false">COUNTIFS('MAPA COMPARATIVO'!$B$5:$B$206,$A8,'MAPA COMPARATIVO'!$F$5:$F$206,"PREÇO BAIXO",'MAPA COMPARATIVO'!$V$5:$V$206,"&lt;&gt;REJEITADO")</f>
        <v>5</v>
      </c>
      <c r="G8" s="41" t="n">
        <f aca="false">COUNTIFS('MAPA COMPARATIVO'!$B$5:$B$206,$A8,'MAPA COMPARATIVO'!$F$5:$F$206,"PREÇO ALTO",'MAPA COMPARATIVO'!$V$5:$V$206,"&lt;&gt;REJEITADO")</f>
        <v>1</v>
      </c>
      <c r="H8" s="41" t="n">
        <f aca="false">COUNTIFS('MAPA COMPARATIVO'!$B$5:$B$206,$A8,'MAPA COMPARATIVO'!$F$5:$F$206,"INCOERÊNCIA",'MAPA COMPARATIVO'!$V$5:$V$206,"&lt;&gt;REJEITADO")</f>
        <v>1</v>
      </c>
      <c r="I8" s="41" t="n">
        <f aca="false">COUNTIFS('MAPA COMPARATIVO'!$B$5:$B$206,$A8,'MAPA COMPARATIVO'!$F$5:$F$206,"DESCRIÇÃO",'MAPA COMPARATIVO'!$V$5:$V$206,"&lt;&gt;REJEITADO")</f>
        <v>0</v>
      </c>
      <c r="J8" s="41" t="n">
        <f aca="false">COUNTIFS('MAPA COMPARATIVO'!$B$5:$B$206,$A8,'MAPA COMPARATIVO'!$F$5:$F$206,"NORMA",'MAPA COMPARATIVO'!$V$5:$V$206,"&lt;&gt;REJEITADO")</f>
        <v>1</v>
      </c>
      <c r="K8" s="41" t="n">
        <f aca="false">COUNTIFS('MAPA COMPARATIVO'!$B$5:$B$206,$A8,'MAPA COMPARATIVO'!$F$5:$F$206,"INCOMPATIBILIDADE",'MAPA COMPARATIVO'!$V$5:$V$206,"&lt;&gt;REJEITADO")</f>
        <v>0</v>
      </c>
      <c r="L8" s="41" t="n">
        <f aca="false">COUNTIFS('MAPA COMPARATIVO'!$B$5:$B$206,$A8,'MAPA COMPARATIVO'!$F$5:$F$206,"EXTRA/FORA DE ÂMBITO",'MAPA COMPARATIVO'!$V$5:$V$206,"&lt;&gt;REJEITADO")</f>
        <v>0</v>
      </c>
      <c r="M8" s="41" t="n">
        <f aca="false">COUNTIFS('MAPA COMPARATIVO'!$B$5:$B$206,$A8,'MAPA COMPARATIVO'!$F$5:$F$206,"VERIFICAR",'MAPA COMPARATIVO'!$V$5:$V$206,"&lt;&gt;REJEITADO")</f>
        <v>4</v>
      </c>
      <c r="N8" s="42" t="n">
        <f aca="false">SUM(C8:M8)</f>
        <v>13</v>
      </c>
      <c r="O8" s="18" t="n">
        <f aca="false">COUNTIFS('MAPA COMPARATIVO'!$B$5:$B$206,$A8,'MAPA COMPARATIVO'!$G$5:$G$206,"CRÍTICA",'MAPA COMPARATIVO'!$V$5:$V$206,"&lt;&gt;REJEITADO")</f>
        <v>0</v>
      </c>
      <c r="P8" s="18" t="n">
        <f aca="false">COUNTIFS('MAPA COMPARATIVO'!$B$5:$B$206,$A8,'MAPA COMPARATIVO'!$G$5:$G$206,"ALTA",'MAPA COMPARATIVO'!$V$5:$V$206,"&lt;&gt;REJEITADO")</f>
        <v>0</v>
      </c>
      <c r="Q8" s="18" t="n">
        <f aca="false">COUNTIFS('MAPA COMPARATIVO'!$B$5:$B$206,$A8,'MAPA COMPARATIVO'!$G$5:$G$206,"MÉDIA",'MAPA COMPARATIVO'!$V$5:$V$206,"&lt;&gt;REJEITADO")</f>
        <v>5</v>
      </c>
      <c r="R8" s="18" t="n">
        <f aca="false">COUNTIFS('MAPA COMPARATIVO'!$B$5:$B$206,$A8,'MAPA COMPARATIVO'!$G$5:$G$206,"BAIXA",'MAPA COMPARATIVO'!$V$5:$V$206,"&lt;&gt;REJEITADO")</f>
        <v>8</v>
      </c>
      <c r="S8" s="43" t="n">
        <f aca="false">SUMIFS('MAPA COMPARATIVO'!$O$5:$O$206,'MAPA COMPARATIVO'!$B$5:$B$206,$A8,'MAPA COMPARATIVO'!$V$5:$V$206,"&lt;&gt;REJEITADO")</f>
        <v>4996.18</v>
      </c>
      <c r="T8" s="43" t="n">
        <f aca="false">SUMIFS('MAPA COMPARATIVO'!$P$5:$P$206,'MAPA COMPARATIVO'!$B$5:$B$206,$A8,'MAPA COMPARATIVO'!$V$5:$V$206,"&lt;&gt;REJEITADO")</f>
        <v>37769.6</v>
      </c>
    </row>
    <row r="9" customFormat="false" ht="15" hidden="false" customHeight="false" outlineLevel="0" collapsed="false">
      <c r="A9" s="12" t="s">
        <v>306</v>
      </c>
      <c r="B9" s="12" t="s">
        <v>1896</v>
      </c>
      <c r="C9" s="41" t="n">
        <f aca="false">COUNTIFS('MAPA COMPARATIVO'!$B$5:$B$206,$A9,'MAPA COMPARATIVO'!$F$5:$F$206,"ERRO",'MAPA COMPARATIVO'!$V$5:$V$206,"&lt;&gt;REJEITADO")</f>
        <v>0</v>
      </c>
      <c r="D9" s="41" t="n">
        <f aca="false">COUNTIFS('MAPA COMPARATIVO'!$B$5:$B$206,$A9,'MAPA COMPARATIVO'!$F$5:$F$206,"FALHA/OMISSÃO",'MAPA COMPARATIVO'!$V$5:$V$206,"&lt;&gt;REJEITADO")</f>
        <v>0</v>
      </c>
      <c r="E9" s="41" t="n">
        <f aca="false">COUNTIFS('MAPA COMPARATIVO'!$B$5:$B$206,$A9,'MAPA COMPARATIVO'!$F$5:$F$206,"DUPLICAÇÃO",'MAPA COMPARATIVO'!$V$5:$V$206,"&lt;&gt;REJEITADO")</f>
        <v>3</v>
      </c>
      <c r="F9" s="41" t="n">
        <f aca="false">COUNTIFS('MAPA COMPARATIVO'!$B$5:$B$206,$A9,'MAPA COMPARATIVO'!$F$5:$F$206,"PREÇO BAIXO",'MAPA COMPARATIVO'!$V$5:$V$206,"&lt;&gt;REJEITADO")</f>
        <v>3</v>
      </c>
      <c r="G9" s="41" t="n">
        <f aca="false">COUNTIFS('MAPA COMPARATIVO'!$B$5:$B$206,$A9,'MAPA COMPARATIVO'!$F$5:$F$206,"PREÇO ALTO",'MAPA COMPARATIVO'!$V$5:$V$206,"&lt;&gt;REJEITADO")</f>
        <v>0</v>
      </c>
      <c r="H9" s="41" t="n">
        <f aca="false">COUNTIFS('MAPA COMPARATIVO'!$B$5:$B$206,$A9,'MAPA COMPARATIVO'!$F$5:$F$206,"INCOERÊNCIA",'MAPA COMPARATIVO'!$V$5:$V$206,"&lt;&gt;REJEITADO")</f>
        <v>1</v>
      </c>
      <c r="I9" s="41" t="n">
        <f aca="false">COUNTIFS('MAPA COMPARATIVO'!$B$5:$B$206,$A9,'MAPA COMPARATIVO'!$F$5:$F$206,"DESCRIÇÃO",'MAPA COMPARATIVO'!$V$5:$V$206,"&lt;&gt;REJEITADO")</f>
        <v>1</v>
      </c>
      <c r="J9" s="41" t="n">
        <f aca="false">COUNTIFS('MAPA COMPARATIVO'!$B$5:$B$206,$A9,'MAPA COMPARATIVO'!$F$5:$F$206,"NORMA",'MAPA COMPARATIVO'!$V$5:$V$206,"&lt;&gt;REJEITADO")</f>
        <v>0</v>
      </c>
      <c r="K9" s="41" t="n">
        <f aca="false">COUNTIFS('MAPA COMPARATIVO'!$B$5:$B$206,$A9,'MAPA COMPARATIVO'!$F$5:$F$206,"INCOMPATIBILIDADE",'MAPA COMPARATIVO'!$V$5:$V$206,"&lt;&gt;REJEITADO")</f>
        <v>1</v>
      </c>
      <c r="L9" s="41" t="n">
        <f aca="false">COUNTIFS('MAPA COMPARATIVO'!$B$5:$B$206,$A9,'MAPA COMPARATIVO'!$F$5:$F$206,"EXTRA/FORA DE ÂMBITO",'MAPA COMPARATIVO'!$V$5:$V$206,"&lt;&gt;REJEITADO")</f>
        <v>0</v>
      </c>
      <c r="M9" s="41" t="n">
        <f aca="false">COUNTIFS('MAPA COMPARATIVO'!$B$5:$B$206,$A9,'MAPA COMPARATIVO'!$F$5:$F$206,"VERIFICAR",'MAPA COMPARATIVO'!$V$5:$V$206,"&lt;&gt;REJEITADO")</f>
        <v>0</v>
      </c>
      <c r="N9" s="42" t="n">
        <f aca="false">SUM(C9:M9)</f>
        <v>9</v>
      </c>
      <c r="O9" s="18" t="n">
        <f aca="false">COUNTIFS('MAPA COMPARATIVO'!$B$5:$B$206,$A9,'MAPA COMPARATIVO'!$G$5:$G$206,"CRÍTICA",'MAPA COMPARATIVO'!$V$5:$V$206,"&lt;&gt;REJEITADO")</f>
        <v>0</v>
      </c>
      <c r="P9" s="18" t="n">
        <f aca="false">COUNTIFS('MAPA COMPARATIVO'!$B$5:$B$206,$A9,'MAPA COMPARATIVO'!$G$5:$G$206,"ALTA",'MAPA COMPARATIVO'!$V$5:$V$206,"&lt;&gt;REJEITADO")</f>
        <v>1</v>
      </c>
      <c r="Q9" s="18" t="n">
        <f aca="false">COUNTIFS('MAPA COMPARATIVO'!$B$5:$B$206,$A9,'MAPA COMPARATIVO'!$G$5:$G$206,"MÉDIA",'MAPA COMPARATIVO'!$V$5:$V$206,"&lt;&gt;REJEITADO")</f>
        <v>3</v>
      </c>
      <c r="R9" s="18" t="n">
        <f aca="false">COUNTIFS('MAPA COMPARATIVO'!$B$5:$B$206,$A9,'MAPA COMPARATIVO'!$G$5:$G$206,"BAIXA",'MAPA COMPARATIVO'!$V$5:$V$206,"&lt;&gt;REJEITADO")</f>
        <v>5</v>
      </c>
      <c r="S9" s="43" t="n">
        <f aca="false">SUMIFS('MAPA COMPARATIVO'!$O$5:$O$206,'MAPA COMPARATIVO'!$B$5:$B$206,$A9,'MAPA COMPARATIVO'!$V$5:$V$206,"&lt;&gt;REJEITADO")</f>
        <v>3832.03</v>
      </c>
      <c r="T9" s="43" t="n">
        <f aca="false">SUMIFS('MAPA COMPARATIVO'!$P$5:$P$206,'MAPA COMPARATIVO'!$B$5:$B$206,$A9,'MAPA COMPARATIVO'!$V$5:$V$206,"&lt;&gt;REJEITADO")</f>
        <v>14235.74</v>
      </c>
    </row>
    <row r="10" customFormat="false" ht="15" hidden="false" customHeight="false" outlineLevel="0" collapsed="false">
      <c r="A10" s="12" t="s">
        <v>317</v>
      </c>
      <c r="B10" s="12" t="s">
        <v>1897</v>
      </c>
      <c r="C10" s="41" t="n">
        <f aca="false">COUNTIFS('MAPA COMPARATIVO'!$B$5:$B$206,$A10,'MAPA COMPARATIVO'!$F$5:$F$206,"ERRO",'MAPA COMPARATIVO'!$V$5:$V$206,"&lt;&gt;REJEITADO")</f>
        <v>0</v>
      </c>
      <c r="D10" s="41" t="n">
        <f aca="false">COUNTIFS('MAPA COMPARATIVO'!$B$5:$B$206,$A10,'MAPA COMPARATIVO'!$F$5:$F$206,"FALHA/OMISSÃO",'MAPA COMPARATIVO'!$V$5:$V$206,"&lt;&gt;REJEITADO")</f>
        <v>0</v>
      </c>
      <c r="E10" s="41" t="n">
        <f aca="false">COUNTIFS('MAPA COMPARATIVO'!$B$5:$B$206,$A10,'MAPA COMPARATIVO'!$F$5:$F$206,"DUPLICAÇÃO",'MAPA COMPARATIVO'!$V$5:$V$206,"&lt;&gt;REJEITADO")</f>
        <v>1</v>
      </c>
      <c r="F10" s="41" t="n">
        <f aca="false">COUNTIFS('MAPA COMPARATIVO'!$B$5:$B$206,$A10,'MAPA COMPARATIVO'!$F$5:$F$206,"PREÇO BAIXO",'MAPA COMPARATIVO'!$V$5:$V$206,"&lt;&gt;REJEITADO")</f>
        <v>5</v>
      </c>
      <c r="G10" s="41" t="n">
        <f aca="false">COUNTIFS('MAPA COMPARATIVO'!$B$5:$B$206,$A10,'MAPA COMPARATIVO'!$F$5:$F$206,"PREÇO ALTO",'MAPA COMPARATIVO'!$V$5:$V$206,"&lt;&gt;REJEITADO")</f>
        <v>0</v>
      </c>
      <c r="H10" s="41" t="n">
        <f aca="false">COUNTIFS('MAPA COMPARATIVO'!$B$5:$B$206,$A10,'MAPA COMPARATIVO'!$F$5:$F$206,"INCOERÊNCIA",'MAPA COMPARATIVO'!$V$5:$V$206,"&lt;&gt;REJEITADO")</f>
        <v>2</v>
      </c>
      <c r="I10" s="41" t="n">
        <f aca="false">COUNTIFS('MAPA COMPARATIVO'!$B$5:$B$206,$A10,'MAPA COMPARATIVO'!$F$5:$F$206,"DESCRIÇÃO",'MAPA COMPARATIVO'!$V$5:$V$206,"&lt;&gt;REJEITADO")</f>
        <v>3</v>
      </c>
      <c r="J10" s="41" t="n">
        <f aca="false">COUNTIFS('MAPA COMPARATIVO'!$B$5:$B$206,$A10,'MAPA COMPARATIVO'!$F$5:$F$206,"NORMA",'MAPA COMPARATIVO'!$V$5:$V$206,"&lt;&gt;REJEITADO")</f>
        <v>0</v>
      </c>
      <c r="K10" s="41" t="n">
        <f aca="false">COUNTIFS('MAPA COMPARATIVO'!$B$5:$B$206,$A10,'MAPA COMPARATIVO'!$F$5:$F$206,"INCOMPATIBILIDADE",'MAPA COMPARATIVO'!$V$5:$V$206,"&lt;&gt;REJEITADO")</f>
        <v>0</v>
      </c>
      <c r="L10" s="41" t="n">
        <f aca="false">COUNTIFS('MAPA COMPARATIVO'!$B$5:$B$206,$A10,'MAPA COMPARATIVO'!$F$5:$F$206,"EXTRA/FORA DE ÂMBITO",'MAPA COMPARATIVO'!$V$5:$V$206,"&lt;&gt;REJEITADO")</f>
        <v>0</v>
      </c>
      <c r="M10" s="41" t="n">
        <f aca="false">COUNTIFS('MAPA COMPARATIVO'!$B$5:$B$206,$A10,'MAPA COMPARATIVO'!$F$5:$F$206,"VERIFICAR",'MAPA COMPARATIVO'!$V$5:$V$206,"&lt;&gt;REJEITADO")</f>
        <v>0</v>
      </c>
      <c r="N10" s="42" t="n">
        <f aca="false">SUM(C10:M10)</f>
        <v>11</v>
      </c>
      <c r="O10" s="18" t="n">
        <f aca="false">COUNTIFS('MAPA COMPARATIVO'!$B$5:$B$206,$A10,'MAPA COMPARATIVO'!$G$5:$G$206,"CRÍTICA",'MAPA COMPARATIVO'!$V$5:$V$206,"&lt;&gt;REJEITADO")</f>
        <v>0</v>
      </c>
      <c r="P10" s="18" t="n">
        <f aca="false">COUNTIFS('MAPA COMPARATIVO'!$B$5:$B$206,$A10,'MAPA COMPARATIVO'!$G$5:$G$206,"ALTA",'MAPA COMPARATIVO'!$V$5:$V$206,"&lt;&gt;REJEITADO")</f>
        <v>4</v>
      </c>
      <c r="Q10" s="18" t="n">
        <f aca="false">COUNTIFS('MAPA COMPARATIVO'!$B$5:$B$206,$A10,'MAPA COMPARATIVO'!$G$5:$G$206,"MÉDIA",'MAPA COMPARATIVO'!$V$5:$V$206,"&lt;&gt;REJEITADO")</f>
        <v>2</v>
      </c>
      <c r="R10" s="18" t="n">
        <f aca="false">COUNTIFS('MAPA COMPARATIVO'!$B$5:$B$206,$A10,'MAPA COMPARATIVO'!$G$5:$G$206,"BAIXA",'MAPA COMPARATIVO'!$V$5:$V$206,"&lt;&gt;REJEITADO")</f>
        <v>5</v>
      </c>
      <c r="S10" s="43" t="n">
        <f aca="false">SUMIFS('MAPA COMPARATIVO'!$O$5:$O$206,'MAPA COMPARATIVO'!$B$5:$B$206,$A10,'MAPA COMPARATIVO'!$V$5:$V$206,"&lt;&gt;REJEITADO")</f>
        <v>9387.53</v>
      </c>
      <c r="T10" s="43" t="n">
        <f aca="false">SUMIFS('MAPA COMPARATIVO'!$P$5:$P$206,'MAPA COMPARATIVO'!$B$5:$B$206,$A10,'MAPA COMPARATIVO'!$V$5:$V$206,"&lt;&gt;REJEITADO")</f>
        <v>28791.51</v>
      </c>
    </row>
    <row r="11" customFormat="false" ht="15" hidden="false" customHeight="false" outlineLevel="0" collapsed="false">
      <c r="A11" s="12" t="s">
        <v>354</v>
      </c>
      <c r="B11" s="12" t="s">
        <v>356</v>
      </c>
      <c r="C11" s="41" t="n">
        <f aca="false">COUNTIFS('MAPA COMPARATIVO'!$B$5:$B$206,$A11,'MAPA COMPARATIVO'!$F$5:$F$206,"ERRO",'MAPA COMPARATIVO'!$V$5:$V$206,"&lt;&gt;REJEITADO")</f>
        <v>2</v>
      </c>
      <c r="D11" s="41" t="n">
        <f aca="false">COUNTIFS('MAPA COMPARATIVO'!$B$5:$B$206,$A11,'MAPA COMPARATIVO'!$F$5:$F$206,"FALHA/OMISSÃO",'MAPA COMPARATIVO'!$V$5:$V$206,"&lt;&gt;REJEITADO")</f>
        <v>6</v>
      </c>
      <c r="E11" s="41" t="n">
        <f aca="false">COUNTIFS('MAPA COMPARATIVO'!$B$5:$B$206,$A11,'MAPA COMPARATIVO'!$F$5:$F$206,"DUPLICAÇÃO",'MAPA COMPARATIVO'!$V$5:$V$206,"&lt;&gt;REJEITADO")</f>
        <v>1</v>
      </c>
      <c r="F11" s="41" t="n">
        <f aca="false">COUNTIFS('MAPA COMPARATIVO'!$B$5:$B$206,$A11,'MAPA COMPARATIVO'!$F$5:$F$206,"PREÇO BAIXO",'MAPA COMPARATIVO'!$V$5:$V$206,"&lt;&gt;REJEITADO")</f>
        <v>4</v>
      </c>
      <c r="G11" s="41" t="n">
        <f aca="false">COUNTIFS('MAPA COMPARATIVO'!$B$5:$B$206,$A11,'MAPA COMPARATIVO'!$F$5:$F$206,"PREÇO ALTO",'MAPA COMPARATIVO'!$V$5:$V$206,"&lt;&gt;REJEITADO")</f>
        <v>0</v>
      </c>
      <c r="H11" s="41" t="n">
        <f aca="false">COUNTIFS('MAPA COMPARATIVO'!$B$5:$B$206,$A11,'MAPA COMPARATIVO'!$F$5:$F$206,"INCOERÊNCIA",'MAPA COMPARATIVO'!$V$5:$V$206,"&lt;&gt;REJEITADO")</f>
        <v>1</v>
      </c>
      <c r="I11" s="41" t="n">
        <f aca="false">COUNTIFS('MAPA COMPARATIVO'!$B$5:$B$206,$A11,'MAPA COMPARATIVO'!$F$5:$F$206,"DESCRIÇÃO",'MAPA COMPARATIVO'!$V$5:$V$206,"&lt;&gt;REJEITADO")</f>
        <v>3</v>
      </c>
      <c r="J11" s="41" t="n">
        <f aca="false">COUNTIFS('MAPA COMPARATIVO'!$B$5:$B$206,$A11,'MAPA COMPARATIVO'!$F$5:$F$206,"NORMA",'MAPA COMPARATIVO'!$V$5:$V$206,"&lt;&gt;REJEITADO")</f>
        <v>0</v>
      </c>
      <c r="K11" s="41" t="n">
        <f aca="false">COUNTIFS('MAPA COMPARATIVO'!$B$5:$B$206,$A11,'MAPA COMPARATIVO'!$F$5:$F$206,"INCOMPATIBILIDADE",'MAPA COMPARATIVO'!$V$5:$V$206,"&lt;&gt;REJEITADO")</f>
        <v>0</v>
      </c>
      <c r="L11" s="41" t="n">
        <f aca="false">COUNTIFS('MAPA COMPARATIVO'!$B$5:$B$206,$A11,'MAPA COMPARATIVO'!$F$5:$F$206,"EXTRA/FORA DE ÂMBITO",'MAPA COMPARATIVO'!$V$5:$V$206,"&lt;&gt;REJEITADO")</f>
        <v>1</v>
      </c>
      <c r="M11" s="41" t="n">
        <f aca="false">COUNTIFS('MAPA COMPARATIVO'!$B$5:$B$206,$A11,'MAPA COMPARATIVO'!$F$5:$F$206,"VERIFICAR",'MAPA COMPARATIVO'!$V$5:$V$206,"&lt;&gt;REJEITADO")</f>
        <v>5</v>
      </c>
      <c r="N11" s="42" t="n">
        <f aca="false">SUM(C11:M11)</f>
        <v>23</v>
      </c>
      <c r="O11" s="18" t="n">
        <f aca="false">COUNTIFS('MAPA COMPARATIVO'!$B$5:$B$206,$A11,'MAPA COMPARATIVO'!$G$5:$G$206,"CRÍTICA",'MAPA COMPARATIVO'!$V$5:$V$206,"&lt;&gt;REJEITADO")</f>
        <v>0</v>
      </c>
      <c r="P11" s="18" t="n">
        <f aca="false">COUNTIFS('MAPA COMPARATIVO'!$B$5:$B$206,$A11,'MAPA COMPARATIVO'!$G$5:$G$206,"ALTA",'MAPA COMPARATIVO'!$V$5:$V$206,"&lt;&gt;REJEITADO")</f>
        <v>4</v>
      </c>
      <c r="Q11" s="18" t="n">
        <f aca="false">COUNTIFS('MAPA COMPARATIVO'!$B$5:$B$206,$A11,'MAPA COMPARATIVO'!$G$5:$G$206,"MÉDIA",'MAPA COMPARATIVO'!$V$5:$V$206,"&lt;&gt;REJEITADO")</f>
        <v>11</v>
      </c>
      <c r="R11" s="18" t="n">
        <f aca="false">COUNTIFS('MAPA COMPARATIVO'!$B$5:$B$206,$A11,'MAPA COMPARATIVO'!$G$5:$G$206,"BAIXA",'MAPA COMPARATIVO'!$V$5:$V$206,"&lt;&gt;REJEITADO")</f>
        <v>8</v>
      </c>
      <c r="S11" s="43" t="n">
        <f aca="false">SUMIFS('MAPA COMPARATIVO'!$O$5:$O$206,'MAPA COMPARATIVO'!$B$5:$B$206,$A11,'MAPA COMPARATIVO'!$V$5:$V$206,"&lt;&gt;REJEITADO")</f>
        <v>13523.8</v>
      </c>
      <c r="T11" s="43" t="n">
        <f aca="false">SUMIFS('MAPA COMPARATIVO'!$P$5:$P$206,'MAPA COMPARATIVO'!$B$5:$B$206,$A11,'MAPA COMPARATIVO'!$V$5:$V$206,"&lt;&gt;REJEITADO")</f>
        <v>68197.32</v>
      </c>
    </row>
    <row r="12" customFormat="false" ht="15" hidden="false" customHeight="false" outlineLevel="0" collapsed="false">
      <c r="A12" s="12" t="s">
        <v>1010</v>
      </c>
      <c r="B12" s="12" t="s">
        <v>1012</v>
      </c>
      <c r="C12" s="41" t="n">
        <f aca="false">COUNTIFS('MAPA COMPARATIVO'!$B$5:$B$206,$A12,'MAPA COMPARATIVO'!$F$5:$F$206,"ERRO",'MAPA COMPARATIVO'!$V$5:$V$206,"&lt;&gt;REJEITADO")</f>
        <v>0</v>
      </c>
      <c r="D12" s="41" t="n">
        <f aca="false">COUNTIFS('MAPA COMPARATIVO'!$B$5:$B$206,$A12,'MAPA COMPARATIVO'!$F$5:$F$206,"FALHA/OMISSÃO",'MAPA COMPARATIVO'!$V$5:$V$206,"&lt;&gt;REJEITADO")</f>
        <v>2</v>
      </c>
      <c r="E12" s="41" t="n">
        <f aca="false">COUNTIFS('MAPA COMPARATIVO'!$B$5:$B$206,$A12,'MAPA COMPARATIVO'!$F$5:$F$206,"DUPLICAÇÃO",'MAPA COMPARATIVO'!$V$5:$V$206,"&lt;&gt;REJEITADO")</f>
        <v>0</v>
      </c>
      <c r="F12" s="41" t="n">
        <f aca="false">COUNTIFS('MAPA COMPARATIVO'!$B$5:$B$206,$A12,'MAPA COMPARATIVO'!$F$5:$F$206,"PREÇO BAIXO",'MAPA COMPARATIVO'!$V$5:$V$206,"&lt;&gt;REJEITADO")</f>
        <v>0</v>
      </c>
      <c r="G12" s="41" t="n">
        <f aca="false">COUNTIFS('MAPA COMPARATIVO'!$B$5:$B$206,$A12,'MAPA COMPARATIVO'!$F$5:$F$206,"PREÇO ALTO",'MAPA COMPARATIVO'!$V$5:$V$206,"&lt;&gt;REJEITADO")</f>
        <v>0</v>
      </c>
      <c r="H12" s="41" t="n">
        <f aca="false">COUNTIFS('MAPA COMPARATIVO'!$B$5:$B$206,$A12,'MAPA COMPARATIVO'!$F$5:$F$206,"INCOERÊNCIA",'MAPA COMPARATIVO'!$V$5:$V$206,"&lt;&gt;REJEITADO")</f>
        <v>0</v>
      </c>
      <c r="I12" s="41" t="n">
        <f aca="false">COUNTIFS('MAPA COMPARATIVO'!$B$5:$B$206,$A12,'MAPA COMPARATIVO'!$F$5:$F$206,"DESCRIÇÃO",'MAPA COMPARATIVO'!$V$5:$V$206,"&lt;&gt;REJEITADO")</f>
        <v>0</v>
      </c>
      <c r="J12" s="41" t="n">
        <f aca="false">COUNTIFS('MAPA COMPARATIVO'!$B$5:$B$206,$A12,'MAPA COMPARATIVO'!$F$5:$F$206,"NORMA",'MAPA COMPARATIVO'!$V$5:$V$206,"&lt;&gt;REJEITADO")</f>
        <v>0</v>
      </c>
      <c r="K12" s="41" t="n">
        <f aca="false">COUNTIFS('MAPA COMPARATIVO'!$B$5:$B$206,$A12,'MAPA COMPARATIVO'!$F$5:$F$206,"INCOMPATIBILIDADE",'MAPA COMPARATIVO'!$V$5:$V$206,"&lt;&gt;REJEITADO")</f>
        <v>0</v>
      </c>
      <c r="L12" s="41" t="n">
        <f aca="false">COUNTIFS('MAPA COMPARATIVO'!$B$5:$B$206,$A12,'MAPA COMPARATIVO'!$F$5:$F$206,"EXTRA/FORA DE ÂMBITO",'MAPA COMPARATIVO'!$V$5:$V$206,"&lt;&gt;REJEITADO")</f>
        <v>0</v>
      </c>
      <c r="M12" s="41" t="n">
        <f aca="false">COUNTIFS('MAPA COMPARATIVO'!$B$5:$B$206,$A12,'MAPA COMPARATIVO'!$F$5:$F$206,"VERIFICAR",'MAPA COMPARATIVO'!$V$5:$V$206,"&lt;&gt;REJEITADO")</f>
        <v>0</v>
      </c>
      <c r="N12" s="42" t="n">
        <f aca="false">SUM(C12:M12)</f>
        <v>2</v>
      </c>
      <c r="O12" s="18" t="n">
        <f aca="false">COUNTIFS('MAPA COMPARATIVO'!$B$5:$B$206,$A12,'MAPA COMPARATIVO'!$G$5:$G$206,"CRÍTICA",'MAPA COMPARATIVO'!$V$5:$V$206,"&lt;&gt;REJEITADO")</f>
        <v>0</v>
      </c>
      <c r="P12" s="18" t="n">
        <f aca="false">COUNTIFS('MAPA COMPARATIVO'!$B$5:$B$206,$A12,'MAPA COMPARATIVO'!$G$5:$G$206,"ALTA",'MAPA COMPARATIVO'!$V$5:$V$206,"&lt;&gt;REJEITADO")</f>
        <v>0</v>
      </c>
      <c r="Q12" s="18" t="n">
        <f aca="false">COUNTIFS('MAPA COMPARATIVO'!$B$5:$B$206,$A12,'MAPA COMPARATIVO'!$G$5:$G$206,"MÉDIA",'MAPA COMPARATIVO'!$V$5:$V$206,"&lt;&gt;REJEITADO")</f>
        <v>2</v>
      </c>
      <c r="R12" s="18" t="n">
        <f aca="false">COUNTIFS('MAPA COMPARATIVO'!$B$5:$B$206,$A12,'MAPA COMPARATIVO'!$G$5:$G$206,"BAIXA",'MAPA COMPARATIVO'!$V$5:$V$206,"&lt;&gt;REJEITADO")</f>
        <v>0</v>
      </c>
      <c r="S12" s="43" t="n">
        <f aca="false">SUMIFS('MAPA COMPARATIVO'!$O$5:$O$206,'MAPA COMPARATIVO'!$B$5:$B$206,$A12,'MAPA COMPARATIVO'!$V$5:$V$206,"&lt;&gt;REJEITADO")</f>
        <v>2600</v>
      </c>
      <c r="T12" s="43" t="n">
        <f aca="false">SUMIFS('MAPA COMPARATIVO'!$P$5:$P$206,'MAPA COMPARATIVO'!$B$5:$B$206,$A12,'MAPA COMPARATIVO'!$V$5:$V$206,"&lt;&gt;REJEITADO")</f>
        <v>6300</v>
      </c>
    </row>
    <row r="13" customFormat="false" ht="15" hidden="false" customHeight="false" outlineLevel="0" collapsed="false">
      <c r="A13" s="12" t="s">
        <v>1028</v>
      </c>
      <c r="B13" s="12" t="s">
        <v>1030</v>
      </c>
      <c r="C13" s="41" t="n">
        <f aca="false">COUNTIFS('MAPA COMPARATIVO'!$B$5:$B$206,$A13,'MAPA COMPARATIVO'!$F$5:$F$206,"ERRO",'MAPA COMPARATIVO'!$V$5:$V$206,"&lt;&gt;REJEITADO")</f>
        <v>0</v>
      </c>
      <c r="D13" s="41" t="n">
        <f aca="false">COUNTIFS('MAPA COMPARATIVO'!$B$5:$B$206,$A13,'MAPA COMPARATIVO'!$F$5:$F$206,"FALHA/OMISSÃO",'MAPA COMPARATIVO'!$V$5:$V$206,"&lt;&gt;REJEITADO")</f>
        <v>2</v>
      </c>
      <c r="E13" s="41" t="n">
        <f aca="false">COUNTIFS('MAPA COMPARATIVO'!$B$5:$B$206,$A13,'MAPA COMPARATIVO'!$F$5:$F$206,"DUPLICAÇÃO",'MAPA COMPARATIVO'!$V$5:$V$206,"&lt;&gt;REJEITADO")</f>
        <v>0</v>
      </c>
      <c r="F13" s="41" t="n">
        <f aca="false">COUNTIFS('MAPA COMPARATIVO'!$B$5:$B$206,$A13,'MAPA COMPARATIVO'!$F$5:$F$206,"PREÇO BAIXO",'MAPA COMPARATIVO'!$V$5:$V$206,"&lt;&gt;REJEITADO")</f>
        <v>0</v>
      </c>
      <c r="G13" s="41" t="n">
        <f aca="false">COUNTIFS('MAPA COMPARATIVO'!$B$5:$B$206,$A13,'MAPA COMPARATIVO'!$F$5:$F$206,"PREÇO ALTO",'MAPA COMPARATIVO'!$V$5:$V$206,"&lt;&gt;REJEITADO")</f>
        <v>0</v>
      </c>
      <c r="H13" s="41" t="n">
        <f aca="false">COUNTIFS('MAPA COMPARATIVO'!$B$5:$B$206,$A13,'MAPA COMPARATIVO'!$F$5:$F$206,"INCOERÊNCIA",'MAPA COMPARATIVO'!$V$5:$V$206,"&lt;&gt;REJEITADO")</f>
        <v>0</v>
      </c>
      <c r="I13" s="41" t="n">
        <f aca="false">COUNTIFS('MAPA COMPARATIVO'!$B$5:$B$206,$A13,'MAPA COMPARATIVO'!$F$5:$F$206,"DESCRIÇÃO",'MAPA COMPARATIVO'!$V$5:$V$206,"&lt;&gt;REJEITADO")</f>
        <v>0</v>
      </c>
      <c r="J13" s="41" t="n">
        <f aca="false">COUNTIFS('MAPA COMPARATIVO'!$B$5:$B$206,$A13,'MAPA COMPARATIVO'!$F$5:$F$206,"NORMA",'MAPA COMPARATIVO'!$V$5:$V$206,"&lt;&gt;REJEITADO")</f>
        <v>0</v>
      </c>
      <c r="K13" s="41" t="n">
        <f aca="false">COUNTIFS('MAPA COMPARATIVO'!$B$5:$B$206,$A13,'MAPA COMPARATIVO'!$F$5:$F$206,"INCOMPATIBILIDADE",'MAPA COMPARATIVO'!$V$5:$V$206,"&lt;&gt;REJEITADO")</f>
        <v>0</v>
      </c>
      <c r="L13" s="41" t="n">
        <f aca="false">COUNTIFS('MAPA COMPARATIVO'!$B$5:$B$206,$A13,'MAPA COMPARATIVO'!$F$5:$F$206,"EXTRA/FORA DE ÂMBITO",'MAPA COMPARATIVO'!$V$5:$V$206,"&lt;&gt;REJEITADO")</f>
        <v>0</v>
      </c>
      <c r="M13" s="41" t="n">
        <f aca="false">COUNTIFS('MAPA COMPARATIVO'!$B$5:$B$206,$A13,'MAPA COMPARATIVO'!$F$5:$F$206,"VERIFICAR",'MAPA COMPARATIVO'!$V$5:$V$206,"&lt;&gt;REJEITADO")</f>
        <v>0</v>
      </c>
      <c r="N13" s="42" t="n">
        <f aca="false">SUM(C13:M13)</f>
        <v>2</v>
      </c>
      <c r="O13" s="18" t="n">
        <f aca="false">COUNTIFS('MAPA COMPARATIVO'!$B$5:$B$206,$A13,'MAPA COMPARATIVO'!$G$5:$G$206,"CRÍTICA",'MAPA COMPARATIVO'!$V$5:$V$206,"&lt;&gt;REJEITADO")</f>
        <v>0</v>
      </c>
      <c r="P13" s="18" t="n">
        <f aca="false">COUNTIFS('MAPA COMPARATIVO'!$B$5:$B$206,$A13,'MAPA COMPARATIVO'!$G$5:$G$206,"ALTA",'MAPA COMPARATIVO'!$V$5:$V$206,"&lt;&gt;REJEITADO")</f>
        <v>0</v>
      </c>
      <c r="Q13" s="18" t="n">
        <f aca="false">COUNTIFS('MAPA COMPARATIVO'!$B$5:$B$206,$A13,'MAPA COMPARATIVO'!$G$5:$G$206,"MÉDIA",'MAPA COMPARATIVO'!$V$5:$V$206,"&lt;&gt;REJEITADO")</f>
        <v>2</v>
      </c>
      <c r="R13" s="18" t="n">
        <f aca="false">COUNTIFS('MAPA COMPARATIVO'!$B$5:$B$206,$A13,'MAPA COMPARATIVO'!$G$5:$G$206,"BAIXA",'MAPA COMPARATIVO'!$V$5:$V$206,"&lt;&gt;REJEITADO")</f>
        <v>0</v>
      </c>
      <c r="S13" s="43" t="n">
        <f aca="false">SUMIFS('MAPA COMPARATIVO'!$O$5:$O$206,'MAPA COMPARATIVO'!$B$5:$B$206,$A13,'MAPA COMPARATIVO'!$V$5:$V$206,"&lt;&gt;REJEITADO")</f>
        <v>641.36</v>
      </c>
      <c r="T13" s="43" t="n">
        <f aca="false">SUMIFS('MAPA COMPARATIVO'!$P$5:$P$206,'MAPA COMPARATIVO'!$B$5:$B$206,$A13,'MAPA COMPARATIVO'!$V$5:$V$206,"&lt;&gt;REJEITADO")</f>
        <v>1622.04</v>
      </c>
    </row>
    <row r="14" customFormat="false" ht="15" hidden="false" customHeight="false" outlineLevel="0" collapsed="false">
      <c r="A14" s="12" t="s">
        <v>1046</v>
      </c>
      <c r="B14" s="12" t="s">
        <v>1898</v>
      </c>
      <c r="C14" s="41" t="n">
        <f aca="false">COUNTIFS('MAPA COMPARATIVO'!$B$5:$B$206,$A14,'MAPA COMPARATIVO'!$F$5:$F$206,"ERRO",'MAPA COMPARATIVO'!$V$5:$V$206,"&lt;&gt;REJEITADO")</f>
        <v>1</v>
      </c>
      <c r="D14" s="41" t="n">
        <f aca="false">COUNTIFS('MAPA COMPARATIVO'!$B$5:$B$206,$A14,'MAPA COMPARATIVO'!$F$5:$F$206,"FALHA/OMISSÃO",'MAPA COMPARATIVO'!$V$5:$V$206,"&lt;&gt;REJEITADO")</f>
        <v>0</v>
      </c>
      <c r="E14" s="41" t="n">
        <f aca="false">COUNTIFS('MAPA COMPARATIVO'!$B$5:$B$206,$A14,'MAPA COMPARATIVO'!$F$5:$F$206,"DUPLICAÇÃO",'MAPA COMPARATIVO'!$V$5:$V$206,"&lt;&gt;REJEITADO")</f>
        <v>2</v>
      </c>
      <c r="F14" s="41" t="n">
        <f aca="false">COUNTIFS('MAPA COMPARATIVO'!$B$5:$B$206,$A14,'MAPA COMPARATIVO'!$F$5:$F$206,"PREÇO BAIXO",'MAPA COMPARATIVO'!$V$5:$V$206,"&lt;&gt;REJEITADO")</f>
        <v>2</v>
      </c>
      <c r="G14" s="41" t="n">
        <f aca="false">COUNTIFS('MAPA COMPARATIVO'!$B$5:$B$206,$A14,'MAPA COMPARATIVO'!$F$5:$F$206,"PREÇO ALTO",'MAPA COMPARATIVO'!$V$5:$V$206,"&lt;&gt;REJEITADO")</f>
        <v>0</v>
      </c>
      <c r="H14" s="41" t="n">
        <f aca="false">COUNTIFS('MAPA COMPARATIVO'!$B$5:$B$206,$A14,'MAPA COMPARATIVO'!$F$5:$F$206,"INCOERÊNCIA",'MAPA COMPARATIVO'!$V$5:$V$206,"&lt;&gt;REJEITADO")</f>
        <v>1</v>
      </c>
      <c r="I14" s="41" t="n">
        <f aca="false">COUNTIFS('MAPA COMPARATIVO'!$B$5:$B$206,$A14,'MAPA COMPARATIVO'!$F$5:$F$206,"DESCRIÇÃO",'MAPA COMPARATIVO'!$V$5:$V$206,"&lt;&gt;REJEITADO")</f>
        <v>0</v>
      </c>
      <c r="J14" s="41" t="n">
        <f aca="false">COUNTIFS('MAPA COMPARATIVO'!$B$5:$B$206,$A14,'MAPA COMPARATIVO'!$F$5:$F$206,"NORMA",'MAPA COMPARATIVO'!$V$5:$V$206,"&lt;&gt;REJEITADO")</f>
        <v>0</v>
      </c>
      <c r="K14" s="41" t="n">
        <f aca="false">COUNTIFS('MAPA COMPARATIVO'!$B$5:$B$206,$A14,'MAPA COMPARATIVO'!$F$5:$F$206,"INCOMPATIBILIDADE",'MAPA COMPARATIVO'!$V$5:$V$206,"&lt;&gt;REJEITADO")</f>
        <v>0</v>
      </c>
      <c r="L14" s="41" t="n">
        <f aca="false">COUNTIFS('MAPA COMPARATIVO'!$B$5:$B$206,$A14,'MAPA COMPARATIVO'!$F$5:$F$206,"EXTRA/FORA DE ÂMBITO",'MAPA COMPARATIVO'!$V$5:$V$206,"&lt;&gt;REJEITADO")</f>
        <v>0</v>
      </c>
      <c r="M14" s="41" t="n">
        <f aca="false">COUNTIFS('MAPA COMPARATIVO'!$B$5:$B$206,$A14,'MAPA COMPARATIVO'!$F$5:$F$206,"VERIFICAR",'MAPA COMPARATIVO'!$V$5:$V$206,"&lt;&gt;REJEITADO")</f>
        <v>5</v>
      </c>
      <c r="N14" s="42" t="n">
        <f aca="false">SUM(C14:M14)</f>
        <v>11</v>
      </c>
      <c r="O14" s="18" t="n">
        <f aca="false">COUNTIFS('MAPA COMPARATIVO'!$B$5:$B$206,$A14,'MAPA COMPARATIVO'!$G$5:$G$206,"CRÍTICA",'MAPA COMPARATIVO'!$V$5:$V$206,"&lt;&gt;REJEITADO")</f>
        <v>0</v>
      </c>
      <c r="P14" s="18" t="n">
        <f aca="false">COUNTIFS('MAPA COMPARATIVO'!$B$5:$B$206,$A14,'MAPA COMPARATIVO'!$G$5:$G$206,"ALTA",'MAPA COMPARATIVO'!$V$5:$V$206,"&lt;&gt;REJEITADO")</f>
        <v>0</v>
      </c>
      <c r="Q14" s="18" t="n">
        <f aca="false">COUNTIFS('MAPA COMPARATIVO'!$B$5:$B$206,$A14,'MAPA COMPARATIVO'!$G$5:$G$206,"MÉDIA",'MAPA COMPARATIVO'!$V$5:$V$206,"&lt;&gt;REJEITADO")</f>
        <v>4</v>
      </c>
      <c r="R14" s="18" t="n">
        <f aca="false">COUNTIFS('MAPA COMPARATIVO'!$B$5:$B$206,$A14,'MAPA COMPARATIVO'!$G$5:$G$206,"BAIXA",'MAPA COMPARATIVO'!$V$5:$V$206,"&lt;&gt;REJEITADO")</f>
        <v>7</v>
      </c>
      <c r="S14" s="43" t="n">
        <f aca="false">SUMIFS('MAPA COMPARATIVO'!$O$5:$O$206,'MAPA COMPARATIVO'!$B$5:$B$206,$A14,'MAPA COMPARATIVO'!$V$5:$V$206,"&lt;&gt;REJEITADO")</f>
        <v>992.12</v>
      </c>
      <c r="T14" s="43" t="n">
        <f aca="false">SUMIFS('MAPA COMPARATIVO'!$P$5:$P$206,'MAPA COMPARATIVO'!$B$5:$B$206,$A14,'MAPA COMPARATIVO'!$V$5:$V$206,"&lt;&gt;REJEITADO")</f>
        <v>8247.73</v>
      </c>
    </row>
    <row r="15" customFormat="false" ht="15" hidden="false" customHeight="false" outlineLevel="0" collapsed="false">
      <c r="A15" s="12" t="s">
        <v>1083</v>
      </c>
      <c r="B15" s="12" t="s">
        <v>1899</v>
      </c>
      <c r="C15" s="41" t="n">
        <f aca="false">COUNTIFS('MAPA COMPARATIVO'!$B$5:$B$206,$A15,'MAPA COMPARATIVO'!$F$5:$F$206,"ERRO",'MAPA COMPARATIVO'!$V$5:$V$206,"&lt;&gt;REJEITADO")</f>
        <v>8</v>
      </c>
      <c r="D15" s="41" t="n">
        <f aca="false">COUNTIFS('MAPA COMPARATIVO'!$B$5:$B$206,$A15,'MAPA COMPARATIVO'!$F$5:$F$206,"FALHA/OMISSÃO",'MAPA COMPARATIVO'!$V$5:$V$206,"&lt;&gt;REJEITADO")</f>
        <v>1</v>
      </c>
      <c r="E15" s="41" t="n">
        <f aca="false">COUNTIFS('MAPA COMPARATIVO'!$B$5:$B$206,$A15,'MAPA COMPARATIVO'!$F$5:$F$206,"DUPLICAÇÃO",'MAPA COMPARATIVO'!$V$5:$V$206,"&lt;&gt;REJEITADO")</f>
        <v>1</v>
      </c>
      <c r="F15" s="41" t="n">
        <f aca="false">COUNTIFS('MAPA COMPARATIVO'!$B$5:$B$206,$A15,'MAPA COMPARATIVO'!$F$5:$F$206,"PREÇO BAIXO",'MAPA COMPARATIVO'!$V$5:$V$206,"&lt;&gt;REJEITADO")</f>
        <v>0</v>
      </c>
      <c r="G15" s="41" t="n">
        <f aca="false">COUNTIFS('MAPA COMPARATIVO'!$B$5:$B$206,$A15,'MAPA COMPARATIVO'!$F$5:$F$206,"PREÇO ALTO",'MAPA COMPARATIVO'!$V$5:$V$206,"&lt;&gt;REJEITADO")</f>
        <v>0</v>
      </c>
      <c r="H15" s="41" t="n">
        <f aca="false">COUNTIFS('MAPA COMPARATIVO'!$B$5:$B$206,$A15,'MAPA COMPARATIVO'!$F$5:$F$206,"INCOERÊNCIA",'MAPA COMPARATIVO'!$V$5:$V$206,"&lt;&gt;REJEITADO")</f>
        <v>1</v>
      </c>
      <c r="I15" s="41" t="n">
        <f aca="false">COUNTIFS('MAPA COMPARATIVO'!$B$5:$B$206,$A15,'MAPA COMPARATIVO'!$F$5:$F$206,"DESCRIÇÃO",'MAPA COMPARATIVO'!$V$5:$V$206,"&lt;&gt;REJEITADO")</f>
        <v>2</v>
      </c>
      <c r="J15" s="41" t="n">
        <f aca="false">COUNTIFS('MAPA COMPARATIVO'!$B$5:$B$206,$A15,'MAPA COMPARATIVO'!$F$5:$F$206,"NORMA",'MAPA COMPARATIVO'!$V$5:$V$206,"&lt;&gt;REJEITADO")</f>
        <v>0</v>
      </c>
      <c r="K15" s="41" t="n">
        <f aca="false">COUNTIFS('MAPA COMPARATIVO'!$B$5:$B$206,$A15,'MAPA COMPARATIVO'!$F$5:$F$206,"INCOMPATIBILIDADE",'MAPA COMPARATIVO'!$V$5:$V$206,"&lt;&gt;REJEITADO")</f>
        <v>0</v>
      </c>
      <c r="L15" s="41" t="n">
        <f aca="false">COUNTIFS('MAPA COMPARATIVO'!$B$5:$B$206,$A15,'MAPA COMPARATIVO'!$F$5:$F$206,"EXTRA/FORA DE ÂMBITO",'MAPA COMPARATIVO'!$V$5:$V$206,"&lt;&gt;REJEITADO")</f>
        <v>0</v>
      </c>
      <c r="M15" s="41" t="n">
        <f aca="false">COUNTIFS('MAPA COMPARATIVO'!$B$5:$B$206,$A15,'MAPA COMPARATIVO'!$F$5:$F$206,"VERIFICAR",'MAPA COMPARATIVO'!$V$5:$V$206,"&lt;&gt;REJEITADO")</f>
        <v>1</v>
      </c>
      <c r="N15" s="42" t="n">
        <f aca="false">SUM(C15:M15)</f>
        <v>14</v>
      </c>
      <c r="O15" s="18" t="n">
        <f aca="false">COUNTIFS('MAPA COMPARATIVO'!$B$5:$B$206,$A15,'MAPA COMPARATIVO'!$G$5:$G$206,"CRÍTICA",'MAPA COMPARATIVO'!$V$5:$V$206,"&lt;&gt;REJEITADO")</f>
        <v>0</v>
      </c>
      <c r="P15" s="18" t="n">
        <f aca="false">COUNTIFS('MAPA COMPARATIVO'!$B$5:$B$206,$A15,'MAPA COMPARATIVO'!$G$5:$G$206,"ALTA",'MAPA COMPARATIVO'!$V$5:$V$206,"&lt;&gt;REJEITADO")</f>
        <v>0</v>
      </c>
      <c r="Q15" s="18" t="n">
        <f aca="false">COUNTIFS('MAPA COMPARATIVO'!$B$5:$B$206,$A15,'MAPA COMPARATIVO'!$G$5:$G$206,"MÉDIA",'MAPA COMPARATIVO'!$V$5:$V$206,"&lt;&gt;REJEITADO")</f>
        <v>2</v>
      </c>
      <c r="R15" s="18" t="n">
        <f aca="false">COUNTIFS('MAPA COMPARATIVO'!$B$5:$B$206,$A15,'MAPA COMPARATIVO'!$G$5:$G$206,"BAIXA",'MAPA COMPARATIVO'!$V$5:$V$206,"&lt;&gt;REJEITADO")</f>
        <v>12</v>
      </c>
      <c r="S15" s="43" t="n">
        <f aca="false">SUMIFS('MAPA COMPARATIVO'!$O$5:$O$206,'MAPA COMPARATIVO'!$B$5:$B$206,$A15,'MAPA COMPARATIVO'!$V$5:$V$206,"&lt;&gt;REJEITADO")</f>
        <v>-154.13</v>
      </c>
      <c r="T15" s="43" t="n">
        <f aca="false">SUMIFS('MAPA COMPARATIVO'!$P$5:$P$206,'MAPA COMPARATIVO'!$B$5:$B$206,$A15,'MAPA COMPARATIVO'!$V$5:$V$206,"&lt;&gt;REJEITADO")</f>
        <v>-1281.75</v>
      </c>
    </row>
    <row r="16" customFormat="false" ht="15" hidden="false" customHeight="false" outlineLevel="0" collapsed="false">
      <c r="A16" s="12" t="s">
        <v>1814</v>
      </c>
      <c r="B16" s="12" t="s">
        <v>1900</v>
      </c>
      <c r="C16" s="41" t="n">
        <f aca="false">COUNTIFS('MAPA COMPARATIVO'!$B$5:$B$206,$A16,'MAPA COMPARATIVO'!$F$5:$F$206,"ERRO",'MAPA COMPARATIVO'!$V$5:$V$206,"&lt;&gt;REJEITADO")</f>
        <v>0</v>
      </c>
      <c r="D16" s="41" t="n">
        <f aca="false">COUNTIFS('MAPA COMPARATIVO'!$B$5:$B$206,$A16,'MAPA COMPARATIVO'!$F$5:$F$206,"FALHA/OMISSÃO",'MAPA COMPARATIVO'!$V$5:$V$206,"&lt;&gt;REJEITADO")</f>
        <v>0</v>
      </c>
      <c r="E16" s="41" t="n">
        <f aca="false">COUNTIFS('MAPA COMPARATIVO'!$B$5:$B$206,$A16,'MAPA COMPARATIVO'!$F$5:$F$206,"DUPLICAÇÃO",'MAPA COMPARATIVO'!$V$5:$V$206,"&lt;&gt;REJEITADO")</f>
        <v>0</v>
      </c>
      <c r="F16" s="41" t="n">
        <f aca="false">COUNTIFS('MAPA COMPARATIVO'!$B$5:$B$206,$A16,'MAPA COMPARATIVO'!$F$5:$F$206,"PREÇO BAIXO",'MAPA COMPARATIVO'!$V$5:$V$206,"&lt;&gt;REJEITADO")</f>
        <v>0</v>
      </c>
      <c r="G16" s="41" t="n">
        <f aca="false">COUNTIFS('MAPA COMPARATIVO'!$B$5:$B$206,$A16,'MAPA COMPARATIVO'!$F$5:$F$206,"PREÇO ALTO",'MAPA COMPARATIVO'!$V$5:$V$206,"&lt;&gt;REJEITADO")</f>
        <v>0</v>
      </c>
      <c r="H16" s="41" t="n">
        <f aca="false">COUNTIFS('MAPA COMPARATIVO'!$B$5:$B$206,$A16,'MAPA COMPARATIVO'!$F$5:$F$206,"INCOERÊNCIA",'MAPA COMPARATIVO'!$V$5:$V$206,"&lt;&gt;REJEITADO")</f>
        <v>0</v>
      </c>
      <c r="I16" s="41" t="n">
        <f aca="false">COUNTIFS('MAPA COMPARATIVO'!$B$5:$B$206,$A16,'MAPA COMPARATIVO'!$F$5:$F$206,"DESCRIÇÃO",'MAPA COMPARATIVO'!$V$5:$V$206,"&lt;&gt;REJEITADO")</f>
        <v>0</v>
      </c>
      <c r="J16" s="41" t="n">
        <f aca="false">COUNTIFS('MAPA COMPARATIVO'!$B$5:$B$206,$A16,'MAPA COMPARATIVO'!$F$5:$F$206,"NORMA",'MAPA COMPARATIVO'!$V$5:$V$206,"&lt;&gt;REJEITADO")</f>
        <v>0</v>
      </c>
      <c r="K16" s="41" t="n">
        <f aca="false">COUNTIFS('MAPA COMPARATIVO'!$B$5:$B$206,$A16,'MAPA COMPARATIVO'!$F$5:$F$206,"INCOMPATIBILIDADE",'MAPA COMPARATIVO'!$V$5:$V$206,"&lt;&gt;REJEITADO")</f>
        <v>0</v>
      </c>
      <c r="L16" s="41" t="n">
        <f aca="false">COUNTIFS('MAPA COMPARATIVO'!$B$5:$B$206,$A16,'MAPA COMPARATIVO'!$F$5:$F$206,"EXTRA/FORA DE ÂMBITO",'MAPA COMPARATIVO'!$V$5:$V$206,"&lt;&gt;REJEITADO")</f>
        <v>0</v>
      </c>
      <c r="M16" s="41" t="n">
        <f aca="false">COUNTIFS('MAPA COMPARATIVO'!$B$5:$B$206,$A16,'MAPA COMPARATIVO'!$F$5:$F$206,"VERIFICAR",'MAPA COMPARATIVO'!$V$5:$V$206,"&lt;&gt;REJEITADO")</f>
        <v>1</v>
      </c>
      <c r="N16" s="42" t="n">
        <f aca="false">SUM(C16:M16)</f>
        <v>1</v>
      </c>
      <c r="O16" s="18" t="n">
        <f aca="false">COUNTIFS('MAPA COMPARATIVO'!$B$5:$B$206,$A16,'MAPA COMPARATIVO'!$G$5:$G$206,"CRÍTICA",'MAPA COMPARATIVO'!$V$5:$V$206,"&lt;&gt;REJEITADO")</f>
        <v>0</v>
      </c>
      <c r="P16" s="18" t="n">
        <f aca="false">COUNTIFS('MAPA COMPARATIVO'!$B$5:$B$206,$A16,'MAPA COMPARATIVO'!$G$5:$G$206,"ALTA",'MAPA COMPARATIVO'!$V$5:$V$206,"&lt;&gt;REJEITADO")</f>
        <v>0</v>
      </c>
      <c r="Q16" s="18" t="n">
        <f aca="false">COUNTIFS('MAPA COMPARATIVO'!$B$5:$B$206,$A16,'MAPA COMPARATIVO'!$G$5:$G$206,"MÉDIA",'MAPA COMPARATIVO'!$V$5:$V$206,"&lt;&gt;REJEITADO")</f>
        <v>0</v>
      </c>
      <c r="R16" s="18" t="n">
        <f aca="false">COUNTIFS('MAPA COMPARATIVO'!$B$5:$B$206,$A16,'MAPA COMPARATIVO'!$G$5:$G$206,"BAIXA",'MAPA COMPARATIVO'!$V$5:$V$206,"&lt;&gt;REJEITADO")</f>
        <v>1</v>
      </c>
      <c r="S16" s="43" t="n">
        <f aca="false">SUMIFS('MAPA COMPARATIVO'!$O$5:$O$206,'MAPA COMPARATIVO'!$B$5:$B$206,$A16,'MAPA COMPARATIVO'!$V$5:$V$206,"&lt;&gt;REJEITADO")</f>
        <v>0</v>
      </c>
      <c r="T16" s="43" t="n">
        <f aca="false">SUMIFS('MAPA COMPARATIVO'!$P$5:$P$206,'MAPA COMPARATIVO'!$B$5:$B$206,$A16,'MAPA COMPARATIVO'!$V$5:$V$206,"&lt;&gt;REJEITADO")</f>
        <v>2000</v>
      </c>
    </row>
    <row r="17" customFormat="false" ht="15" hidden="false" customHeight="false" outlineLevel="0" collapsed="false">
      <c r="A17" s="12" t="s">
        <v>390</v>
      </c>
      <c r="B17" s="12" t="s">
        <v>1901</v>
      </c>
      <c r="C17" s="41" t="n">
        <f aca="false">COUNTIFS('MAPA COMPARATIVO'!$B$5:$B$206,$A17,'MAPA COMPARATIVO'!$F$5:$F$206,"ERRO",'MAPA COMPARATIVO'!$V$5:$V$206,"&lt;&gt;REJEITADO")</f>
        <v>0</v>
      </c>
      <c r="D17" s="41" t="n">
        <f aca="false">COUNTIFS('MAPA COMPARATIVO'!$B$5:$B$206,$A17,'MAPA COMPARATIVO'!$F$5:$F$206,"FALHA/OMISSÃO",'MAPA COMPARATIVO'!$V$5:$V$206,"&lt;&gt;REJEITADO")</f>
        <v>2</v>
      </c>
      <c r="E17" s="41" t="n">
        <f aca="false">COUNTIFS('MAPA COMPARATIVO'!$B$5:$B$206,$A17,'MAPA COMPARATIVO'!$F$5:$F$206,"DUPLICAÇÃO",'MAPA COMPARATIVO'!$V$5:$V$206,"&lt;&gt;REJEITADO")</f>
        <v>0</v>
      </c>
      <c r="F17" s="41" t="n">
        <f aca="false">COUNTIFS('MAPA COMPARATIVO'!$B$5:$B$206,$A17,'MAPA COMPARATIVO'!$F$5:$F$206,"PREÇO BAIXO",'MAPA COMPARATIVO'!$V$5:$V$206,"&lt;&gt;REJEITADO")</f>
        <v>3</v>
      </c>
      <c r="G17" s="41" t="n">
        <f aca="false">COUNTIFS('MAPA COMPARATIVO'!$B$5:$B$206,$A17,'MAPA COMPARATIVO'!$F$5:$F$206,"PREÇO ALTO",'MAPA COMPARATIVO'!$V$5:$V$206,"&lt;&gt;REJEITADO")</f>
        <v>0</v>
      </c>
      <c r="H17" s="41" t="n">
        <f aca="false">COUNTIFS('MAPA COMPARATIVO'!$B$5:$B$206,$A17,'MAPA COMPARATIVO'!$F$5:$F$206,"INCOERÊNCIA",'MAPA COMPARATIVO'!$V$5:$V$206,"&lt;&gt;REJEITADO")</f>
        <v>2</v>
      </c>
      <c r="I17" s="41" t="n">
        <f aca="false">COUNTIFS('MAPA COMPARATIVO'!$B$5:$B$206,$A17,'MAPA COMPARATIVO'!$F$5:$F$206,"DESCRIÇÃO",'MAPA COMPARATIVO'!$V$5:$V$206,"&lt;&gt;REJEITADO")</f>
        <v>1</v>
      </c>
      <c r="J17" s="41" t="n">
        <f aca="false">COUNTIFS('MAPA COMPARATIVO'!$B$5:$B$206,$A17,'MAPA COMPARATIVO'!$F$5:$F$206,"NORMA",'MAPA COMPARATIVO'!$V$5:$V$206,"&lt;&gt;REJEITADO")</f>
        <v>0</v>
      </c>
      <c r="K17" s="41" t="n">
        <f aca="false">COUNTIFS('MAPA COMPARATIVO'!$B$5:$B$206,$A17,'MAPA COMPARATIVO'!$F$5:$F$206,"INCOMPATIBILIDADE",'MAPA COMPARATIVO'!$V$5:$V$206,"&lt;&gt;REJEITADO")</f>
        <v>0</v>
      </c>
      <c r="L17" s="41" t="n">
        <f aca="false">COUNTIFS('MAPA COMPARATIVO'!$B$5:$B$206,$A17,'MAPA COMPARATIVO'!$F$5:$F$206,"EXTRA/FORA DE ÂMBITO",'MAPA COMPARATIVO'!$V$5:$V$206,"&lt;&gt;REJEITADO")</f>
        <v>0</v>
      </c>
      <c r="M17" s="41" t="n">
        <f aca="false">COUNTIFS('MAPA COMPARATIVO'!$B$5:$B$206,$A17,'MAPA COMPARATIVO'!$F$5:$F$206,"VERIFICAR",'MAPA COMPARATIVO'!$V$5:$V$206,"&lt;&gt;REJEITADO")</f>
        <v>0</v>
      </c>
      <c r="N17" s="42" t="n">
        <f aca="false">SUM(C17:M17)</f>
        <v>8</v>
      </c>
      <c r="O17" s="18" t="n">
        <f aca="false">COUNTIFS('MAPA COMPARATIVO'!$B$5:$B$206,$A17,'MAPA COMPARATIVO'!$G$5:$G$206,"CRÍTICA",'MAPA COMPARATIVO'!$V$5:$V$206,"&lt;&gt;REJEITADO")</f>
        <v>0</v>
      </c>
      <c r="P17" s="18" t="n">
        <f aca="false">COUNTIFS('MAPA COMPARATIVO'!$B$5:$B$206,$A17,'MAPA COMPARATIVO'!$G$5:$G$206,"ALTA",'MAPA COMPARATIVO'!$V$5:$V$206,"&lt;&gt;REJEITADO")</f>
        <v>1</v>
      </c>
      <c r="Q17" s="18" t="n">
        <f aca="false">COUNTIFS('MAPA COMPARATIVO'!$B$5:$B$206,$A17,'MAPA COMPARATIVO'!$G$5:$G$206,"MÉDIA",'MAPA COMPARATIVO'!$V$5:$V$206,"&lt;&gt;REJEITADO")</f>
        <v>3</v>
      </c>
      <c r="R17" s="18" t="n">
        <f aca="false">COUNTIFS('MAPA COMPARATIVO'!$B$5:$B$206,$A17,'MAPA COMPARATIVO'!$G$5:$G$206,"BAIXA",'MAPA COMPARATIVO'!$V$5:$V$206,"&lt;&gt;REJEITADO")</f>
        <v>4</v>
      </c>
      <c r="S17" s="43" t="n">
        <f aca="false">SUMIFS('MAPA COMPARATIVO'!$O$5:$O$206,'MAPA COMPARATIVO'!$B$5:$B$206,$A17,'MAPA COMPARATIVO'!$V$5:$V$206,"&lt;&gt;REJEITADO")</f>
        <v>17331</v>
      </c>
      <c r="T17" s="43" t="n">
        <f aca="false">SUMIFS('MAPA COMPARATIVO'!$P$5:$P$206,'MAPA COMPARATIVO'!$B$5:$B$206,$A17,'MAPA COMPARATIVO'!$V$5:$V$206,"&lt;&gt;REJEITADO")</f>
        <v>59681</v>
      </c>
    </row>
    <row r="18" customFormat="false" ht="15" hidden="false" customHeight="false" outlineLevel="0" collapsed="false">
      <c r="A18" s="12" t="s">
        <v>400</v>
      </c>
      <c r="B18" s="12" t="s">
        <v>1902</v>
      </c>
      <c r="C18" s="41" t="n">
        <f aca="false">COUNTIFS('MAPA COMPARATIVO'!$B$5:$B$206,$A18,'MAPA COMPARATIVO'!$F$5:$F$206,"ERRO",'MAPA COMPARATIVO'!$V$5:$V$206,"&lt;&gt;REJEITADO")</f>
        <v>1</v>
      </c>
      <c r="D18" s="41" t="n">
        <f aca="false">COUNTIFS('MAPA COMPARATIVO'!$B$5:$B$206,$A18,'MAPA COMPARATIVO'!$F$5:$F$206,"FALHA/OMISSÃO",'MAPA COMPARATIVO'!$V$5:$V$206,"&lt;&gt;REJEITADO")</f>
        <v>1</v>
      </c>
      <c r="E18" s="41" t="n">
        <f aca="false">COUNTIFS('MAPA COMPARATIVO'!$B$5:$B$206,$A18,'MAPA COMPARATIVO'!$F$5:$F$206,"DUPLICAÇÃO",'MAPA COMPARATIVO'!$V$5:$V$206,"&lt;&gt;REJEITADO")</f>
        <v>0</v>
      </c>
      <c r="F18" s="41" t="n">
        <f aca="false">COUNTIFS('MAPA COMPARATIVO'!$B$5:$B$206,$A18,'MAPA COMPARATIVO'!$F$5:$F$206,"PREÇO BAIXO",'MAPA COMPARATIVO'!$V$5:$V$206,"&lt;&gt;REJEITADO")</f>
        <v>0</v>
      </c>
      <c r="G18" s="41" t="n">
        <f aca="false">COUNTIFS('MAPA COMPARATIVO'!$B$5:$B$206,$A18,'MAPA COMPARATIVO'!$F$5:$F$206,"PREÇO ALTO",'MAPA COMPARATIVO'!$V$5:$V$206,"&lt;&gt;REJEITADO")</f>
        <v>0</v>
      </c>
      <c r="H18" s="41" t="n">
        <f aca="false">COUNTIFS('MAPA COMPARATIVO'!$B$5:$B$206,$A18,'MAPA COMPARATIVO'!$F$5:$F$206,"INCOERÊNCIA",'MAPA COMPARATIVO'!$V$5:$V$206,"&lt;&gt;REJEITADO")</f>
        <v>0</v>
      </c>
      <c r="I18" s="41" t="n">
        <f aca="false">COUNTIFS('MAPA COMPARATIVO'!$B$5:$B$206,$A18,'MAPA COMPARATIVO'!$F$5:$F$206,"DESCRIÇÃO",'MAPA COMPARATIVO'!$V$5:$V$206,"&lt;&gt;REJEITADO")</f>
        <v>0</v>
      </c>
      <c r="J18" s="41" t="n">
        <f aca="false">COUNTIFS('MAPA COMPARATIVO'!$B$5:$B$206,$A18,'MAPA COMPARATIVO'!$F$5:$F$206,"NORMA",'MAPA COMPARATIVO'!$V$5:$V$206,"&lt;&gt;REJEITADO")</f>
        <v>0</v>
      </c>
      <c r="K18" s="41" t="n">
        <f aca="false">COUNTIFS('MAPA COMPARATIVO'!$B$5:$B$206,$A18,'MAPA COMPARATIVO'!$F$5:$F$206,"INCOMPATIBILIDADE",'MAPA COMPARATIVO'!$V$5:$V$206,"&lt;&gt;REJEITADO")</f>
        <v>0</v>
      </c>
      <c r="L18" s="41" t="n">
        <f aca="false">COUNTIFS('MAPA COMPARATIVO'!$B$5:$B$206,$A18,'MAPA COMPARATIVO'!$F$5:$F$206,"EXTRA/FORA DE ÂMBITO",'MAPA COMPARATIVO'!$V$5:$V$206,"&lt;&gt;REJEITADO")</f>
        <v>0</v>
      </c>
      <c r="M18" s="41" t="n">
        <f aca="false">COUNTIFS('MAPA COMPARATIVO'!$B$5:$B$206,$A18,'MAPA COMPARATIVO'!$F$5:$F$206,"VERIFICAR",'MAPA COMPARATIVO'!$V$5:$V$206,"&lt;&gt;REJEITADO")</f>
        <v>2</v>
      </c>
      <c r="N18" s="42" t="n">
        <f aca="false">SUM(C18:M18)</f>
        <v>4</v>
      </c>
      <c r="O18" s="18" t="n">
        <f aca="false">COUNTIFS('MAPA COMPARATIVO'!$B$5:$B$206,$A18,'MAPA COMPARATIVO'!$G$5:$G$206,"CRÍTICA",'MAPA COMPARATIVO'!$V$5:$V$206,"&lt;&gt;REJEITADO")</f>
        <v>0</v>
      </c>
      <c r="P18" s="18" t="n">
        <f aca="false">COUNTIFS('MAPA COMPARATIVO'!$B$5:$B$206,$A18,'MAPA COMPARATIVO'!$G$5:$G$206,"ALTA",'MAPA COMPARATIVO'!$V$5:$V$206,"&lt;&gt;REJEITADO")</f>
        <v>1</v>
      </c>
      <c r="Q18" s="18" t="n">
        <f aca="false">COUNTIFS('MAPA COMPARATIVO'!$B$5:$B$206,$A18,'MAPA COMPARATIVO'!$G$5:$G$206,"MÉDIA",'MAPA COMPARATIVO'!$V$5:$V$206,"&lt;&gt;REJEITADO")</f>
        <v>1</v>
      </c>
      <c r="R18" s="18" t="n">
        <f aca="false">COUNTIFS('MAPA COMPARATIVO'!$B$5:$B$206,$A18,'MAPA COMPARATIVO'!$G$5:$G$206,"BAIXA",'MAPA COMPARATIVO'!$V$5:$V$206,"&lt;&gt;REJEITADO")</f>
        <v>2</v>
      </c>
      <c r="S18" s="43" t="n">
        <f aca="false">SUMIFS('MAPA COMPARATIVO'!$O$5:$O$206,'MAPA COMPARATIVO'!$B$5:$B$206,$A18,'MAPA COMPARATIVO'!$V$5:$V$206,"&lt;&gt;REJEITADO")</f>
        <v>-8398.6</v>
      </c>
      <c r="T18" s="43" t="n">
        <f aca="false">SUMIFS('MAPA COMPARATIVO'!$P$5:$P$206,'MAPA COMPARATIVO'!$B$5:$B$206,$A18,'MAPA COMPARATIVO'!$V$5:$V$206,"&lt;&gt;REJEITADO")</f>
        <v>-1210.23</v>
      </c>
    </row>
    <row r="19" customFormat="false" ht="15" hidden="false" customHeight="false" outlineLevel="0" collapsed="false">
      <c r="A19" s="12" t="s">
        <v>84</v>
      </c>
      <c r="B19" s="12" t="s">
        <v>1909</v>
      </c>
      <c r="C19" s="41" t="n">
        <f aca="false">COUNTIFS('MAPA COMPARATIVO'!$B$5:$B$206,$A19,'MAPA COMPARATIVO'!$F$5:$F$206,"ERRO",'MAPA COMPARATIVO'!$V$5:$V$206,"&lt;&gt;REJEITADO")</f>
        <v>3</v>
      </c>
      <c r="D19" s="41" t="n">
        <f aca="false">COUNTIFS('MAPA COMPARATIVO'!$B$5:$B$206,$A19,'MAPA COMPARATIVO'!$F$5:$F$206,"FALHA/OMISSÃO",'MAPA COMPARATIVO'!$V$5:$V$206,"&lt;&gt;REJEITADO")</f>
        <v>1</v>
      </c>
      <c r="E19" s="41" t="n">
        <f aca="false">COUNTIFS('MAPA COMPARATIVO'!$B$5:$B$206,$A19,'MAPA COMPARATIVO'!$F$5:$F$206,"DUPLICAÇÃO",'MAPA COMPARATIVO'!$V$5:$V$206,"&lt;&gt;REJEITADO")</f>
        <v>0</v>
      </c>
      <c r="F19" s="41" t="n">
        <f aca="false">COUNTIFS('MAPA COMPARATIVO'!$B$5:$B$206,$A19,'MAPA COMPARATIVO'!$F$5:$F$206,"PREÇO BAIXO",'MAPA COMPARATIVO'!$V$5:$V$206,"&lt;&gt;REJEITADO")</f>
        <v>0</v>
      </c>
      <c r="G19" s="41" t="n">
        <f aca="false">COUNTIFS('MAPA COMPARATIVO'!$B$5:$B$206,$A19,'MAPA COMPARATIVO'!$F$5:$F$206,"PREÇO ALTO",'MAPA COMPARATIVO'!$V$5:$V$206,"&lt;&gt;REJEITADO")</f>
        <v>0</v>
      </c>
      <c r="H19" s="41" t="n">
        <f aca="false">COUNTIFS('MAPA COMPARATIVO'!$B$5:$B$206,$A19,'MAPA COMPARATIVO'!$F$5:$F$206,"INCOERÊNCIA",'MAPA COMPARATIVO'!$V$5:$V$206,"&lt;&gt;REJEITADO")</f>
        <v>0</v>
      </c>
      <c r="I19" s="41" t="n">
        <f aca="false">COUNTIFS('MAPA COMPARATIVO'!$B$5:$B$206,$A19,'MAPA COMPARATIVO'!$F$5:$F$206,"DESCRIÇÃO",'MAPA COMPARATIVO'!$V$5:$V$206,"&lt;&gt;REJEITADO")</f>
        <v>0</v>
      </c>
      <c r="J19" s="41" t="n">
        <f aca="false">COUNTIFS('MAPA COMPARATIVO'!$B$5:$B$206,$A19,'MAPA COMPARATIVO'!$F$5:$F$206,"NORMA",'MAPA COMPARATIVO'!$V$5:$V$206,"&lt;&gt;REJEITADO")</f>
        <v>0</v>
      </c>
      <c r="K19" s="41" t="n">
        <f aca="false">COUNTIFS('MAPA COMPARATIVO'!$B$5:$B$206,$A19,'MAPA COMPARATIVO'!$F$5:$F$206,"INCOMPATIBILIDADE",'MAPA COMPARATIVO'!$V$5:$V$206,"&lt;&gt;REJEITADO")</f>
        <v>0</v>
      </c>
      <c r="L19" s="41" t="n">
        <f aca="false">COUNTIFS('MAPA COMPARATIVO'!$B$5:$B$206,$A19,'MAPA COMPARATIVO'!$F$5:$F$206,"EXTRA/FORA DE ÂMBITO",'MAPA COMPARATIVO'!$V$5:$V$206,"&lt;&gt;REJEITADO")</f>
        <v>0</v>
      </c>
      <c r="M19" s="41" t="n">
        <f aca="false">COUNTIFS('MAPA COMPARATIVO'!$B$5:$B$206,$A19,'MAPA COMPARATIVO'!$F$5:$F$206,"VERIFICAR",'MAPA COMPARATIVO'!$V$5:$V$206,"&lt;&gt;REJEITADO")</f>
        <v>1</v>
      </c>
      <c r="N19" s="42" t="n">
        <f aca="false">SUM(C19:M19)</f>
        <v>5</v>
      </c>
      <c r="O19" s="18" t="n">
        <f aca="false">COUNTIFS('MAPA COMPARATIVO'!$B$5:$B$206,$A19,'MAPA COMPARATIVO'!$G$5:$G$206,"CRÍTICA",'MAPA COMPARATIVO'!$V$5:$V$206,"&lt;&gt;REJEITADO")</f>
        <v>1</v>
      </c>
      <c r="P19" s="18" t="n">
        <f aca="false">COUNTIFS('MAPA COMPARATIVO'!$B$5:$B$206,$A19,'MAPA COMPARATIVO'!$G$5:$G$206,"ALTA",'MAPA COMPARATIVO'!$V$5:$V$206,"&lt;&gt;REJEITADO")</f>
        <v>2</v>
      </c>
      <c r="Q19" s="18" t="n">
        <f aca="false">COUNTIFS('MAPA COMPARATIVO'!$B$5:$B$206,$A19,'MAPA COMPARATIVO'!$G$5:$G$206,"MÉDIA",'MAPA COMPARATIVO'!$V$5:$V$206,"&lt;&gt;REJEITADO")</f>
        <v>2</v>
      </c>
      <c r="R19" s="18" t="n">
        <f aca="false">COUNTIFS('MAPA COMPARATIVO'!$B$5:$B$206,$A19,'MAPA COMPARATIVO'!$G$5:$G$206,"BAIXA",'MAPA COMPARATIVO'!$V$5:$V$206,"&lt;&gt;REJEITADO")</f>
        <v>0</v>
      </c>
      <c r="S19" s="43" t="n">
        <f aca="false">SUMIFS('MAPA COMPARATIVO'!$O$5:$O$206,'MAPA COMPARATIVO'!$B$5:$B$206,$A19,'MAPA COMPARATIVO'!$V$5:$V$206,"&lt;&gt;REJEITADO")</f>
        <v>-12.12</v>
      </c>
      <c r="T19" s="43" t="n">
        <f aca="false">SUMIFS('MAPA COMPARATIVO'!$P$5:$P$206,'MAPA COMPARATIVO'!$B$5:$B$206,$A19,'MAPA COMPARATIVO'!$V$5:$V$206,"&lt;&gt;REJEITADO")</f>
        <v>-12.12</v>
      </c>
    </row>
    <row r="20" customFormat="false" ht="15" hidden="false" customHeight="false" outlineLevel="0" collapsed="false">
      <c r="A20" s="12"/>
      <c r="B20" s="13" t="s">
        <v>24</v>
      </c>
      <c r="C20" s="42" t="n">
        <f aca="false">SUM(C5:C19)</f>
        <v>22</v>
      </c>
      <c r="D20" s="42" t="n">
        <f aca="false">SUM(D5:D19)</f>
        <v>31</v>
      </c>
      <c r="E20" s="42" t="n">
        <f aca="false">SUM(E5:E19)</f>
        <v>17</v>
      </c>
      <c r="F20" s="42" t="n">
        <f aca="false">SUM(F5:F19)</f>
        <v>39</v>
      </c>
      <c r="G20" s="42" t="n">
        <f aca="false">SUM(G5:G19)</f>
        <v>2</v>
      </c>
      <c r="H20" s="42" t="n">
        <f aca="false">SUM(H5:H19)</f>
        <v>24</v>
      </c>
      <c r="I20" s="42" t="n">
        <f aca="false">SUM(I5:I19)</f>
        <v>23</v>
      </c>
      <c r="J20" s="42" t="n">
        <f aca="false">SUM(J5:J19)</f>
        <v>10</v>
      </c>
      <c r="K20" s="42" t="n">
        <f aca="false">SUM(K5:K19)</f>
        <v>1</v>
      </c>
      <c r="L20" s="42" t="n">
        <f aca="false">SUM(L5:L19)</f>
        <v>1</v>
      </c>
      <c r="M20" s="42" t="n">
        <f aca="false">SUM(M5:M19)</f>
        <v>32</v>
      </c>
      <c r="N20" s="42" t="n">
        <f aca="false">SUM(N5:N19)</f>
        <v>202</v>
      </c>
      <c r="O20" s="42" t="n">
        <f aca="false">SUM(O5:O19)</f>
        <v>1</v>
      </c>
      <c r="P20" s="42" t="n">
        <f aca="false">SUM(P5:P19)</f>
        <v>34</v>
      </c>
      <c r="Q20" s="42" t="n">
        <f aca="false">SUM(Q5:Q19)</f>
        <v>82</v>
      </c>
      <c r="R20" s="42" t="n">
        <f aca="false">SUM(R5:R19)</f>
        <v>85</v>
      </c>
      <c r="S20" s="44" t="n">
        <f aca="false">SUM(S5:S19)</f>
        <v>115594.89</v>
      </c>
      <c r="T20" s="44" t="n">
        <f aca="false">SUM(T5:T19)</f>
        <v>399725.14</v>
      </c>
    </row>
  </sheetData>
  <conditionalFormatting sqref="C5:M19">
    <cfRule type="colorScale" priority="2">
      <colorScale>
        <cfvo type="num" val="0"/>
        <cfvo type="max" val="0"/>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10"/>
    <col collapsed="false" customWidth="true" hidden="false" outlineLevel="0" max="4" min="4" style="0" width="6"/>
    <col collapsed="false" customWidth="true" hidden="false" outlineLevel="0" max="5" min="5" style="0" width="13"/>
    <col collapsed="false" customWidth="true" hidden="false" outlineLevel="0" max="6" min="6" style="0" width="10"/>
    <col collapsed="false" customWidth="true" hidden="false" outlineLevel="0" max="7" min="7" style="0" width="40"/>
    <col collapsed="false" customWidth="true" hidden="false" outlineLevel="0" max="8" min="8" style="0" width="10"/>
    <col collapsed="false" customWidth="true" hidden="false" outlineLevel="0" max="9" min="9" style="0" width="6"/>
    <col collapsed="false" customWidth="true" hidden="false" outlineLevel="0" max="12" min="10" style="0" width="13"/>
    <col collapsed="false" customWidth="true" hidden="false" outlineLevel="0" max="13" min="13" style="0" width="10"/>
    <col collapsed="false" customWidth="true" hidden="false" outlineLevel="0" max="14" min="14" style="0" width="32"/>
    <col collapsed="false" customWidth="true" hidden="false" outlineLevel="0" max="15" min="15" style="0" width="40"/>
    <col collapsed="false" customWidth="true" hidden="false" outlineLevel="0" max="16" min="16" style="0" width="12"/>
  </cols>
  <sheetData>
    <row r="1" customFormat="false" ht="17.35" hidden="false" customHeight="false" outlineLevel="0" collapsed="false">
      <c r="A1" s="1" t="s">
        <v>1910</v>
      </c>
      <c r="B1" s="2"/>
      <c r="C1" s="2"/>
      <c r="D1" s="2"/>
      <c r="E1" s="2"/>
      <c r="F1" s="2"/>
      <c r="G1" s="2"/>
      <c r="H1" s="2"/>
      <c r="I1" s="2"/>
      <c r="J1" s="2"/>
      <c r="K1" s="2"/>
      <c r="L1" s="2"/>
      <c r="M1" s="2"/>
      <c r="N1" s="2"/>
      <c r="O1" s="2"/>
      <c r="P1" s="2"/>
    </row>
    <row r="2" customFormat="false" ht="15" hidden="false" customHeight="false" outlineLevel="0" collapsed="false">
      <c r="A2" s="3" t="s">
        <v>1911</v>
      </c>
      <c r="B2" s="2"/>
      <c r="C2" s="2"/>
      <c r="D2" s="2"/>
      <c r="E2" s="2"/>
      <c r="F2" s="2"/>
      <c r="G2" s="2"/>
      <c r="H2" s="2"/>
      <c r="I2" s="2"/>
      <c r="J2" s="2"/>
      <c r="K2" s="2"/>
      <c r="L2" s="2"/>
      <c r="M2" s="2"/>
      <c r="N2" s="2"/>
      <c r="O2" s="2"/>
      <c r="P2" s="2"/>
    </row>
    <row r="3" customFormat="false" ht="15" hidden="false" customHeight="false" outlineLevel="0" collapsed="false">
      <c r="A3" s="2"/>
      <c r="B3" s="2"/>
      <c r="C3" s="2"/>
      <c r="D3" s="2"/>
      <c r="E3" s="2"/>
      <c r="F3" s="2"/>
      <c r="G3" s="2"/>
      <c r="H3" s="2"/>
      <c r="I3" s="2"/>
      <c r="J3" s="2"/>
      <c r="K3" s="2"/>
      <c r="L3" s="2"/>
      <c r="M3" s="2"/>
      <c r="N3" s="2"/>
      <c r="O3" s="2"/>
      <c r="P3" s="2"/>
    </row>
    <row r="4" customFormat="false" ht="36" hidden="false" customHeight="true" outlineLevel="0" collapsed="false">
      <c r="A4" s="17" t="s">
        <v>1912</v>
      </c>
      <c r="B4" s="17" t="s">
        <v>1913</v>
      </c>
      <c r="C4" s="17" t="s">
        <v>1914</v>
      </c>
      <c r="D4" s="17" t="s">
        <v>71</v>
      </c>
      <c r="E4" s="17" t="s">
        <v>1915</v>
      </c>
      <c r="F4" s="17" t="s">
        <v>1916</v>
      </c>
      <c r="G4" s="17" t="s">
        <v>1917</v>
      </c>
      <c r="H4" s="17" t="s">
        <v>1918</v>
      </c>
      <c r="I4" s="17" t="s">
        <v>71</v>
      </c>
      <c r="J4" s="17" t="s">
        <v>1919</v>
      </c>
      <c r="K4" s="17" t="s">
        <v>25</v>
      </c>
      <c r="L4" s="17" t="s">
        <v>26</v>
      </c>
      <c r="M4" s="17" t="s">
        <v>47</v>
      </c>
      <c r="N4" s="17" t="s">
        <v>68</v>
      </c>
      <c r="O4" s="17" t="s">
        <v>1920</v>
      </c>
      <c r="P4" s="17" t="s">
        <v>80</v>
      </c>
    </row>
    <row r="5" customFormat="false" ht="77.6" hidden="false" customHeight="false" outlineLevel="0" collapsed="false">
      <c r="A5" s="19" t="s">
        <v>133</v>
      </c>
      <c r="B5" s="19" t="s">
        <v>1921</v>
      </c>
      <c r="C5" s="45" t="n">
        <v>63</v>
      </c>
      <c r="D5" s="19" t="s">
        <v>138</v>
      </c>
      <c r="E5" s="22" t="n">
        <v>19996.33</v>
      </c>
      <c r="F5" s="19" t="s">
        <v>187</v>
      </c>
      <c r="G5" s="19" t="s">
        <v>1921</v>
      </c>
      <c r="H5" s="45" t="n">
        <v>63.11</v>
      </c>
      <c r="I5" s="19" t="s">
        <v>138</v>
      </c>
      <c r="J5" s="22" t="n">
        <v>20119.03</v>
      </c>
      <c r="K5" s="22" t="n">
        <v>0</v>
      </c>
      <c r="L5" s="22" t="n">
        <v>-19996.33</v>
      </c>
      <c r="M5" s="19" t="s">
        <v>21</v>
      </c>
      <c r="N5" s="19" t="s">
        <v>136</v>
      </c>
      <c r="O5" s="19" t="s">
        <v>141</v>
      </c>
      <c r="P5" s="19" t="s">
        <v>94</v>
      </c>
    </row>
    <row r="6" customFormat="false" ht="77.6" hidden="false" customHeight="false" outlineLevel="0" collapsed="false">
      <c r="A6" s="19" t="s">
        <v>187</v>
      </c>
      <c r="B6" s="19" t="s">
        <v>1921</v>
      </c>
      <c r="C6" s="45" t="n">
        <v>63.11</v>
      </c>
      <c r="D6" s="19" t="s">
        <v>138</v>
      </c>
      <c r="E6" s="22" t="n">
        <v>20119.03</v>
      </c>
      <c r="F6" s="19" t="s">
        <v>133</v>
      </c>
      <c r="G6" s="19" t="s">
        <v>1921</v>
      </c>
      <c r="H6" s="45" t="n">
        <v>63</v>
      </c>
      <c r="I6" s="19" t="s">
        <v>138</v>
      </c>
      <c r="J6" s="22" t="n">
        <v>19996.33</v>
      </c>
      <c r="K6" s="22" t="n">
        <v>0</v>
      </c>
      <c r="L6" s="22" t="n">
        <v>0</v>
      </c>
      <c r="M6" s="19" t="s">
        <v>21</v>
      </c>
      <c r="N6" s="19" t="s">
        <v>188</v>
      </c>
      <c r="O6" s="19" t="s">
        <v>192</v>
      </c>
      <c r="P6" s="19" t="s">
        <v>94</v>
      </c>
    </row>
    <row r="7" customFormat="false" ht="64.9" hidden="false" customHeight="false" outlineLevel="0" collapsed="false">
      <c r="A7" s="19" t="s">
        <v>251</v>
      </c>
      <c r="B7" s="19" t="s">
        <v>1922</v>
      </c>
      <c r="C7" s="45"/>
      <c r="D7" s="19"/>
      <c r="E7" s="22"/>
      <c r="F7" s="19" t="s">
        <v>1923</v>
      </c>
      <c r="G7" s="19" t="s">
        <v>1924</v>
      </c>
      <c r="H7" s="45" t="n">
        <v>112</v>
      </c>
      <c r="I7" s="19" t="s">
        <v>119</v>
      </c>
      <c r="J7" s="22" t="n">
        <v>9520</v>
      </c>
      <c r="K7" s="22" t="n">
        <v>-9940</v>
      </c>
      <c r="L7" s="22" t="n">
        <v>-9940</v>
      </c>
      <c r="M7" s="19" t="s">
        <v>21</v>
      </c>
      <c r="N7" s="19" t="s">
        <v>254</v>
      </c>
      <c r="O7" s="19" t="s">
        <v>258</v>
      </c>
      <c r="P7" s="19" t="s">
        <v>94</v>
      </c>
    </row>
    <row r="8" customFormat="false" ht="102.95" hidden="false" customHeight="false" outlineLevel="0" collapsed="false">
      <c r="A8" s="19" t="s">
        <v>307</v>
      </c>
      <c r="B8" s="19" t="s">
        <v>1925</v>
      </c>
      <c r="C8" s="45" t="n">
        <v>25.6</v>
      </c>
      <c r="D8" s="19" t="s">
        <v>312</v>
      </c>
      <c r="E8" s="22" t="n">
        <v>5632</v>
      </c>
      <c r="F8" s="19" t="s">
        <v>796</v>
      </c>
      <c r="G8" s="19" t="s">
        <v>1926</v>
      </c>
      <c r="H8" s="45" t="n">
        <v>28</v>
      </c>
      <c r="I8" s="19" t="s">
        <v>119</v>
      </c>
      <c r="J8" s="22" t="n">
        <v>7549.08</v>
      </c>
      <c r="K8" s="22" t="n">
        <v>0</v>
      </c>
      <c r="L8" s="22" t="n">
        <v>0</v>
      </c>
      <c r="M8" s="19" t="s">
        <v>21</v>
      </c>
      <c r="N8" s="19" t="s">
        <v>310</v>
      </c>
      <c r="O8" s="19" t="s">
        <v>315</v>
      </c>
      <c r="P8" s="19" t="s">
        <v>94</v>
      </c>
    </row>
    <row r="9" customFormat="false" ht="64.9" hidden="false" customHeight="false" outlineLevel="0" collapsed="false">
      <c r="A9" s="19" t="s">
        <v>345</v>
      </c>
      <c r="B9" s="19" t="s">
        <v>1927</v>
      </c>
      <c r="C9" s="45"/>
      <c r="D9" s="19"/>
      <c r="E9" s="22"/>
      <c r="F9" s="19" t="s">
        <v>1928</v>
      </c>
      <c r="G9" s="19" t="s">
        <v>1929</v>
      </c>
      <c r="H9" s="45" t="n">
        <v>196.6</v>
      </c>
      <c r="I9" s="19" t="s">
        <v>312</v>
      </c>
      <c r="J9" s="22" t="n">
        <v>7864</v>
      </c>
      <c r="K9" s="22" t="n">
        <v>-7864</v>
      </c>
      <c r="L9" s="22" t="n">
        <v>-7864</v>
      </c>
      <c r="M9" s="19" t="s">
        <v>21</v>
      </c>
      <c r="N9" s="19" t="s">
        <v>348</v>
      </c>
      <c r="O9" s="19" t="s">
        <v>352</v>
      </c>
      <c r="P9" s="19" t="s">
        <v>94</v>
      </c>
    </row>
    <row r="10" customFormat="false" ht="64.9" hidden="false" customHeight="false" outlineLevel="0" collapsed="false">
      <c r="A10" s="19" t="s">
        <v>452</v>
      </c>
      <c r="B10" s="19" t="s">
        <v>1930</v>
      </c>
      <c r="C10" s="45" t="n">
        <v>9861.9</v>
      </c>
      <c r="D10" s="19" t="s">
        <v>138</v>
      </c>
      <c r="E10" s="22" t="n">
        <v>54240.45</v>
      </c>
      <c r="F10" s="19" t="s">
        <v>453</v>
      </c>
      <c r="G10" s="19" t="s">
        <v>1931</v>
      </c>
      <c r="H10" s="45" t="n">
        <v>8171.56</v>
      </c>
      <c r="I10" s="19" t="s">
        <v>138</v>
      </c>
      <c r="J10" s="22" t="n">
        <v>44943.58</v>
      </c>
      <c r="K10" s="22" t="n">
        <v>0</v>
      </c>
      <c r="L10" s="22" t="n">
        <v>-8171.56</v>
      </c>
      <c r="M10" s="19" t="s">
        <v>22</v>
      </c>
      <c r="N10" s="19" t="s">
        <v>455</v>
      </c>
      <c r="O10" s="19" t="s">
        <v>459</v>
      </c>
      <c r="P10" s="19" t="s">
        <v>94</v>
      </c>
    </row>
    <row r="11" customFormat="false" ht="102.95" hidden="false" customHeight="false" outlineLevel="0" collapsed="false">
      <c r="A11" s="19" t="s">
        <v>796</v>
      </c>
      <c r="B11" s="19" t="s">
        <v>1926</v>
      </c>
      <c r="C11" s="45" t="n">
        <v>28</v>
      </c>
      <c r="D11" s="19" t="s">
        <v>119</v>
      </c>
      <c r="E11" s="22" t="n">
        <v>7549.08</v>
      </c>
      <c r="F11" s="19" t="s">
        <v>307</v>
      </c>
      <c r="G11" s="19" t="s">
        <v>1925</v>
      </c>
      <c r="H11" s="45" t="n">
        <v>25.6</v>
      </c>
      <c r="I11" s="19" t="s">
        <v>312</v>
      </c>
      <c r="J11" s="22" t="n">
        <v>5632</v>
      </c>
      <c r="K11" s="22" t="n">
        <v>-5632</v>
      </c>
      <c r="L11" s="22" t="n">
        <v>-7549.08</v>
      </c>
      <c r="M11" s="19" t="s">
        <v>22</v>
      </c>
      <c r="N11" s="19" t="s">
        <v>798</v>
      </c>
      <c r="O11" s="19" t="s">
        <v>802</v>
      </c>
      <c r="P11" s="19" t="s">
        <v>94</v>
      </c>
    </row>
    <row r="12" customFormat="false" ht="64.9" hidden="false" customHeight="false" outlineLevel="0" collapsed="false">
      <c r="A12" s="19" t="s">
        <v>1074</v>
      </c>
      <c r="B12" s="19" t="s">
        <v>1932</v>
      </c>
      <c r="C12" s="45" t="n">
        <v>1</v>
      </c>
      <c r="D12" s="19" t="s">
        <v>165</v>
      </c>
      <c r="E12" s="22" t="n">
        <v>1632.31</v>
      </c>
      <c r="F12" s="19" t="s">
        <v>1933</v>
      </c>
      <c r="G12" s="19" t="s">
        <v>1934</v>
      </c>
      <c r="H12" s="45"/>
      <c r="I12" s="19"/>
      <c r="J12" s="22" t="n">
        <v>513.7</v>
      </c>
      <c r="K12" s="22" t="n">
        <v>-513.7</v>
      </c>
      <c r="L12" s="22" t="n">
        <v>-1632.31</v>
      </c>
      <c r="M12" s="19" t="s">
        <v>22</v>
      </c>
      <c r="N12" s="19" t="s">
        <v>1077</v>
      </c>
      <c r="O12" s="19" t="s">
        <v>1081</v>
      </c>
      <c r="P12" s="19" t="s">
        <v>211</v>
      </c>
    </row>
    <row r="13" customFormat="false" ht="64.9" hidden="false" customHeight="false" outlineLevel="0" collapsed="false">
      <c r="A13" s="19" t="s">
        <v>1347</v>
      </c>
      <c r="B13" s="19" t="s">
        <v>1935</v>
      </c>
      <c r="C13" s="45"/>
      <c r="D13" s="19"/>
      <c r="E13" s="22"/>
      <c r="F13" s="19" t="s">
        <v>1663</v>
      </c>
      <c r="G13" s="19" t="s">
        <v>1665</v>
      </c>
      <c r="H13" s="45" t="n">
        <v>2</v>
      </c>
      <c r="I13" s="19" t="s">
        <v>165</v>
      </c>
      <c r="J13" s="22" t="n">
        <v>155.26</v>
      </c>
      <c r="K13" s="22" t="n">
        <v>0</v>
      </c>
      <c r="L13" s="22" t="n">
        <v>0</v>
      </c>
      <c r="M13" s="19" t="s">
        <v>23</v>
      </c>
      <c r="N13" s="19" t="s">
        <v>1350</v>
      </c>
      <c r="O13" s="19" t="s">
        <v>1354</v>
      </c>
      <c r="P13" s="19" t="s">
        <v>94</v>
      </c>
    </row>
    <row r="14" customFormat="false" ht="77.6" hidden="false" customHeight="false" outlineLevel="0" collapsed="false">
      <c r="A14" s="19" t="s">
        <v>1374</v>
      </c>
      <c r="B14" s="19" t="s">
        <v>1936</v>
      </c>
      <c r="C14" s="45" t="n">
        <v>20</v>
      </c>
      <c r="D14" s="19" t="s">
        <v>165</v>
      </c>
      <c r="E14" s="22" t="n">
        <v>3785.2</v>
      </c>
      <c r="F14" s="19" t="s">
        <v>1496</v>
      </c>
      <c r="G14" s="19" t="s">
        <v>1937</v>
      </c>
      <c r="H14" s="45"/>
      <c r="I14" s="19"/>
      <c r="J14" s="22"/>
      <c r="K14" s="22" t="n">
        <v>0</v>
      </c>
      <c r="L14" s="22" t="n">
        <v>0</v>
      </c>
      <c r="M14" s="19" t="s">
        <v>23</v>
      </c>
      <c r="N14" s="19" t="s">
        <v>1377</v>
      </c>
      <c r="O14" s="19" t="s">
        <v>1381</v>
      </c>
      <c r="P14" s="19" t="s">
        <v>94</v>
      </c>
    </row>
    <row r="15" customFormat="false" ht="77.6" hidden="false" customHeight="false" outlineLevel="0" collapsed="false">
      <c r="A15" s="19" t="s">
        <v>1383</v>
      </c>
      <c r="B15" s="19" t="s">
        <v>1938</v>
      </c>
      <c r="C15" s="45" t="n">
        <v>6</v>
      </c>
      <c r="D15" s="19" t="s">
        <v>165</v>
      </c>
      <c r="E15" s="22" t="n">
        <v>1170.18</v>
      </c>
      <c r="F15" s="19" t="s">
        <v>1384</v>
      </c>
      <c r="G15" s="19" t="s">
        <v>1939</v>
      </c>
      <c r="H15" s="45"/>
      <c r="I15" s="19"/>
      <c r="J15" s="22"/>
      <c r="K15" s="22" t="n">
        <v>0</v>
      </c>
      <c r="L15" s="22" t="n">
        <v>0</v>
      </c>
      <c r="M15" s="19" t="s">
        <v>23</v>
      </c>
      <c r="N15" s="19" t="s">
        <v>1386</v>
      </c>
      <c r="O15" s="19" t="s">
        <v>1390</v>
      </c>
      <c r="P15" s="19" t="s">
        <v>94</v>
      </c>
    </row>
    <row r="16" customFormat="false" ht="64.9" hidden="false" customHeight="false" outlineLevel="0" collapsed="false">
      <c r="A16" s="19" t="s">
        <v>1461</v>
      </c>
      <c r="B16" s="19" t="s">
        <v>1940</v>
      </c>
      <c r="C16" s="45" t="n">
        <v>1</v>
      </c>
      <c r="D16" s="19" t="s">
        <v>165</v>
      </c>
      <c r="E16" s="22" t="n">
        <v>250</v>
      </c>
      <c r="F16" s="19" t="s">
        <v>1941</v>
      </c>
      <c r="G16" s="19" t="s">
        <v>1942</v>
      </c>
      <c r="H16" s="45" t="n">
        <v>1</v>
      </c>
      <c r="I16" s="19" t="s">
        <v>165</v>
      </c>
      <c r="J16" s="22" t="n">
        <v>350</v>
      </c>
      <c r="K16" s="22" t="n">
        <v>0</v>
      </c>
      <c r="L16" s="22" t="n">
        <v>-1000</v>
      </c>
      <c r="M16" s="19" t="s">
        <v>23</v>
      </c>
      <c r="N16" s="19" t="s">
        <v>1464</v>
      </c>
      <c r="O16" s="19" t="s">
        <v>1468</v>
      </c>
      <c r="P16" s="19" t="s">
        <v>94</v>
      </c>
    </row>
    <row r="17" customFormat="false" ht="64.9" hidden="false" customHeight="false" outlineLevel="0" collapsed="false">
      <c r="A17" s="19" t="s">
        <v>1496</v>
      </c>
      <c r="B17" s="19" t="s">
        <v>1937</v>
      </c>
      <c r="C17" s="45"/>
      <c r="D17" s="19"/>
      <c r="E17" s="22"/>
      <c r="F17" s="19" t="s">
        <v>1943</v>
      </c>
      <c r="G17" s="19" t="s">
        <v>1944</v>
      </c>
      <c r="H17" s="45" t="n">
        <v>24</v>
      </c>
      <c r="I17" s="19" t="s">
        <v>165</v>
      </c>
      <c r="J17" s="22" t="n">
        <v>840</v>
      </c>
      <c r="K17" s="22" t="n">
        <v>-700</v>
      </c>
      <c r="L17" s="22" t="n">
        <v>-840</v>
      </c>
      <c r="M17" s="19" t="s">
        <v>23</v>
      </c>
      <c r="N17" s="19" t="s">
        <v>1499</v>
      </c>
      <c r="O17" s="19" t="s">
        <v>1503</v>
      </c>
      <c r="P17" s="19" t="s">
        <v>94</v>
      </c>
    </row>
    <row r="18" customFormat="false" ht="64.9" hidden="false" customHeight="false" outlineLevel="0" collapsed="false">
      <c r="A18" s="19" t="s">
        <v>1384</v>
      </c>
      <c r="B18" s="19" t="s">
        <v>1939</v>
      </c>
      <c r="C18" s="45"/>
      <c r="D18" s="19"/>
      <c r="E18" s="22"/>
      <c r="F18" s="19" t="s">
        <v>1945</v>
      </c>
      <c r="G18" s="19" t="s">
        <v>1946</v>
      </c>
      <c r="H18" s="45" t="n">
        <v>7</v>
      </c>
      <c r="I18" s="19" t="s">
        <v>165</v>
      </c>
      <c r="J18" s="22" t="n">
        <v>245</v>
      </c>
      <c r="K18" s="22" t="n">
        <v>-210</v>
      </c>
      <c r="L18" s="22" t="n">
        <v>-245</v>
      </c>
      <c r="M18" s="19" t="s">
        <v>23</v>
      </c>
      <c r="N18" s="19" t="s">
        <v>1507</v>
      </c>
      <c r="O18" s="19" t="s">
        <v>1511</v>
      </c>
      <c r="P18" s="19" t="s">
        <v>94</v>
      </c>
    </row>
    <row r="19" customFormat="false" ht="26.85" hidden="false" customHeight="false" outlineLevel="0" collapsed="false">
      <c r="A19" s="19" t="s">
        <v>1585</v>
      </c>
      <c r="B19" s="19" t="s">
        <v>1587</v>
      </c>
      <c r="C19" s="45" t="n">
        <v>155</v>
      </c>
      <c r="D19" s="19" t="s">
        <v>312</v>
      </c>
      <c r="E19" s="22" t="n">
        <v>699.05</v>
      </c>
      <c r="F19" s="19" t="s">
        <v>1586</v>
      </c>
      <c r="G19" s="19" t="s">
        <v>1947</v>
      </c>
      <c r="H19" s="45" t="n">
        <v>155</v>
      </c>
      <c r="I19" s="19" t="s">
        <v>312</v>
      </c>
      <c r="J19" s="22" t="n">
        <v>699.05</v>
      </c>
      <c r="K19" s="22" t="n">
        <v>-699.05</v>
      </c>
      <c r="L19" s="22" t="n">
        <v>-699.05</v>
      </c>
      <c r="M19" s="19" t="s">
        <v>23</v>
      </c>
      <c r="N19" s="19" t="s">
        <v>1588</v>
      </c>
      <c r="O19" s="19" t="s">
        <v>1592</v>
      </c>
      <c r="P19" s="19" t="s">
        <v>94</v>
      </c>
    </row>
    <row r="20" customFormat="false" ht="64.9" hidden="false" customHeight="false" outlineLevel="0" collapsed="false">
      <c r="A20" s="19" t="s">
        <v>1663</v>
      </c>
      <c r="B20" s="19" t="s">
        <v>1665</v>
      </c>
      <c r="C20" s="45" t="n">
        <v>2</v>
      </c>
      <c r="D20" s="19" t="s">
        <v>165</v>
      </c>
      <c r="E20" s="22" t="n">
        <v>155.26</v>
      </c>
      <c r="F20" s="19" t="s">
        <v>1347</v>
      </c>
      <c r="G20" s="19" t="s">
        <v>1935</v>
      </c>
      <c r="H20" s="45"/>
      <c r="I20" s="19"/>
      <c r="J20" s="22"/>
      <c r="K20" s="22" t="n">
        <v>-155.26</v>
      </c>
      <c r="L20" s="22" t="n">
        <v>-155.26</v>
      </c>
      <c r="M20" s="19" t="s">
        <v>23</v>
      </c>
      <c r="N20" s="19" t="s">
        <v>1666</v>
      </c>
      <c r="O20" s="19" t="s">
        <v>1670</v>
      </c>
      <c r="P20" s="19" t="s">
        <v>94</v>
      </c>
    </row>
    <row r="21" customFormat="false" ht="64.9" hidden="false" customHeight="false" outlineLevel="0" collapsed="false">
      <c r="A21" s="19" t="s">
        <v>1733</v>
      </c>
      <c r="B21" s="19" t="s">
        <v>1948</v>
      </c>
      <c r="C21" s="45" t="n">
        <v>2</v>
      </c>
      <c r="D21" s="19" t="s">
        <v>165</v>
      </c>
      <c r="E21" s="22" t="n">
        <v>29076.88</v>
      </c>
      <c r="F21" s="19" t="s">
        <v>1949</v>
      </c>
      <c r="G21" s="19" t="s">
        <v>1950</v>
      </c>
      <c r="H21" s="45" t="n">
        <v>1</v>
      </c>
      <c r="I21" s="19" t="s">
        <v>165</v>
      </c>
      <c r="J21" s="22" t="n">
        <v>678</v>
      </c>
      <c r="K21" s="22" t="n">
        <v>0</v>
      </c>
      <c r="L21" s="22" t="n">
        <v>0</v>
      </c>
      <c r="M21" s="19" t="s">
        <v>23</v>
      </c>
      <c r="N21" s="19" t="s">
        <v>1736</v>
      </c>
      <c r="O21" s="19" t="s">
        <v>1740</v>
      </c>
      <c r="P21" s="19" t="s">
        <v>94</v>
      </c>
    </row>
  </sheetData>
  <autoFilter ref="A4:P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6"/>
    <col collapsed="false" customWidth="true" hidden="false" outlineLevel="0" max="4" min="4" style="0" width="11"/>
    <col collapsed="false" customWidth="true" hidden="false" outlineLevel="0" max="5" min="5" style="0" width="10"/>
    <col collapsed="false" customWidth="true" hidden="false" outlineLevel="0" max="6" min="6" style="0" width="36"/>
    <col collapsed="false" customWidth="true" hidden="false" outlineLevel="0" max="7" min="7" style="0" width="6"/>
    <col collapsed="false" customWidth="true" hidden="false" outlineLevel="0" max="8" min="8" style="0" width="11"/>
    <col collapsed="false" customWidth="true" hidden="false" outlineLevel="0" max="9" min="9" style="0" width="10"/>
    <col collapsed="false" customWidth="true" hidden="false" outlineLevel="0" max="10" min="10" style="0" width="30"/>
    <col collapsed="false" customWidth="true" hidden="false" outlineLevel="0" max="11" min="11" style="0" width="40"/>
    <col collapsed="false" customWidth="true" hidden="false" outlineLevel="0" max="13" min="12" style="0" width="13"/>
    <col collapsed="false" customWidth="true" hidden="false" outlineLevel="0" max="14" min="14" style="0" width="10"/>
    <col collapsed="false" customWidth="true" hidden="false" outlineLevel="0" max="15" min="15" style="0" width="12"/>
  </cols>
  <sheetData>
    <row r="1" customFormat="false" ht="17.35" hidden="false" customHeight="false" outlineLevel="0" collapsed="false">
      <c r="A1" s="1" t="s">
        <v>1951</v>
      </c>
      <c r="B1" s="2"/>
      <c r="C1" s="2"/>
      <c r="D1" s="2"/>
      <c r="E1" s="2"/>
      <c r="F1" s="2"/>
      <c r="G1" s="2"/>
      <c r="H1" s="2"/>
      <c r="I1" s="2"/>
      <c r="J1" s="2"/>
      <c r="K1" s="2"/>
      <c r="L1" s="2"/>
      <c r="M1" s="2"/>
      <c r="N1" s="2"/>
      <c r="O1" s="2"/>
    </row>
    <row r="2" customFormat="false" ht="15" hidden="false" customHeight="false" outlineLevel="0" collapsed="false">
      <c r="A2" s="3" t="s">
        <v>1952</v>
      </c>
      <c r="B2" s="2"/>
      <c r="C2" s="2"/>
      <c r="D2" s="2"/>
      <c r="E2" s="2"/>
      <c r="F2" s="2"/>
      <c r="G2" s="2"/>
      <c r="H2" s="2"/>
      <c r="I2" s="2"/>
      <c r="J2" s="2"/>
      <c r="K2" s="2"/>
      <c r="L2" s="2"/>
      <c r="M2" s="2"/>
      <c r="N2" s="2"/>
      <c r="O2" s="2"/>
    </row>
    <row r="3" customFormat="false" ht="15" hidden="false" customHeight="false" outlineLevel="0" collapsed="false">
      <c r="A3" s="2"/>
      <c r="B3" s="2"/>
      <c r="C3" s="2"/>
      <c r="D3" s="2"/>
      <c r="E3" s="2"/>
      <c r="F3" s="2"/>
      <c r="G3" s="2"/>
      <c r="H3" s="2"/>
      <c r="I3" s="2"/>
      <c r="J3" s="2"/>
      <c r="K3" s="2"/>
      <c r="L3" s="2"/>
      <c r="M3" s="2"/>
      <c r="N3" s="2"/>
      <c r="O3" s="2"/>
    </row>
    <row r="4" customFormat="false" ht="36" hidden="false" customHeight="true" outlineLevel="0" collapsed="false">
      <c r="A4" s="17" t="s">
        <v>1912</v>
      </c>
      <c r="B4" s="17" t="s">
        <v>1953</v>
      </c>
      <c r="C4" s="17" t="s">
        <v>71</v>
      </c>
      <c r="D4" s="17" t="s">
        <v>1954</v>
      </c>
      <c r="E4" s="17" t="s">
        <v>1916</v>
      </c>
      <c r="F4" s="17" t="s">
        <v>1955</v>
      </c>
      <c r="G4" s="17" t="s">
        <v>71</v>
      </c>
      <c r="H4" s="17" t="s">
        <v>1956</v>
      </c>
      <c r="I4" s="17" t="s">
        <v>1957</v>
      </c>
      <c r="J4" s="17" t="s">
        <v>68</v>
      </c>
      <c r="K4" s="17" t="s">
        <v>1958</v>
      </c>
      <c r="L4" s="17" t="s">
        <v>25</v>
      </c>
      <c r="M4" s="17" t="s">
        <v>26</v>
      </c>
      <c r="N4" s="17" t="s">
        <v>47</v>
      </c>
      <c r="O4" s="17" t="s">
        <v>80</v>
      </c>
    </row>
    <row r="5" customFormat="false" ht="77.6" hidden="false" customHeight="false" outlineLevel="0" collapsed="false">
      <c r="A5" s="19" t="s">
        <v>114</v>
      </c>
      <c r="B5" s="19" t="s">
        <v>1959</v>
      </c>
      <c r="C5" s="19" t="s">
        <v>119</v>
      </c>
      <c r="D5" s="22" t="n">
        <v>90.03</v>
      </c>
      <c r="E5" s="19" t="s">
        <v>126</v>
      </c>
      <c r="F5" s="19" t="s">
        <v>1960</v>
      </c>
      <c r="G5" s="19" t="s">
        <v>119</v>
      </c>
      <c r="H5" s="22" t="n">
        <v>134.17</v>
      </c>
      <c r="I5" s="46" t="n">
        <f aca="false">IF(AND(ISNUMBER(D5),ISNUMBER(H5),H5&lt;&gt;0),D5/H5-1,"")</f>
        <v>-0.328985615264217</v>
      </c>
      <c r="J5" s="19" t="s">
        <v>127</v>
      </c>
      <c r="K5" s="19" t="s">
        <v>129</v>
      </c>
      <c r="L5" s="22" t="n">
        <v>-15320.67</v>
      </c>
      <c r="M5" s="22" t="n">
        <v>-23183.21</v>
      </c>
      <c r="N5" s="19" t="s">
        <v>21</v>
      </c>
      <c r="O5" s="19" t="s">
        <v>94</v>
      </c>
    </row>
    <row r="6" customFormat="false" ht="64.9" hidden="false" customHeight="false" outlineLevel="0" collapsed="false">
      <c r="A6" s="19" t="s">
        <v>143</v>
      </c>
      <c r="B6" s="19" t="s">
        <v>1961</v>
      </c>
      <c r="C6" s="19" t="s">
        <v>119</v>
      </c>
      <c r="D6" s="22" t="n">
        <v>74.57</v>
      </c>
      <c r="E6" s="19" t="s">
        <v>144</v>
      </c>
      <c r="F6" s="19" t="s">
        <v>1962</v>
      </c>
      <c r="G6" s="19" t="s">
        <v>119</v>
      </c>
      <c r="H6" s="22" t="n">
        <v>126.31</v>
      </c>
      <c r="I6" s="46" t="n">
        <f aca="false">IF(AND(ISNUMBER(D6),ISNUMBER(H6),H6&lt;&gt;0),D6/H6-1,"")</f>
        <v>-0.409627107909113</v>
      </c>
      <c r="J6" s="19" t="s">
        <v>146</v>
      </c>
      <c r="K6" s="19" t="s">
        <v>148</v>
      </c>
      <c r="L6" s="22" t="n">
        <v>-20156.04</v>
      </c>
      <c r="M6" s="22" t="n">
        <v>-28721.39</v>
      </c>
      <c r="N6" s="19" t="s">
        <v>21</v>
      </c>
      <c r="O6" s="19" t="s">
        <v>94</v>
      </c>
    </row>
    <row r="7" customFormat="false" ht="77.6" hidden="false" customHeight="false" outlineLevel="0" collapsed="false">
      <c r="A7" s="19" t="s">
        <v>583</v>
      </c>
      <c r="B7" s="19" t="s">
        <v>1963</v>
      </c>
      <c r="C7" s="19" t="s">
        <v>119</v>
      </c>
      <c r="D7" s="22" t="n">
        <v>20.32</v>
      </c>
      <c r="E7" s="19" t="s">
        <v>584</v>
      </c>
      <c r="F7" s="19" t="s">
        <v>1964</v>
      </c>
      <c r="G7" s="19" t="s">
        <v>312</v>
      </c>
      <c r="H7" s="22" t="n">
        <v>7.65</v>
      </c>
      <c r="I7" s="46" t="n">
        <f aca="false">IF(AND(ISNUMBER(D7),ISNUMBER(H7),H7&lt;&gt;0),D7/H7-1,"")</f>
        <v>1.6562091503268</v>
      </c>
      <c r="J7" s="19" t="s">
        <v>586</v>
      </c>
      <c r="K7" s="19" t="s">
        <v>588</v>
      </c>
      <c r="L7" s="22" t="n">
        <v>0</v>
      </c>
      <c r="M7" s="22" t="n">
        <v>-4969.17</v>
      </c>
      <c r="N7" s="19" t="s">
        <v>22</v>
      </c>
      <c r="O7" s="19" t="s">
        <v>94</v>
      </c>
    </row>
    <row r="8" customFormat="false" ht="77.6" hidden="false" customHeight="false" outlineLevel="0" collapsed="false">
      <c r="A8" s="19" t="s">
        <v>637</v>
      </c>
      <c r="B8" s="19" t="s">
        <v>1965</v>
      </c>
      <c r="C8" s="19" t="s">
        <v>228</v>
      </c>
      <c r="D8" s="22" t="n">
        <v>12.5</v>
      </c>
      <c r="E8" s="19" t="s">
        <v>628</v>
      </c>
      <c r="F8" s="19" t="s">
        <v>1966</v>
      </c>
      <c r="G8" s="19" t="s">
        <v>228</v>
      </c>
      <c r="H8" s="22" t="n">
        <v>25.44</v>
      </c>
      <c r="I8" s="46" t="n">
        <f aca="false">IF(AND(ISNUMBER(D8),ISNUMBER(H8),H8&lt;&gt;0),D8/H8-1,"")</f>
        <v>-0.508647798742138</v>
      </c>
      <c r="J8" s="19" t="s">
        <v>640</v>
      </c>
      <c r="K8" s="19" t="s">
        <v>642</v>
      </c>
      <c r="L8" s="22" t="n">
        <v>0</v>
      </c>
      <c r="M8" s="22" t="n">
        <v>15375</v>
      </c>
      <c r="N8" s="19" t="s">
        <v>22</v>
      </c>
      <c r="O8" s="19" t="s">
        <v>211</v>
      </c>
    </row>
    <row r="9" customFormat="false" ht="77.6" hidden="false" customHeight="false" outlineLevel="0" collapsed="false">
      <c r="A9" s="19" t="s">
        <v>655</v>
      </c>
      <c r="B9" s="19" t="s">
        <v>1967</v>
      </c>
      <c r="C9" s="19"/>
      <c r="D9" s="22"/>
      <c r="E9" s="19" t="s">
        <v>1968</v>
      </c>
      <c r="F9" s="19" t="s">
        <v>1969</v>
      </c>
      <c r="G9" s="19" t="s">
        <v>228</v>
      </c>
      <c r="H9" s="22" t="n">
        <v>35</v>
      </c>
      <c r="I9" s="46" t="str">
        <f aca="false">IF(AND(ISNUMBER(D9),ISNUMBER(H9),H9&lt;&gt;0),D9/H9-1,"")</f>
        <v/>
      </c>
      <c r="J9" s="19" t="s">
        <v>658</v>
      </c>
      <c r="K9" s="19" t="s">
        <v>660</v>
      </c>
      <c r="L9" s="22" t="n">
        <v>0</v>
      </c>
      <c r="M9" s="22" t="n">
        <v>0</v>
      </c>
      <c r="N9" s="19" t="s">
        <v>22</v>
      </c>
      <c r="O9" s="19" t="s">
        <v>94</v>
      </c>
    </row>
    <row r="10" customFormat="false" ht="64.9" hidden="false" customHeight="false" outlineLevel="0" collapsed="false">
      <c r="A10" s="19" t="s">
        <v>708</v>
      </c>
      <c r="B10" s="19" t="s">
        <v>1970</v>
      </c>
      <c r="C10" s="19" t="s">
        <v>165</v>
      </c>
      <c r="D10" s="22" t="n">
        <v>7024.85</v>
      </c>
      <c r="E10" s="19" t="s">
        <v>1971</v>
      </c>
      <c r="F10" s="19" t="s">
        <v>1972</v>
      </c>
      <c r="G10" s="19" t="s">
        <v>165</v>
      </c>
      <c r="H10" s="22" t="n">
        <v>5547.92</v>
      </c>
      <c r="I10" s="46" t="n">
        <f aca="false">IF(AND(ISNUMBER(D10),ISNUMBER(H10),H10&lt;&gt;0),D10/H10-1,"")</f>
        <v>0.266213283536893</v>
      </c>
      <c r="J10" s="19" t="s">
        <v>711</v>
      </c>
      <c r="K10" s="19" t="s">
        <v>713</v>
      </c>
      <c r="L10" s="22" t="n">
        <v>0</v>
      </c>
      <c r="M10" s="22" t="n">
        <v>-4430.79</v>
      </c>
      <c r="N10" s="19" t="s">
        <v>22</v>
      </c>
      <c r="O10" s="19" t="s">
        <v>94</v>
      </c>
    </row>
    <row r="11" customFormat="false" ht="64.9" hidden="false" customHeight="false" outlineLevel="0" collapsed="false">
      <c r="A11" s="19" t="s">
        <v>770</v>
      </c>
      <c r="B11" s="19" t="s">
        <v>1973</v>
      </c>
      <c r="C11" s="19" t="s">
        <v>119</v>
      </c>
      <c r="D11" s="22" t="n">
        <v>60</v>
      </c>
      <c r="E11" s="19" t="s">
        <v>761</v>
      </c>
      <c r="F11" s="19" t="s">
        <v>1974</v>
      </c>
      <c r="G11" s="19" t="s">
        <v>119</v>
      </c>
      <c r="H11" s="22" t="n">
        <v>145</v>
      </c>
      <c r="I11" s="46" t="n">
        <f aca="false">IF(AND(ISNUMBER(D11),ISNUMBER(H11),H11&lt;&gt;0),D11/H11-1,"")</f>
        <v>-0.586206896551724</v>
      </c>
      <c r="J11" s="19" t="s">
        <v>772</v>
      </c>
      <c r="K11" s="19" t="s">
        <v>774</v>
      </c>
      <c r="L11" s="22" t="n">
        <v>0</v>
      </c>
      <c r="M11" s="22" t="n">
        <v>7310</v>
      </c>
      <c r="N11" s="19" t="s">
        <v>22</v>
      </c>
      <c r="O11" s="19" t="s">
        <v>94</v>
      </c>
    </row>
    <row r="12" customFormat="false" ht="64.9" hidden="false" customHeight="false" outlineLevel="0" collapsed="false">
      <c r="A12" s="19" t="s">
        <v>841</v>
      </c>
      <c r="B12" s="19" t="s">
        <v>1975</v>
      </c>
      <c r="C12" s="19" t="s">
        <v>165</v>
      </c>
      <c r="D12" s="22" t="n">
        <v>900</v>
      </c>
      <c r="E12" s="19" t="s">
        <v>1976</v>
      </c>
      <c r="F12" s="19" t="s">
        <v>1977</v>
      </c>
      <c r="G12" s="19" t="s">
        <v>165</v>
      </c>
      <c r="H12" s="22" t="n">
        <v>700</v>
      </c>
      <c r="I12" s="46" t="n">
        <f aca="false">IF(AND(ISNUMBER(D12),ISNUMBER(H12),H12&lt;&gt;0),D12/H12-1,"")</f>
        <v>0.285714285714286</v>
      </c>
      <c r="J12" s="19" t="s">
        <v>844</v>
      </c>
      <c r="K12" s="19" t="s">
        <v>846</v>
      </c>
      <c r="L12" s="22" t="n">
        <v>0</v>
      </c>
      <c r="M12" s="22" t="n">
        <v>0</v>
      </c>
      <c r="N12" s="19" t="s">
        <v>22</v>
      </c>
      <c r="O12" s="19" t="s">
        <v>94</v>
      </c>
    </row>
    <row r="13" customFormat="false" ht="64.9" hidden="false" customHeight="false" outlineLevel="0" collapsed="false">
      <c r="A13" s="19" t="s">
        <v>894</v>
      </c>
      <c r="B13" s="19" t="s">
        <v>1978</v>
      </c>
      <c r="C13" s="19" t="s">
        <v>312</v>
      </c>
      <c r="D13" s="22" t="n">
        <v>45.24</v>
      </c>
      <c r="E13" s="19" t="s">
        <v>1979</v>
      </c>
      <c r="F13" s="19" t="s">
        <v>1980</v>
      </c>
      <c r="G13" s="19" t="s">
        <v>312</v>
      </c>
      <c r="H13" s="22" t="n">
        <v>25.32</v>
      </c>
      <c r="I13" s="46" t="n">
        <f aca="false">IF(AND(ISNUMBER(D13),ISNUMBER(H13),H13&lt;&gt;0),D13/H13-1,"")</f>
        <v>0.786729857819905</v>
      </c>
      <c r="J13" s="19" t="s">
        <v>897</v>
      </c>
      <c r="K13" s="19" t="s">
        <v>899</v>
      </c>
      <c r="L13" s="22" t="n">
        <v>876.16</v>
      </c>
      <c r="M13" s="22" t="n">
        <v>2712.91</v>
      </c>
      <c r="N13" s="19" t="s">
        <v>22</v>
      </c>
      <c r="O13" s="19" t="s">
        <v>211</v>
      </c>
    </row>
    <row r="14" customFormat="false" ht="52.2" hidden="false" customHeight="false" outlineLevel="0" collapsed="false">
      <c r="A14" s="19" t="s">
        <v>929</v>
      </c>
      <c r="B14" s="19" t="s">
        <v>1981</v>
      </c>
      <c r="C14" s="19" t="s">
        <v>312</v>
      </c>
      <c r="D14" s="22" t="n">
        <v>37.29</v>
      </c>
      <c r="E14" s="19" t="s">
        <v>1982</v>
      </c>
      <c r="F14" s="19" t="s">
        <v>1983</v>
      </c>
      <c r="G14" s="19" t="s">
        <v>312</v>
      </c>
      <c r="H14" s="22" t="n">
        <v>28.49</v>
      </c>
      <c r="I14" s="46" t="n">
        <f aca="false">IF(AND(ISNUMBER(D14),ISNUMBER(H14),H14&lt;&gt;0),D14/H14-1,"")</f>
        <v>0.308880308880309</v>
      </c>
      <c r="J14" s="19" t="s">
        <v>932</v>
      </c>
      <c r="K14" s="19" t="s">
        <v>934</v>
      </c>
      <c r="L14" s="22" t="n">
        <v>-3115.75</v>
      </c>
      <c r="M14" s="22" t="n">
        <v>-3115.75</v>
      </c>
      <c r="N14" s="19" t="s">
        <v>22</v>
      </c>
      <c r="O14" s="19" t="s">
        <v>94</v>
      </c>
    </row>
    <row r="15" customFormat="false" ht="128.35" hidden="false" customHeight="false" outlineLevel="0" collapsed="false">
      <c r="A15" s="19" t="s">
        <v>1110</v>
      </c>
      <c r="B15" s="19" t="s">
        <v>1984</v>
      </c>
      <c r="C15" s="19" t="s">
        <v>138</v>
      </c>
      <c r="D15" s="22" t="n">
        <v>16</v>
      </c>
      <c r="E15" s="19" t="s">
        <v>1985</v>
      </c>
      <c r="F15" s="19" t="s">
        <v>1986</v>
      </c>
      <c r="G15" s="19" t="s">
        <v>138</v>
      </c>
      <c r="H15" s="22" t="n">
        <v>16</v>
      </c>
      <c r="I15" s="46" t="n">
        <f aca="false">IF(AND(ISNUMBER(D15),ISNUMBER(H15),H15&lt;&gt;0),D15/H15-1,"")</f>
        <v>0</v>
      </c>
      <c r="J15" s="19" t="s">
        <v>1113</v>
      </c>
      <c r="K15" s="19" t="s">
        <v>1115</v>
      </c>
      <c r="L15" s="22" t="n">
        <v>446</v>
      </c>
      <c r="M15" s="22" t="n">
        <v>2616</v>
      </c>
      <c r="N15" s="19" t="s">
        <v>22</v>
      </c>
      <c r="O15" s="19" t="s">
        <v>94</v>
      </c>
    </row>
    <row r="16" customFormat="false" ht="77.6" hidden="false" customHeight="false" outlineLevel="0" collapsed="false">
      <c r="A16" s="19" t="s">
        <v>1242</v>
      </c>
      <c r="B16" s="19" t="s">
        <v>1987</v>
      </c>
      <c r="C16" s="19" t="s">
        <v>228</v>
      </c>
      <c r="D16" s="22" t="n">
        <v>7.75</v>
      </c>
      <c r="E16" s="19" t="s">
        <v>1207</v>
      </c>
      <c r="F16" s="19" t="s">
        <v>1988</v>
      </c>
      <c r="G16" s="19" t="s">
        <v>228</v>
      </c>
      <c r="H16" s="22" t="n">
        <v>17.65</v>
      </c>
      <c r="I16" s="46" t="n">
        <f aca="false">IF(AND(ISNUMBER(D16),ISNUMBER(H16),H16&lt;&gt;0),D16/H16-1,"")</f>
        <v>-0.560906515580737</v>
      </c>
      <c r="J16" s="19" t="s">
        <v>1244</v>
      </c>
      <c r="K16" s="19" t="s">
        <v>1246</v>
      </c>
      <c r="L16" s="22" t="n">
        <v>0</v>
      </c>
      <c r="M16" s="22" t="n">
        <v>0</v>
      </c>
      <c r="N16" s="19" t="s">
        <v>23</v>
      </c>
      <c r="O16" s="19" t="s">
        <v>211</v>
      </c>
    </row>
    <row r="17" customFormat="false" ht="64.9" hidden="false" customHeight="false" outlineLevel="0" collapsed="false">
      <c r="A17" s="19" t="s">
        <v>1268</v>
      </c>
      <c r="B17" s="19" t="s">
        <v>1989</v>
      </c>
      <c r="C17" s="19" t="s">
        <v>228</v>
      </c>
      <c r="D17" s="22" t="n">
        <v>61.51</v>
      </c>
      <c r="E17" s="19" t="s">
        <v>1304</v>
      </c>
      <c r="F17" s="19" t="s">
        <v>1990</v>
      </c>
      <c r="G17" s="19" t="s">
        <v>228</v>
      </c>
      <c r="H17" s="22" t="n">
        <v>96.58</v>
      </c>
      <c r="I17" s="46" t="n">
        <f aca="false">IF(AND(ISNUMBER(D17),ISNUMBER(H17),H17&lt;&gt;0),D17/H17-1,"")</f>
        <v>-0.363118658107269</v>
      </c>
      <c r="J17" s="19" t="s">
        <v>1271</v>
      </c>
      <c r="K17" s="19" t="s">
        <v>1273</v>
      </c>
      <c r="L17" s="22" t="n">
        <v>0</v>
      </c>
      <c r="M17" s="22" t="n">
        <v>2665.32</v>
      </c>
      <c r="N17" s="19" t="s">
        <v>23</v>
      </c>
      <c r="O17" s="19" t="s">
        <v>94</v>
      </c>
    </row>
    <row r="18" customFormat="false" ht="64.9" hidden="false" customHeight="false" outlineLevel="0" collapsed="false">
      <c r="A18" s="19" t="s">
        <v>1304</v>
      </c>
      <c r="B18" s="19" t="s">
        <v>1990</v>
      </c>
      <c r="C18" s="19" t="s">
        <v>228</v>
      </c>
      <c r="D18" s="22" t="n">
        <v>96.58</v>
      </c>
      <c r="E18" s="19" t="s">
        <v>1268</v>
      </c>
      <c r="F18" s="19" t="s">
        <v>1989</v>
      </c>
      <c r="G18" s="19" t="s">
        <v>228</v>
      </c>
      <c r="H18" s="22" t="n">
        <v>61.51</v>
      </c>
      <c r="I18" s="46" t="n">
        <f aca="false">IF(AND(ISNUMBER(D18),ISNUMBER(H18),H18&lt;&gt;0),D18/H18-1,"")</f>
        <v>0.570151194927654</v>
      </c>
      <c r="J18" s="19" t="s">
        <v>1307</v>
      </c>
      <c r="K18" s="19" t="s">
        <v>1309</v>
      </c>
      <c r="L18" s="22" t="n">
        <v>0</v>
      </c>
      <c r="M18" s="22" t="n">
        <v>-1472.94</v>
      </c>
      <c r="N18" s="19" t="s">
        <v>23</v>
      </c>
      <c r="O18" s="19" t="s">
        <v>94</v>
      </c>
    </row>
    <row r="19" customFormat="false" ht="26.85" hidden="false" customHeight="false" outlineLevel="0" collapsed="false">
      <c r="A19" s="19" t="s">
        <v>1321</v>
      </c>
      <c r="B19" s="19" t="s">
        <v>1991</v>
      </c>
      <c r="C19" s="19" t="s">
        <v>165</v>
      </c>
      <c r="D19" s="22" t="n">
        <v>2388.8</v>
      </c>
      <c r="E19" s="19" t="s">
        <v>1992</v>
      </c>
      <c r="F19" s="19" t="s">
        <v>1993</v>
      </c>
      <c r="G19" s="19" t="s">
        <v>165</v>
      </c>
      <c r="H19" s="22" t="n">
        <v>2532</v>
      </c>
      <c r="I19" s="46" t="n">
        <f aca="false">IF(AND(ISNUMBER(D19),ISNUMBER(H19),H19&lt;&gt;0),D19/H19-1,"")</f>
        <v>-0.0565560821484992</v>
      </c>
      <c r="J19" s="19" t="s">
        <v>1324</v>
      </c>
      <c r="K19" s="19" t="s">
        <v>1326</v>
      </c>
      <c r="L19" s="22" t="n">
        <v>-286.4</v>
      </c>
      <c r="M19" s="22" t="n">
        <v>143.2</v>
      </c>
      <c r="N19" s="19" t="s">
        <v>23</v>
      </c>
      <c r="O19" s="19" t="s">
        <v>94</v>
      </c>
    </row>
    <row r="20" customFormat="false" ht="26.85" hidden="false" customHeight="false" outlineLevel="0" collapsed="false">
      <c r="A20" s="19" t="s">
        <v>1330</v>
      </c>
      <c r="B20" s="19" t="s">
        <v>1994</v>
      </c>
      <c r="C20" s="19" t="s">
        <v>165</v>
      </c>
      <c r="D20" s="22" t="n">
        <v>1204</v>
      </c>
      <c r="E20" s="19" t="s">
        <v>1331</v>
      </c>
      <c r="F20" s="19" t="s">
        <v>1995</v>
      </c>
      <c r="G20" s="19" t="s">
        <v>165</v>
      </c>
      <c r="H20" s="22" t="n">
        <v>1044.8</v>
      </c>
      <c r="I20" s="46" t="n">
        <f aca="false">IF(AND(ISNUMBER(D20),ISNUMBER(H20),H20&lt;&gt;0),D20/H20-1,"")</f>
        <v>0.152373660030628</v>
      </c>
      <c r="J20" s="19" t="s">
        <v>1333</v>
      </c>
      <c r="K20" s="19" t="s">
        <v>1326</v>
      </c>
      <c r="L20" s="22" t="n">
        <v>-477.6</v>
      </c>
      <c r="M20" s="22" t="n">
        <v>159.2</v>
      </c>
      <c r="N20" s="19" t="s">
        <v>23</v>
      </c>
      <c r="O20" s="19" t="s">
        <v>94</v>
      </c>
    </row>
    <row r="21" customFormat="false" ht="26.85" hidden="false" customHeight="false" outlineLevel="0" collapsed="false">
      <c r="A21" s="19" t="s">
        <v>1338</v>
      </c>
      <c r="B21" s="19" t="s">
        <v>1340</v>
      </c>
      <c r="C21" s="19" t="s">
        <v>165</v>
      </c>
      <c r="D21" s="22" t="n">
        <v>1481.6</v>
      </c>
      <c r="E21" s="19" t="s">
        <v>1339</v>
      </c>
      <c r="F21" s="19"/>
      <c r="G21" s="19"/>
      <c r="H21" s="22"/>
      <c r="I21" s="46" t="str">
        <f aca="false">IF(AND(ISNUMBER(D21),ISNUMBER(H21),H21&lt;&gt;0),D21/H21-1,"")</f>
        <v/>
      </c>
      <c r="J21" s="19" t="s">
        <v>1341</v>
      </c>
      <c r="K21" s="19" t="s">
        <v>1343</v>
      </c>
      <c r="L21" s="22" t="n">
        <v>0</v>
      </c>
      <c r="M21" s="22" t="n">
        <v>-1481.6</v>
      </c>
      <c r="N21" s="19" t="s">
        <v>23</v>
      </c>
      <c r="O21" s="19" t="s">
        <v>94</v>
      </c>
    </row>
    <row r="22" customFormat="false" ht="39.55" hidden="false" customHeight="false" outlineLevel="0" collapsed="false">
      <c r="A22" s="19" t="s">
        <v>1356</v>
      </c>
      <c r="B22" s="19" t="s">
        <v>1996</v>
      </c>
      <c r="C22" s="19" t="s">
        <v>228</v>
      </c>
      <c r="D22" s="22" t="n">
        <v>2.5</v>
      </c>
      <c r="E22" s="19" t="s">
        <v>1357</v>
      </c>
      <c r="F22" s="19" t="s">
        <v>1997</v>
      </c>
      <c r="G22" s="19" t="s">
        <v>228</v>
      </c>
      <c r="H22" s="22" t="n">
        <v>91.07</v>
      </c>
      <c r="I22" s="46" t="n">
        <f aca="false">IF(AND(ISNUMBER(D22),ISNUMBER(H22),H22&lt;&gt;0),D22/H22-1,"")</f>
        <v>-0.972548588997474</v>
      </c>
      <c r="J22" s="19" t="s">
        <v>1359</v>
      </c>
      <c r="K22" s="19" t="s">
        <v>1361</v>
      </c>
      <c r="L22" s="22" t="n">
        <v>40</v>
      </c>
      <c r="M22" s="22" t="n">
        <v>40</v>
      </c>
      <c r="N22" s="19" t="s">
        <v>23</v>
      </c>
      <c r="O22" s="19" t="s">
        <v>94</v>
      </c>
    </row>
    <row r="23" customFormat="false" ht="64.9" hidden="false" customHeight="false" outlineLevel="0" collapsed="false">
      <c r="A23" s="19" t="s">
        <v>1392</v>
      </c>
      <c r="B23" s="19" t="s">
        <v>1998</v>
      </c>
      <c r="C23" s="19" t="s">
        <v>165</v>
      </c>
      <c r="D23" s="22" t="n">
        <v>63.1</v>
      </c>
      <c r="E23" s="19" t="s">
        <v>1999</v>
      </c>
      <c r="F23" s="19" t="s">
        <v>2000</v>
      </c>
      <c r="G23" s="19" t="s">
        <v>165</v>
      </c>
      <c r="H23" s="22" t="n">
        <v>69.7</v>
      </c>
      <c r="I23" s="46" t="n">
        <f aca="false">IF(AND(ISNUMBER(D23),ISNUMBER(H23),H23&lt;&gt;0),D23/H23-1,"")</f>
        <v>-0.0946915351506457</v>
      </c>
      <c r="J23" s="19" t="s">
        <v>1395</v>
      </c>
      <c r="K23" s="19" t="s">
        <v>1397</v>
      </c>
      <c r="L23" s="22" t="n">
        <v>-126.2</v>
      </c>
      <c r="M23" s="22" t="n">
        <v>-126.2</v>
      </c>
      <c r="N23" s="19" t="s">
        <v>23</v>
      </c>
      <c r="O23" s="19" t="s">
        <v>94</v>
      </c>
    </row>
    <row r="24" customFormat="false" ht="64.9" hidden="false" customHeight="false" outlineLevel="0" collapsed="false">
      <c r="A24" s="19" t="s">
        <v>1488</v>
      </c>
      <c r="B24" s="19" t="s">
        <v>2001</v>
      </c>
      <c r="C24" s="19" t="s">
        <v>138</v>
      </c>
      <c r="D24" s="22" t="n">
        <v>5.5</v>
      </c>
      <c r="E24" s="19" t="s">
        <v>868</v>
      </c>
      <c r="F24" s="19" t="s">
        <v>2002</v>
      </c>
      <c r="G24" s="19" t="s">
        <v>138</v>
      </c>
      <c r="H24" s="22" t="n">
        <v>5.5</v>
      </c>
      <c r="I24" s="46" t="n">
        <f aca="false">IF(AND(ISNUMBER(D24),ISNUMBER(H24),H24&lt;&gt;0),D24/H24-1,"")</f>
        <v>0</v>
      </c>
      <c r="J24" s="19" t="s">
        <v>1490</v>
      </c>
      <c r="K24" s="19" t="s">
        <v>1492</v>
      </c>
      <c r="L24" s="22" t="n">
        <v>-69.25</v>
      </c>
      <c r="M24" s="22" t="n">
        <v>-248.16</v>
      </c>
      <c r="N24" s="19" t="s">
        <v>23</v>
      </c>
      <c r="O24" s="19" t="s">
        <v>94</v>
      </c>
    </row>
    <row r="25" customFormat="false" ht="64.9" hidden="false" customHeight="false" outlineLevel="0" collapsed="false">
      <c r="A25" s="19" t="s">
        <v>1549</v>
      </c>
      <c r="B25" s="19" t="s">
        <v>1551</v>
      </c>
      <c r="C25" s="19" t="s">
        <v>165</v>
      </c>
      <c r="D25" s="22" t="n">
        <v>473.97</v>
      </c>
      <c r="E25" s="19" t="s">
        <v>2003</v>
      </c>
      <c r="F25" s="19" t="s">
        <v>2004</v>
      </c>
      <c r="G25" s="19" t="s">
        <v>165</v>
      </c>
      <c r="H25" s="22" t="n">
        <v>473.97</v>
      </c>
      <c r="I25" s="46" t="n">
        <f aca="false">IF(AND(ISNUMBER(D25),ISNUMBER(H25),H25&lt;&gt;0),D25/H25-1,"")</f>
        <v>0</v>
      </c>
      <c r="J25" s="19" t="s">
        <v>1552</v>
      </c>
      <c r="K25" s="19" t="s">
        <v>1554</v>
      </c>
      <c r="L25" s="22" t="n">
        <v>170.86</v>
      </c>
      <c r="M25" s="22" t="n">
        <v>1026.03</v>
      </c>
      <c r="N25" s="19" t="s">
        <v>23</v>
      </c>
      <c r="O25" s="19" t="s">
        <v>94</v>
      </c>
    </row>
    <row r="26" customFormat="false" ht="26.85" hidden="false" customHeight="false" outlineLevel="0" collapsed="false">
      <c r="A26" s="19" t="s">
        <v>1672</v>
      </c>
      <c r="B26" s="19" t="s">
        <v>1674</v>
      </c>
      <c r="C26" s="19" t="s">
        <v>312</v>
      </c>
      <c r="D26" s="22" t="n">
        <v>2.32</v>
      </c>
      <c r="E26" s="19" t="s">
        <v>2005</v>
      </c>
      <c r="F26" s="19" t="s">
        <v>2006</v>
      </c>
      <c r="G26" s="19" t="s">
        <v>312</v>
      </c>
      <c r="H26" s="22" t="n">
        <v>1.96</v>
      </c>
      <c r="I26" s="46" t="n">
        <f aca="false">IF(AND(ISNUMBER(D26),ISNUMBER(H26),H26&lt;&gt;0),D26/H26-1,"")</f>
        <v>0.183673469387755</v>
      </c>
      <c r="J26" s="19" t="s">
        <v>1675</v>
      </c>
      <c r="K26" s="19" t="s">
        <v>1677</v>
      </c>
      <c r="L26" s="22" t="n">
        <v>-21.6</v>
      </c>
      <c r="M26" s="22" t="n">
        <v>-21.6</v>
      </c>
      <c r="N26" s="19" t="s">
        <v>23</v>
      </c>
      <c r="O26" s="19" t="s">
        <v>94</v>
      </c>
    </row>
    <row r="27" customFormat="false" ht="52.2" hidden="false" customHeight="false" outlineLevel="0" collapsed="false">
      <c r="A27" s="19" t="s">
        <v>1796</v>
      </c>
      <c r="B27" s="19" t="s">
        <v>1798</v>
      </c>
      <c r="C27" s="19" t="s">
        <v>165</v>
      </c>
      <c r="D27" s="22" t="n">
        <v>3.52</v>
      </c>
      <c r="E27" s="19" t="s">
        <v>2007</v>
      </c>
      <c r="F27" s="19" t="s">
        <v>2008</v>
      </c>
      <c r="G27" s="19" t="s">
        <v>312</v>
      </c>
      <c r="H27" s="22" t="n">
        <v>3.12</v>
      </c>
      <c r="I27" s="46" t="n">
        <f aca="false">IF(AND(ISNUMBER(D27),ISNUMBER(H27),H27&lt;&gt;0),D27/H27-1,"")</f>
        <v>0.128205128205128</v>
      </c>
      <c r="J27" s="19" t="s">
        <v>1799</v>
      </c>
      <c r="K27" s="19" t="s">
        <v>1801</v>
      </c>
      <c r="L27" s="22" t="n">
        <v>-282</v>
      </c>
      <c r="M27" s="22" t="n">
        <v>-282</v>
      </c>
      <c r="N27" s="19" t="s">
        <v>23</v>
      </c>
      <c r="O27" s="19" t="s">
        <v>211</v>
      </c>
    </row>
    <row r="28" customFormat="false" ht="64.9" hidden="false" customHeight="false" outlineLevel="0" collapsed="false">
      <c r="A28" s="19" t="s">
        <v>1842</v>
      </c>
      <c r="B28" s="19" t="s">
        <v>2009</v>
      </c>
      <c r="C28" s="19" t="s">
        <v>165</v>
      </c>
      <c r="D28" s="22" t="n">
        <v>12.5</v>
      </c>
      <c r="E28" s="19" t="s">
        <v>1119</v>
      </c>
      <c r="F28" s="19" t="s">
        <v>2010</v>
      </c>
      <c r="G28" s="19" t="s">
        <v>165</v>
      </c>
      <c r="H28" s="22" t="n">
        <v>120</v>
      </c>
      <c r="I28" s="46" t="n">
        <f aca="false">IF(AND(ISNUMBER(D28),ISNUMBER(H28),H28&lt;&gt;0),D28/H28-1,"")</f>
        <v>-0.895833333333333</v>
      </c>
      <c r="J28" s="19" t="s">
        <v>1845</v>
      </c>
      <c r="K28" s="19" t="s">
        <v>1847</v>
      </c>
      <c r="L28" s="22" t="n">
        <v>25</v>
      </c>
      <c r="M28" s="22" t="n">
        <v>75</v>
      </c>
      <c r="N28" s="19" t="s">
        <v>23</v>
      </c>
      <c r="O28" s="19" t="s">
        <v>94</v>
      </c>
    </row>
  </sheetData>
  <autoFilter ref="A4:O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12"/>
    <col collapsed="false" customWidth="true" hidden="false" outlineLevel="0" max="4" min="4" style="0" width="10"/>
    <col collapsed="false" customWidth="true" hidden="false" outlineLevel="0" max="5" min="5" style="0" width="6"/>
    <col collapsed="false" customWidth="true" hidden="false" outlineLevel="0" max="6" min="6" style="0" width="11"/>
    <col collapsed="false" customWidth="true" hidden="false" outlineLevel="0" max="7" min="7" style="0" width="13"/>
    <col collapsed="false" customWidth="true" hidden="false" outlineLevel="0" max="8" min="8" style="0" width="40"/>
    <col collapsed="false" customWidth="true" hidden="false" outlineLevel="0" max="10" min="9" style="0" width="13"/>
    <col collapsed="false" customWidth="true" hidden="false" outlineLevel="0" max="12" min="11" style="0" width="10"/>
    <col collapsed="false" customWidth="true" hidden="false" outlineLevel="0" max="13" min="13" style="0" width="48"/>
    <col collapsed="false" customWidth="true" hidden="false" outlineLevel="0" max="14" min="14" style="0" width="12"/>
  </cols>
  <sheetData>
    <row r="1" customFormat="false" ht="17.35" hidden="false" customHeight="false" outlineLevel="0" collapsed="false">
      <c r="A1" s="1" t="s">
        <v>2011</v>
      </c>
      <c r="B1" s="2"/>
      <c r="C1" s="2"/>
      <c r="D1" s="2"/>
      <c r="E1" s="2"/>
      <c r="F1" s="2"/>
      <c r="G1" s="2"/>
      <c r="H1" s="2"/>
      <c r="I1" s="2"/>
      <c r="J1" s="2"/>
      <c r="K1" s="2"/>
      <c r="L1" s="2"/>
      <c r="M1" s="2"/>
      <c r="N1" s="2"/>
    </row>
    <row r="2" customFormat="false" ht="15" hidden="false" customHeight="false" outlineLevel="0" collapsed="false">
      <c r="A2" s="3" t="s">
        <v>2012</v>
      </c>
      <c r="B2" s="2"/>
      <c r="C2" s="2"/>
      <c r="D2" s="2"/>
      <c r="E2" s="2"/>
      <c r="F2" s="2"/>
      <c r="G2" s="2"/>
      <c r="H2" s="2"/>
      <c r="I2" s="2"/>
      <c r="J2" s="2"/>
      <c r="K2" s="2"/>
      <c r="L2" s="2"/>
      <c r="M2" s="2"/>
      <c r="N2" s="2"/>
    </row>
    <row r="3" customFormat="false" ht="15" hidden="false" customHeight="false" outlineLevel="0" collapsed="false">
      <c r="A3" s="2"/>
      <c r="B3" s="2"/>
      <c r="C3" s="2"/>
      <c r="D3" s="2"/>
      <c r="E3" s="2"/>
      <c r="F3" s="2"/>
      <c r="G3" s="2"/>
      <c r="H3" s="2"/>
      <c r="I3" s="2"/>
      <c r="J3" s="2"/>
      <c r="K3" s="2"/>
      <c r="L3" s="2"/>
      <c r="M3" s="2"/>
      <c r="N3" s="2"/>
    </row>
    <row r="4" customFormat="false" ht="36" hidden="false" customHeight="true" outlineLevel="0" collapsed="false">
      <c r="A4" s="17" t="s">
        <v>65</v>
      </c>
      <c r="B4" s="17" t="s">
        <v>2013</v>
      </c>
      <c r="C4" s="17" t="s">
        <v>19</v>
      </c>
      <c r="D4" s="17" t="s">
        <v>2014</v>
      </c>
      <c r="E4" s="17" t="s">
        <v>71</v>
      </c>
      <c r="F4" s="17" t="s">
        <v>72</v>
      </c>
      <c r="G4" s="17" t="s">
        <v>73</v>
      </c>
      <c r="H4" s="17" t="s">
        <v>2015</v>
      </c>
      <c r="I4" s="17" t="s">
        <v>25</v>
      </c>
      <c r="J4" s="17" t="s">
        <v>26</v>
      </c>
      <c r="K4" s="17" t="s">
        <v>2016</v>
      </c>
      <c r="L4" s="17" t="s">
        <v>47</v>
      </c>
      <c r="M4" s="17" t="s">
        <v>76</v>
      </c>
      <c r="N4" s="17" t="s">
        <v>80</v>
      </c>
    </row>
    <row r="5" customFormat="false" ht="77.6" hidden="false" customHeight="false" outlineLevel="0" collapsed="false">
      <c r="A5" s="19" t="s">
        <v>161</v>
      </c>
      <c r="B5" s="19" t="s">
        <v>2017</v>
      </c>
      <c r="C5" s="19" t="s">
        <v>30</v>
      </c>
      <c r="D5" s="45" t="n">
        <v>1</v>
      </c>
      <c r="E5" s="19" t="s">
        <v>165</v>
      </c>
      <c r="F5" s="22" t="n">
        <v>3500</v>
      </c>
      <c r="G5" s="22" t="n">
        <v>3500</v>
      </c>
      <c r="H5" s="19" t="s">
        <v>166</v>
      </c>
      <c r="I5" s="22" t="n">
        <v>6500</v>
      </c>
      <c r="J5" s="22" t="n">
        <v>16500</v>
      </c>
      <c r="K5" s="46" t="n">
        <f aca="false">IFERROR(AVERAGE(I5:J5)/G5,"")</f>
        <v>3.28571428571429</v>
      </c>
      <c r="L5" s="19" t="s">
        <v>21</v>
      </c>
      <c r="M5" s="19" t="s">
        <v>167</v>
      </c>
      <c r="N5" s="19" t="s">
        <v>94</v>
      </c>
    </row>
    <row r="6" customFormat="false" ht="64.9" hidden="false" customHeight="false" outlineLevel="0" collapsed="false">
      <c r="A6" s="19" t="s">
        <v>233</v>
      </c>
      <c r="B6" s="19" t="s">
        <v>2018</v>
      </c>
      <c r="C6" s="19" t="s">
        <v>30</v>
      </c>
      <c r="D6" s="45"/>
      <c r="E6" s="19"/>
      <c r="F6" s="22"/>
      <c r="G6" s="22"/>
      <c r="H6" s="19" t="s">
        <v>238</v>
      </c>
      <c r="I6" s="22" t="n">
        <v>4774</v>
      </c>
      <c r="J6" s="22" t="n">
        <v>9114</v>
      </c>
      <c r="K6" s="46" t="str">
        <f aca="false">IFERROR(AVERAGE(I6:J6)/G6,"")</f>
        <v/>
      </c>
      <c r="L6" s="19" t="s">
        <v>21</v>
      </c>
      <c r="M6" s="19" t="s">
        <v>239</v>
      </c>
      <c r="N6" s="19" t="s">
        <v>94</v>
      </c>
    </row>
    <row r="7" customFormat="false" ht="77.6" hidden="false" customHeight="false" outlineLevel="0" collapsed="false">
      <c r="A7" s="19" t="s">
        <v>318</v>
      </c>
      <c r="B7" s="19" t="s">
        <v>2019</v>
      </c>
      <c r="C7" s="19" t="s">
        <v>30</v>
      </c>
      <c r="D7" s="45" t="n">
        <v>708.21</v>
      </c>
      <c r="E7" s="19" t="s">
        <v>138</v>
      </c>
      <c r="F7" s="22" t="n">
        <v>5.5</v>
      </c>
      <c r="G7" s="22" t="n">
        <v>3895.16</v>
      </c>
      <c r="H7" s="19" t="s">
        <v>323</v>
      </c>
      <c r="I7" s="22" t="n">
        <v>4603.37</v>
      </c>
      <c r="J7" s="22" t="n">
        <v>8852.63</v>
      </c>
      <c r="K7" s="46" t="n">
        <f aca="false">IFERROR(AVERAGE(I7:J7)/G7,"")</f>
        <v>1.72727179371322</v>
      </c>
      <c r="L7" s="19" t="s">
        <v>21</v>
      </c>
      <c r="M7" s="19" t="s">
        <v>324</v>
      </c>
      <c r="N7" s="19" t="s">
        <v>94</v>
      </c>
    </row>
    <row r="8" customFormat="false" ht="77.6" hidden="false" customHeight="false" outlineLevel="0" collapsed="false">
      <c r="A8" s="19" t="s">
        <v>327</v>
      </c>
      <c r="B8" s="19" t="s">
        <v>2020</v>
      </c>
      <c r="C8" s="19" t="s">
        <v>30</v>
      </c>
      <c r="D8" s="45"/>
      <c r="E8" s="19"/>
      <c r="F8" s="22"/>
      <c r="G8" s="22"/>
      <c r="H8" s="19" t="s">
        <v>332</v>
      </c>
      <c r="I8" s="22" t="n">
        <v>8149</v>
      </c>
      <c r="J8" s="22" t="n">
        <v>15892</v>
      </c>
      <c r="K8" s="46" t="str">
        <f aca="false">IFERROR(AVERAGE(I8:J8)/G8,"")</f>
        <v/>
      </c>
      <c r="L8" s="19" t="s">
        <v>21</v>
      </c>
      <c r="M8" s="19" t="s">
        <v>333</v>
      </c>
      <c r="N8" s="19" t="s">
        <v>94</v>
      </c>
    </row>
    <row r="9" customFormat="false" ht="64.9" hidden="false" customHeight="false" outlineLevel="0" collapsed="false">
      <c r="A9" s="19" t="s">
        <v>336</v>
      </c>
      <c r="B9" s="19" t="s">
        <v>2021</v>
      </c>
      <c r="C9" s="19" t="s">
        <v>30</v>
      </c>
      <c r="D9" s="45"/>
      <c r="E9" s="19"/>
      <c r="F9" s="22"/>
      <c r="G9" s="22"/>
      <c r="H9" s="19" t="s">
        <v>341</v>
      </c>
      <c r="I9" s="22" t="n">
        <v>1954.38</v>
      </c>
      <c r="J9" s="22" t="n">
        <v>4454.38</v>
      </c>
      <c r="K9" s="46" t="str">
        <f aca="false">IFERROR(AVERAGE(I9:J9)/G9,"")</f>
        <v/>
      </c>
      <c r="L9" s="19" t="s">
        <v>21</v>
      </c>
      <c r="M9" s="19" t="s">
        <v>342</v>
      </c>
      <c r="N9" s="19" t="s">
        <v>94</v>
      </c>
    </row>
    <row r="10" customFormat="false" ht="90.25" hidden="false" customHeight="false" outlineLevel="0" collapsed="false">
      <c r="A10" s="19" t="s">
        <v>381</v>
      </c>
      <c r="B10" s="19" t="s">
        <v>383</v>
      </c>
      <c r="C10" s="19" t="s">
        <v>30</v>
      </c>
      <c r="D10" s="45" t="n">
        <v>4</v>
      </c>
      <c r="E10" s="19" t="s">
        <v>165</v>
      </c>
      <c r="F10" s="22" t="n">
        <v>570.65</v>
      </c>
      <c r="G10" s="22" t="n">
        <v>2282.6</v>
      </c>
      <c r="H10" s="19" t="s">
        <v>386</v>
      </c>
      <c r="I10" s="22" t="n">
        <v>3717.4</v>
      </c>
      <c r="J10" s="22" t="n">
        <v>7717.4</v>
      </c>
      <c r="K10" s="46" t="n">
        <f aca="false">IFERROR(AVERAGE(I10:J10)/G10,"")</f>
        <v>2.50477525628669</v>
      </c>
      <c r="L10" s="19" t="s">
        <v>21</v>
      </c>
      <c r="M10" s="19" t="s">
        <v>387</v>
      </c>
      <c r="N10" s="19" t="s">
        <v>94</v>
      </c>
    </row>
    <row r="11" customFormat="false" ht="102.95" hidden="false" customHeight="false" outlineLevel="0" collapsed="false">
      <c r="A11" s="19" t="s">
        <v>425</v>
      </c>
      <c r="B11" s="19" t="s">
        <v>2022</v>
      </c>
      <c r="C11" s="19" t="s">
        <v>30</v>
      </c>
      <c r="D11" s="45" t="n">
        <v>1</v>
      </c>
      <c r="E11" s="19" t="s">
        <v>165</v>
      </c>
      <c r="F11" s="22" t="n">
        <v>2000</v>
      </c>
      <c r="G11" s="22" t="n">
        <v>2000</v>
      </c>
      <c r="H11" s="19" t="s">
        <v>430</v>
      </c>
      <c r="I11" s="22" t="n">
        <v>0</v>
      </c>
      <c r="J11" s="22" t="n">
        <v>15000</v>
      </c>
      <c r="K11" s="46" t="n">
        <f aca="false">IFERROR(AVERAGE(I11:J11)/G11,"")</f>
        <v>3.75</v>
      </c>
      <c r="L11" s="19" t="s">
        <v>22</v>
      </c>
      <c r="M11" s="19" t="s">
        <v>431</v>
      </c>
      <c r="N11" s="19" t="s">
        <v>211</v>
      </c>
    </row>
    <row r="12" customFormat="false" ht="64.9" hidden="false" customHeight="false" outlineLevel="0" collapsed="false">
      <c r="A12" s="19" t="s">
        <v>434</v>
      </c>
      <c r="B12" s="19" t="s">
        <v>2023</v>
      </c>
      <c r="C12" s="19" t="s">
        <v>30</v>
      </c>
      <c r="D12" s="45" t="n">
        <v>1</v>
      </c>
      <c r="E12" s="19" t="s">
        <v>165</v>
      </c>
      <c r="F12" s="22" t="n">
        <v>3000</v>
      </c>
      <c r="G12" s="22" t="n">
        <v>3000</v>
      </c>
      <c r="H12" s="19" t="s">
        <v>439</v>
      </c>
      <c r="I12" s="22" t="n">
        <v>2000</v>
      </c>
      <c r="J12" s="22" t="n">
        <v>5000</v>
      </c>
      <c r="K12" s="46" t="n">
        <f aca="false">IFERROR(AVERAGE(I12:J12)/G12,"")</f>
        <v>1.16666666666667</v>
      </c>
      <c r="L12" s="19" t="s">
        <v>22</v>
      </c>
      <c r="M12" s="19" t="s">
        <v>440</v>
      </c>
      <c r="N12" s="19" t="s">
        <v>94</v>
      </c>
    </row>
    <row r="13" customFormat="false" ht="90.25" hidden="false" customHeight="false" outlineLevel="0" collapsed="false">
      <c r="A13" s="19" t="s">
        <v>453</v>
      </c>
      <c r="B13" s="19" t="s">
        <v>2024</v>
      </c>
      <c r="C13" s="19" t="s">
        <v>30</v>
      </c>
      <c r="D13" s="45" t="n">
        <v>8171.56</v>
      </c>
      <c r="E13" s="19" t="s">
        <v>138</v>
      </c>
      <c r="F13" s="22" t="n">
        <v>5.5</v>
      </c>
      <c r="G13" s="22" t="n">
        <v>44943.58</v>
      </c>
      <c r="H13" s="19" t="s">
        <v>465</v>
      </c>
      <c r="I13" s="22" t="n">
        <v>12257.34</v>
      </c>
      <c r="J13" s="22" t="n">
        <v>28600.46</v>
      </c>
      <c r="K13" s="46" t="n">
        <f aca="false">IFERROR(AVERAGE(I13:J13)/G13,"")</f>
        <v>0.454545454545455</v>
      </c>
      <c r="L13" s="19" t="s">
        <v>22</v>
      </c>
      <c r="M13" s="19" t="s">
        <v>466</v>
      </c>
      <c r="N13" s="19" t="s">
        <v>94</v>
      </c>
    </row>
    <row r="14" customFormat="false" ht="64.9" hidden="false" customHeight="false" outlineLevel="0" collapsed="false">
      <c r="A14" s="19" t="s">
        <v>530</v>
      </c>
      <c r="B14" s="19" t="s">
        <v>2025</v>
      </c>
      <c r="C14" s="19" t="s">
        <v>30</v>
      </c>
      <c r="D14" s="45"/>
      <c r="E14" s="19"/>
      <c r="F14" s="22"/>
      <c r="G14" s="22"/>
      <c r="H14" s="19" t="s">
        <v>535</v>
      </c>
      <c r="I14" s="22" t="n">
        <v>1280.31</v>
      </c>
      <c r="J14" s="22" t="n">
        <v>2203.51</v>
      </c>
      <c r="K14" s="46" t="str">
        <f aca="false">IFERROR(AVERAGE(I14:J14)/G14,"")</f>
        <v/>
      </c>
      <c r="L14" s="19" t="s">
        <v>22</v>
      </c>
      <c r="M14" s="19" t="s">
        <v>536</v>
      </c>
      <c r="N14" s="19" t="s">
        <v>94</v>
      </c>
    </row>
    <row r="15" customFormat="false" ht="90.25" hidden="false" customHeight="false" outlineLevel="0" collapsed="false">
      <c r="A15" s="19" t="s">
        <v>619</v>
      </c>
      <c r="B15" s="19" t="s">
        <v>2026</v>
      </c>
      <c r="C15" s="19" t="s">
        <v>30</v>
      </c>
      <c r="D15" s="45" t="n">
        <v>256</v>
      </c>
      <c r="E15" s="19" t="s">
        <v>228</v>
      </c>
      <c r="F15" s="22" t="n">
        <v>63.44</v>
      </c>
      <c r="G15" s="22" t="n">
        <v>16240.08</v>
      </c>
      <c r="H15" s="19" t="s">
        <v>624</v>
      </c>
      <c r="I15" s="22" t="n">
        <v>5519.36</v>
      </c>
      <c r="J15" s="22" t="n">
        <v>8079.36</v>
      </c>
      <c r="K15" s="46" t="n">
        <f aca="false">IFERROR(AVERAGE(I15:J15)/G15,"")</f>
        <v>0.418677740503741</v>
      </c>
      <c r="L15" s="19" t="s">
        <v>22</v>
      </c>
      <c r="M15" s="19" t="s">
        <v>625</v>
      </c>
      <c r="N15" s="19" t="s">
        <v>94</v>
      </c>
    </row>
    <row r="16" customFormat="false" ht="64.9" hidden="false" customHeight="false" outlineLevel="0" collapsed="false">
      <c r="A16" s="19" t="s">
        <v>646</v>
      </c>
      <c r="B16" s="19" t="s">
        <v>2027</v>
      </c>
      <c r="C16" s="19" t="s">
        <v>31</v>
      </c>
      <c r="D16" s="45" t="n">
        <v>76</v>
      </c>
      <c r="E16" s="19" t="s">
        <v>228</v>
      </c>
      <c r="F16" s="22" t="n">
        <v>54.05</v>
      </c>
      <c r="G16" s="22" t="n">
        <v>4107.8</v>
      </c>
      <c r="H16" s="19" t="s">
        <v>651</v>
      </c>
      <c r="I16" s="22" t="n">
        <v>-2837.9</v>
      </c>
      <c r="J16" s="22" t="n">
        <v>-4017.9</v>
      </c>
      <c r="K16" s="46" t="n">
        <f aca="false">IFERROR(AVERAGE(I16:J16)/G16,"")</f>
        <v>-0.834485612736745</v>
      </c>
      <c r="L16" s="19" t="s">
        <v>22</v>
      </c>
      <c r="M16" s="19" t="s">
        <v>652</v>
      </c>
      <c r="N16" s="19" t="s">
        <v>94</v>
      </c>
    </row>
    <row r="17" customFormat="false" ht="77.6" hidden="false" customHeight="false" outlineLevel="0" collapsed="false">
      <c r="A17" s="19" t="s">
        <v>664</v>
      </c>
      <c r="B17" s="19" t="s">
        <v>2028</v>
      </c>
      <c r="C17" s="19" t="s">
        <v>30</v>
      </c>
      <c r="D17" s="45" t="n">
        <v>1086</v>
      </c>
      <c r="E17" s="19" t="s">
        <v>228</v>
      </c>
      <c r="F17" s="22" t="n">
        <v>34.13</v>
      </c>
      <c r="G17" s="22" t="n">
        <v>37070</v>
      </c>
      <c r="H17" s="19" t="s">
        <v>669</v>
      </c>
      <c r="I17" s="22" t="n">
        <v>5288.82</v>
      </c>
      <c r="J17" s="22" t="n">
        <v>12890.82</v>
      </c>
      <c r="K17" s="46" t="n">
        <f aca="false">IFERROR(AVERAGE(I17:J17)/G17,"")</f>
        <v>0.24520690585379</v>
      </c>
      <c r="L17" s="19" t="s">
        <v>22</v>
      </c>
      <c r="M17" s="19" t="s">
        <v>670</v>
      </c>
      <c r="N17" s="19" t="s">
        <v>211</v>
      </c>
    </row>
    <row r="18" customFormat="false" ht="77.6" hidden="false" customHeight="false" outlineLevel="0" collapsed="false">
      <c r="A18" s="19" t="s">
        <v>672</v>
      </c>
      <c r="B18" s="19" t="s">
        <v>2029</v>
      </c>
      <c r="C18" s="19" t="s">
        <v>30</v>
      </c>
      <c r="D18" s="45" t="n">
        <v>210</v>
      </c>
      <c r="E18" s="19" t="s">
        <v>119</v>
      </c>
      <c r="F18" s="22" t="n">
        <v>46.44</v>
      </c>
      <c r="G18" s="22" t="n">
        <v>9752.4</v>
      </c>
      <c r="H18" s="19" t="s">
        <v>677</v>
      </c>
      <c r="I18" s="22" t="n">
        <v>3897.6</v>
      </c>
      <c r="J18" s="22" t="n">
        <v>7047.6</v>
      </c>
      <c r="K18" s="46" t="n">
        <f aca="false">IFERROR(AVERAGE(I18:J18)/G18,"")</f>
        <v>0.561154177433247</v>
      </c>
      <c r="L18" s="19" t="s">
        <v>22</v>
      </c>
      <c r="M18" s="19" t="s">
        <v>678</v>
      </c>
      <c r="N18" s="19" t="s">
        <v>94</v>
      </c>
    </row>
    <row r="19" customFormat="false" ht="64.9" hidden="false" customHeight="false" outlineLevel="0" collapsed="false">
      <c r="A19" s="19" t="s">
        <v>690</v>
      </c>
      <c r="B19" s="19" t="s">
        <v>2030</v>
      </c>
      <c r="C19" s="19" t="s">
        <v>30</v>
      </c>
      <c r="D19" s="45" t="n">
        <v>210</v>
      </c>
      <c r="E19" s="19" t="s">
        <v>228</v>
      </c>
      <c r="F19" s="22" t="n">
        <v>35</v>
      </c>
      <c r="G19" s="22" t="n">
        <v>7350</v>
      </c>
      <c r="H19" s="19" t="s">
        <v>695</v>
      </c>
      <c r="I19" s="22" t="n">
        <v>5250</v>
      </c>
      <c r="J19" s="22" t="n">
        <v>11550</v>
      </c>
      <c r="K19" s="46" t="n">
        <f aca="false">IFERROR(AVERAGE(I19:J19)/G19,"")</f>
        <v>1.14285714285714</v>
      </c>
      <c r="L19" s="19" t="s">
        <v>22</v>
      </c>
      <c r="M19" s="19" t="s">
        <v>696</v>
      </c>
      <c r="N19" s="19" t="s">
        <v>94</v>
      </c>
    </row>
    <row r="20" customFormat="false" ht="64.9" hidden="false" customHeight="false" outlineLevel="0" collapsed="false">
      <c r="A20" s="19" t="s">
        <v>752</v>
      </c>
      <c r="B20" s="19" t="s">
        <v>2031</v>
      </c>
      <c r="C20" s="19" t="s">
        <v>30</v>
      </c>
      <c r="D20" s="45" t="n">
        <v>122</v>
      </c>
      <c r="E20" s="19" t="s">
        <v>119</v>
      </c>
      <c r="F20" s="22" t="n">
        <v>150</v>
      </c>
      <c r="G20" s="22" t="n">
        <v>18300</v>
      </c>
      <c r="H20" s="19" t="s">
        <v>757</v>
      </c>
      <c r="I20" s="22" t="n">
        <v>8200</v>
      </c>
      <c r="J20" s="22" t="n">
        <v>18040</v>
      </c>
      <c r="K20" s="46" t="n">
        <f aca="false">IFERROR(AVERAGE(I20:J20)/G20,"")</f>
        <v>0.716939890710383</v>
      </c>
      <c r="L20" s="19" t="s">
        <v>22</v>
      </c>
      <c r="M20" s="19" t="s">
        <v>758</v>
      </c>
      <c r="N20" s="19" t="s">
        <v>94</v>
      </c>
    </row>
    <row r="21" customFormat="false" ht="64.9" hidden="false" customHeight="false" outlineLevel="0" collapsed="false">
      <c r="A21" s="19" t="s">
        <v>787</v>
      </c>
      <c r="B21" s="19" t="s">
        <v>2032</v>
      </c>
      <c r="C21" s="19" t="s">
        <v>30</v>
      </c>
      <c r="D21" s="45"/>
      <c r="E21" s="19"/>
      <c r="F21" s="22"/>
      <c r="G21" s="22"/>
      <c r="H21" s="19" t="s">
        <v>792</v>
      </c>
      <c r="I21" s="22" t="n">
        <v>1879</v>
      </c>
      <c r="J21" s="22" t="n">
        <v>4379</v>
      </c>
      <c r="K21" s="46" t="str">
        <f aca="false">IFERROR(AVERAGE(I21:J21)/G21,"")</f>
        <v/>
      </c>
      <c r="L21" s="19" t="s">
        <v>22</v>
      </c>
      <c r="M21" s="19" t="s">
        <v>793</v>
      </c>
      <c r="N21" s="19" t="s">
        <v>94</v>
      </c>
    </row>
    <row r="22" customFormat="false" ht="64.9" hidden="false" customHeight="false" outlineLevel="0" collapsed="false">
      <c r="A22" s="19" t="s">
        <v>813</v>
      </c>
      <c r="B22" s="19" t="s">
        <v>2033</v>
      </c>
      <c r="C22" s="19" t="s">
        <v>30</v>
      </c>
      <c r="D22" s="45"/>
      <c r="E22" s="19"/>
      <c r="F22" s="22"/>
      <c r="G22" s="22"/>
      <c r="H22" s="19" t="s">
        <v>818</v>
      </c>
      <c r="I22" s="22" t="n">
        <v>5400</v>
      </c>
      <c r="J22" s="22" t="n">
        <v>12600</v>
      </c>
      <c r="K22" s="46" t="str">
        <f aca="false">IFERROR(AVERAGE(I22:J22)/G22,"")</f>
        <v/>
      </c>
      <c r="L22" s="19" t="s">
        <v>22</v>
      </c>
      <c r="M22" s="19" t="s">
        <v>819</v>
      </c>
      <c r="N22" s="19" t="s">
        <v>94</v>
      </c>
    </row>
    <row r="23" customFormat="false" ht="64.9" hidden="false" customHeight="false" outlineLevel="0" collapsed="false">
      <c r="A23" s="19" t="s">
        <v>823</v>
      </c>
      <c r="B23" s="19" t="s">
        <v>2034</v>
      </c>
      <c r="C23" s="19" t="s">
        <v>30</v>
      </c>
      <c r="D23" s="45" t="n">
        <v>30.61</v>
      </c>
      <c r="E23" s="19" t="s">
        <v>138</v>
      </c>
      <c r="F23" s="22" t="n">
        <v>5.5</v>
      </c>
      <c r="G23" s="22" t="n">
        <v>168.36</v>
      </c>
      <c r="H23" s="19" t="s">
        <v>828</v>
      </c>
      <c r="I23" s="22" t="n">
        <v>1925.58</v>
      </c>
      <c r="J23" s="22" t="n">
        <v>6258.15</v>
      </c>
      <c r="K23" s="46" t="n">
        <f aca="false">IFERROR(AVERAGE(I23:J23)/G23,"")</f>
        <v>24.3042587312901</v>
      </c>
      <c r="L23" s="19" t="s">
        <v>22</v>
      </c>
      <c r="M23" s="19" t="s">
        <v>829</v>
      </c>
      <c r="N23" s="19" t="s">
        <v>211</v>
      </c>
    </row>
    <row r="24" customFormat="false" ht="77.6" hidden="false" customHeight="false" outlineLevel="0" collapsed="false">
      <c r="A24" s="19" t="s">
        <v>859</v>
      </c>
      <c r="B24" s="19" t="s">
        <v>2035</v>
      </c>
      <c r="C24" s="19" t="s">
        <v>30</v>
      </c>
      <c r="D24" s="45"/>
      <c r="E24" s="19"/>
      <c r="F24" s="22"/>
      <c r="G24" s="22"/>
      <c r="H24" s="19" t="s">
        <v>864</v>
      </c>
      <c r="I24" s="22" t="n">
        <v>2250</v>
      </c>
      <c r="J24" s="22" t="n">
        <v>6750</v>
      </c>
      <c r="K24" s="46" t="str">
        <f aca="false">IFERROR(AVERAGE(I24:J24)/G24,"")</f>
        <v/>
      </c>
      <c r="L24" s="19" t="s">
        <v>22</v>
      </c>
      <c r="M24" s="19" t="s">
        <v>865</v>
      </c>
      <c r="N24" s="19" t="s">
        <v>94</v>
      </c>
    </row>
    <row r="25" customFormat="false" ht="64.9" hidden="false" customHeight="false" outlineLevel="0" collapsed="false">
      <c r="A25" s="19" t="s">
        <v>868</v>
      </c>
      <c r="B25" s="19" t="s">
        <v>2036</v>
      </c>
      <c r="C25" s="19" t="s">
        <v>30</v>
      </c>
      <c r="D25" s="45" t="n">
        <v>448.52</v>
      </c>
      <c r="E25" s="19" t="s">
        <v>138</v>
      </c>
      <c r="F25" s="22" t="n">
        <v>5.5</v>
      </c>
      <c r="G25" s="22" t="n">
        <v>2466.86</v>
      </c>
      <c r="H25" s="19" t="s">
        <v>872</v>
      </c>
      <c r="I25" s="22" t="n">
        <v>2915.38</v>
      </c>
      <c r="J25" s="22" t="n">
        <v>5606.5</v>
      </c>
      <c r="K25" s="46" t="n">
        <f aca="false">IFERROR(AVERAGE(I25:J25)/G25,"")</f>
        <v>1.72727272727273</v>
      </c>
      <c r="L25" s="19" t="s">
        <v>22</v>
      </c>
      <c r="M25" s="19" t="s">
        <v>873</v>
      </c>
      <c r="N25" s="19" t="s">
        <v>94</v>
      </c>
    </row>
    <row r="26" customFormat="false" ht="64.9" hidden="false" customHeight="false" outlineLevel="0" collapsed="false">
      <c r="A26" s="19" t="s">
        <v>885</v>
      </c>
      <c r="B26" s="19" t="s">
        <v>2037</v>
      </c>
      <c r="C26" s="19" t="s">
        <v>30</v>
      </c>
      <c r="D26" s="45" t="n">
        <v>5</v>
      </c>
      <c r="E26" s="19" t="s">
        <v>165</v>
      </c>
      <c r="F26" s="22" t="n">
        <v>520.82</v>
      </c>
      <c r="G26" s="22" t="n">
        <v>2604.11</v>
      </c>
      <c r="H26" s="19" t="s">
        <v>890</v>
      </c>
      <c r="I26" s="22" t="n">
        <v>1495.9</v>
      </c>
      <c r="J26" s="22" t="n">
        <v>3495.9</v>
      </c>
      <c r="K26" s="46" t="n">
        <f aca="false">IFERROR(AVERAGE(I26:J26)/G26,"")</f>
        <v>0.958446455794878</v>
      </c>
      <c r="L26" s="19" t="s">
        <v>22</v>
      </c>
      <c r="M26" s="19" t="s">
        <v>891</v>
      </c>
      <c r="N26" s="19" t="s">
        <v>94</v>
      </c>
    </row>
    <row r="27" customFormat="false" ht="77.6" hidden="false" customHeight="false" outlineLevel="0" collapsed="false">
      <c r="A27" s="19" t="s">
        <v>903</v>
      </c>
      <c r="B27" s="19" t="s">
        <v>2038</v>
      </c>
      <c r="C27" s="19" t="s">
        <v>30</v>
      </c>
      <c r="D27" s="45"/>
      <c r="E27" s="19"/>
      <c r="F27" s="22"/>
      <c r="G27" s="22"/>
      <c r="H27" s="19" t="s">
        <v>908</v>
      </c>
      <c r="I27" s="22" t="n">
        <v>997.76</v>
      </c>
      <c r="J27" s="22" t="n">
        <v>1917.56</v>
      </c>
      <c r="K27" s="46" t="str">
        <f aca="false">IFERROR(AVERAGE(I27:J27)/G27,"")</f>
        <v/>
      </c>
      <c r="L27" s="19" t="s">
        <v>22</v>
      </c>
      <c r="M27" s="19" t="s">
        <v>909</v>
      </c>
      <c r="N27" s="19" t="s">
        <v>94</v>
      </c>
    </row>
    <row r="28" customFormat="false" ht="90.25" hidden="false" customHeight="false" outlineLevel="0" collapsed="false">
      <c r="A28" s="19" t="s">
        <v>947</v>
      </c>
      <c r="B28" s="19" t="s">
        <v>949</v>
      </c>
      <c r="C28" s="19" t="s">
        <v>30</v>
      </c>
      <c r="D28" s="45" t="n">
        <v>1</v>
      </c>
      <c r="E28" s="19" t="s">
        <v>165</v>
      </c>
      <c r="F28" s="22" t="n">
        <v>2648.86</v>
      </c>
      <c r="G28" s="22" t="n">
        <v>2648.86</v>
      </c>
      <c r="H28" s="19" t="s">
        <v>952</v>
      </c>
      <c r="I28" s="22" t="n">
        <v>1351.14</v>
      </c>
      <c r="J28" s="22" t="n">
        <v>4351.14</v>
      </c>
      <c r="K28" s="46" t="n">
        <f aca="false">IFERROR(AVERAGE(I28:J28)/G28,"")</f>
        <v>1.0763649267987</v>
      </c>
      <c r="L28" s="19" t="s">
        <v>22</v>
      </c>
      <c r="M28" s="19" t="s">
        <v>953</v>
      </c>
      <c r="N28" s="19" t="s">
        <v>211</v>
      </c>
    </row>
    <row r="29" customFormat="false" ht="77.6" hidden="false" customHeight="false" outlineLevel="0" collapsed="false">
      <c r="A29" s="19" t="s">
        <v>1001</v>
      </c>
      <c r="B29" s="19" t="s">
        <v>1003</v>
      </c>
      <c r="C29" s="19" t="s">
        <v>30</v>
      </c>
      <c r="D29" s="45" t="n">
        <v>1</v>
      </c>
      <c r="E29" s="19" t="s">
        <v>165</v>
      </c>
      <c r="F29" s="22" t="n">
        <v>100</v>
      </c>
      <c r="G29" s="22" t="n">
        <v>100</v>
      </c>
      <c r="H29" s="19" t="s">
        <v>1006</v>
      </c>
      <c r="I29" s="22" t="n">
        <v>1300</v>
      </c>
      <c r="J29" s="22" t="n">
        <v>3300</v>
      </c>
      <c r="K29" s="46" t="n">
        <f aca="false">IFERROR(AVERAGE(I29:J29)/G29,"")</f>
        <v>23</v>
      </c>
      <c r="L29" s="19" t="s">
        <v>22</v>
      </c>
      <c r="M29" s="19" t="s">
        <v>1007</v>
      </c>
      <c r="N29" s="19" t="s">
        <v>94</v>
      </c>
    </row>
    <row r="30" customFormat="false" ht="90.25" hidden="false" customHeight="false" outlineLevel="0" collapsed="false">
      <c r="A30" s="19" t="s">
        <v>1047</v>
      </c>
      <c r="B30" s="19" t="s">
        <v>1049</v>
      </c>
      <c r="C30" s="19" t="s">
        <v>30</v>
      </c>
      <c r="D30" s="45" t="n">
        <v>6</v>
      </c>
      <c r="E30" s="19" t="s">
        <v>165</v>
      </c>
      <c r="F30" s="22" t="n">
        <v>236.22</v>
      </c>
      <c r="G30" s="22" t="n">
        <v>1417.32</v>
      </c>
      <c r="H30" s="19" t="s">
        <v>1052</v>
      </c>
      <c r="I30" s="22" t="n">
        <v>982.68</v>
      </c>
      <c r="J30" s="22" t="n">
        <v>3982.68</v>
      </c>
      <c r="K30" s="46" t="n">
        <f aca="false">IFERROR(AVERAGE(I30:J30)/G30,"")</f>
        <v>1.75167217001101</v>
      </c>
      <c r="L30" s="19" t="s">
        <v>22</v>
      </c>
      <c r="M30" s="19" t="s">
        <v>1053</v>
      </c>
      <c r="N30" s="19" t="s">
        <v>211</v>
      </c>
    </row>
    <row r="31" customFormat="false" ht="141" hidden="false" customHeight="false" outlineLevel="0" collapsed="false">
      <c r="A31" s="19" t="s">
        <v>1119</v>
      </c>
      <c r="B31" s="19" t="s">
        <v>2039</v>
      </c>
      <c r="C31" s="19" t="s">
        <v>30</v>
      </c>
      <c r="D31" s="45" t="n">
        <v>15</v>
      </c>
      <c r="E31" s="19" t="s">
        <v>165</v>
      </c>
      <c r="F31" s="22" t="n">
        <v>120</v>
      </c>
      <c r="G31" s="22" t="n">
        <v>1800</v>
      </c>
      <c r="H31" s="19" t="s">
        <v>1124</v>
      </c>
      <c r="I31" s="22" t="n">
        <v>4840</v>
      </c>
      <c r="J31" s="22" t="n">
        <v>15820</v>
      </c>
      <c r="K31" s="46" t="n">
        <f aca="false">IFERROR(AVERAGE(I31:J31)/G31,"")</f>
        <v>5.73888888888889</v>
      </c>
      <c r="L31" s="19" t="s">
        <v>22</v>
      </c>
      <c r="M31" s="19" t="s">
        <v>1125</v>
      </c>
      <c r="N31" s="19" t="s">
        <v>211</v>
      </c>
    </row>
    <row r="32" customFormat="false" ht="64.9" hidden="false" customHeight="false" outlineLevel="0" collapsed="false">
      <c r="A32" s="19" t="s">
        <v>1161</v>
      </c>
      <c r="B32" s="19" t="s">
        <v>2040</v>
      </c>
      <c r="C32" s="19" t="s">
        <v>30</v>
      </c>
      <c r="D32" s="45" t="n">
        <v>72.14</v>
      </c>
      <c r="E32" s="19" t="s">
        <v>138</v>
      </c>
      <c r="F32" s="22" t="n">
        <v>25</v>
      </c>
      <c r="G32" s="22" t="n">
        <v>1803.5</v>
      </c>
      <c r="H32" s="19" t="s">
        <v>1165</v>
      </c>
      <c r="I32" s="22" t="n">
        <v>360.7</v>
      </c>
      <c r="J32" s="22" t="n">
        <v>937.82</v>
      </c>
      <c r="K32" s="46" t="n">
        <f aca="false">IFERROR(AVERAGE(I32:J32)/G32,"")</f>
        <v>0.36</v>
      </c>
      <c r="L32" s="19" t="s">
        <v>23</v>
      </c>
      <c r="M32" s="19" t="s">
        <v>1166</v>
      </c>
      <c r="N32" s="19" t="s">
        <v>94</v>
      </c>
    </row>
    <row r="33" customFormat="false" ht="26.85" hidden="false" customHeight="false" outlineLevel="0" collapsed="false">
      <c r="A33" s="19" t="s">
        <v>1224</v>
      </c>
      <c r="B33" s="19" t="s">
        <v>2041</v>
      </c>
      <c r="C33" s="19" t="s">
        <v>30</v>
      </c>
      <c r="D33" s="45" t="n">
        <v>130</v>
      </c>
      <c r="E33" s="19" t="s">
        <v>228</v>
      </c>
      <c r="F33" s="22" t="n">
        <v>8</v>
      </c>
      <c r="G33" s="22" t="n">
        <v>1040</v>
      </c>
      <c r="H33" s="19" t="s">
        <v>1229</v>
      </c>
      <c r="I33" s="22" t="n">
        <v>2210</v>
      </c>
      <c r="J33" s="22" t="n">
        <v>5460</v>
      </c>
      <c r="K33" s="46" t="n">
        <f aca="false">IFERROR(AVERAGE(I33:J33)/G33,"")</f>
        <v>3.6875</v>
      </c>
      <c r="L33" s="19" t="s">
        <v>23</v>
      </c>
      <c r="M33" s="19" t="s">
        <v>1230</v>
      </c>
      <c r="N33" s="19" t="s">
        <v>94</v>
      </c>
    </row>
    <row r="34" customFormat="false" ht="64.9" hidden="false" customHeight="false" outlineLevel="0" collapsed="false">
      <c r="A34" s="19" t="s">
        <v>1313</v>
      </c>
      <c r="B34" s="19" t="s">
        <v>2042</v>
      </c>
      <c r="C34" s="19" t="s">
        <v>30</v>
      </c>
      <c r="D34" s="45" t="n">
        <v>2</v>
      </c>
      <c r="E34" s="19" t="s">
        <v>165</v>
      </c>
      <c r="F34" s="22" t="n">
        <v>471.36</v>
      </c>
      <c r="G34" s="22" t="n">
        <v>942.72</v>
      </c>
      <c r="H34" s="19" t="s">
        <v>1318</v>
      </c>
      <c r="I34" s="22" t="n">
        <v>477.34</v>
      </c>
      <c r="J34" s="22" t="n">
        <v>957.9</v>
      </c>
      <c r="K34" s="46" t="n">
        <f aca="false">IFERROR(AVERAGE(I34:J34)/G34,"")</f>
        <v>0.761222844534963</v>
      </c>
      <c r="L34" s="19" t="s">
        <v>23</v>
      </c>
      <c r="M34" s="19" t="s">
        <v>1319</v>
      </c>
      <c r="N34" s="19" t="s">
        <v>211</v>
      </c>
    </row>
    <row r="35" customFormat="false" ht="64.9" hidden="false" customHeight="false" outlineLevel="0" collapsed="false">
      <c r="A35" s="19" t="s">
        <v>1410</v>
      </c>
      <c r="B35" s="19" t="s">
        <v>2043</v>
      </c>
      <c r="C35" s="19" t="s">
        <v>30</v>
      </c>
      <c r="D35" s="45"/>
      <c r="E35" s="19"/>
      <c r="F35" s="22"/>
      <c r="G35" s="22"/>
      <c r="H35" s="19" t="s">
        <v>1415</v>
      </c>
      <c r="I35" s="22" t="n">
        <v>207</v>
      </c>
      <c r="J35" s="22" t="n">
        <v>667</v>
      </c>
      <c r="K35" s="46" t="str">
        <f aca="false">IFERROR(AVERAGE(I35:J35)/G35,"")</f>
        <v/>
      </c>
      <c r="L35" s="19" t="s">
        <v>23</v>
      </c>
      <c r="M35" s="19" t="s">
        <v>1416</v>
      </c>
      <c r="N35" s="19" t="s">
        <v>94</v>
      </c>
    </row>
    <row r="36" customFormat="false" ht="90.25" hidden="false" customHeight="false" outlineLevel="0" collapsed="false">
      <c r="A36" s="19" t="s">
        <v>1419</v>
      </c>
      <c r="B36" s="19" t="s">
        <v>2044</v>
      </c>
      <c r="C36" s="19" t="s">
        <v>30</v>
      </c>
      <c r="D36" s="45" t="n">
        <v>39.5</v>
      </c>
      <c r="E36" s="19" t="s">
        <v>138</v>
      </c>
      <c r="F36" s="22" t="n">
        <v>5.5</v>
      </c>
      <c r="G36" s="22" t="n">
        <v>217.25</v>
      </c>
      <c r="H36" s="19" t="s">
        <v>1424</v>
      </c>
      <c r="I36" s="22" t="n">
        <v>256.75</v>
      </c>
      <c r="J36" s="22" t="n">
        <v>493.75</v>
      </c>
      <c r="K36" s="46" t="n">
        <f aca="false">IFERROR(AVERAGE(I36:J36)/G36,"")</f>
        <v>1.72727272727273</v>
      </c>
      <c r="L36" s="19" t="s">
        <v>23</v>
      </c>
      <c r="M36" s="19" t="s">
        <v>1425</v>
      </c>
      <c r="N36" s="19" t="s">
        <v>211</v>
      </c>
    </row>
    <row r="37" customFormat="false" ht="77.6" hidden="false" customHeight="false" outlineLevel="0" collapsed="false">
      <c r="A37" s="19" t="s">
        <v>1428</v>
      </c>
      <c r="B37" s="19" t="s">
        <v>2045</v>
      </c>
      <c r="C37" s="19" t="s">
        <v>31</v>
      </c>
      <c r="D37" s="45" t="n">
        <v>37.91</v>
      </c>
      <c r="E37" s="19" t="s">
        <v>312</v>
      </c>
      <c r="F37" s="22" t="n">
        <v>51.9</v>
      </c>
      <c r="G37" s="22" t="n">
        <v>1967.53</v>
      </c>
      <c r="H37" s="19" t="s">
        <v>1433</v>
      </c>
      <c r="I37" s="22" t="n">
        <v>-640.68</v>
      </c>
      <c r="J37" s="22" t="n">
        <v>-1019.78</v>
      </c>
      <c r="K37" s="46" t="n">
        <f aca="false">IFERROR(AVERAGE(I37:J37)/G37,"")</f>
        <v>-0.421965611706048</v>
      </c>
      <c r="L37" s="19" t="s">
        <v>23</v>
      </c>
      <c r="M37" s="19" t="s">
        <v>1434</v>
      </c>
      <c r="N37" s="19" t="s">
        <v>211</v>
      </c>
    </row>
    <row r="38" customFormat="false" ht="64.9" hidden="false" customHeight="false" outlineLevel="0" collapsed="false">
      <c r="A38" s="19" t="s">
        <v>1470</v>
      </c>
      <c r="B38" s="19" t="s">
        <v>2046</v>
      </c>
      <c r="C38" s="19" t="s">
        <v>30</v>
      </c>
      <c r="D38" s="45" t="n">
        <v>1</v>
      </c>
      <c r="E38" s="19" t="s">
        <v>165</v>
      </c>
      <c r="F38" s="22" t="n">
        <v>595.47</v>
      </c>
      <c r="G38" s="22" t="n">
        <v>595.47</v>
      </c>
      <c r="H38" s="19" t="s">
        <v>1475</v>
      </c>
      <c r="I38" s="22" t="n">
        <v>404.53</v>
      </c>
      <c r="J38" s="22" t="n">
        <v>1404.53</v>
      </c>
      <c r="K38" s="46" t="n">
        <f aca="false">IFERROR(AVERAGE(I38:J38)/G38,"")</f>
        <v>1.5190185903572</v>
      </c>
      <c r="L38" s="19" t="s">
        <v>23</v>
      </c>
      <c r="M38" s="19" t="s">
        <v>1476</v>
      </c>
      <c r="N38" s="19" t="s">
        <v>94</v>
      </c>
    </row>
    <row r="39" customFormat="false" ht="64.9" hidden="false" customHeight="false" outlineLevel="0" collapsed="false">
      <c r="A39" s="19" t="s">
        <v>1479</v>
      </c>
      <c r="B39" s="19" t="s">
        <v>2047</v>
      </c>
      <c r="C39" s="19" t="s">
        <v>30</v>
      </c>
      <c r="D39" s="45" t="n">
        <v>1</v>
      </c>
      <c r="E39" s="19" t="s">
        <v>165</v>
      </c>
      <c r="F39" s="22" t="n">
        <v>150</v>
      </c>
      <c r="G39" s="22" t="n">
        <v>150</v>
      </c>
      <c r="H39" s="19" t="s">
        <v>1484</v>
      </c>
      <c r="I39" s="22" t="n">
        <v>800</v>
      </c>
      <c r="J39" s="22" t="n">
        <v>2600</v>
      </c>
      <c r="K39" s="46" t="n">
        <f aca="false">IFERROR(AVERAGE(I39:J39)/G39,"")</f>
        <v>11.3333333333333</v>
      </c>
      <c r="L39" s="19" t="s">
        <v>23</v>
      </c>
      <c r="M39" s="19" t="s">
        <v>1485</v>
      </c>
      <c r="N39" s="19" t="s">
        <v>94</v>
      </c>
    </row>
    <row r="40" customFormat="false" ht="77.6" hidden="false" customHeight="false" outlineLevel="0" collapsed="false">
      <c r="A40" s="19" t="s">
        <v>1522</v>
      </c>
      <c r="B40" s="19" t="s">
        <v>2048</v>
      </c>
      <c r="C40" s="19" t="s">
        <v>30</v>
      </c>
      <c r="D40" s="45" t="n">
        <v>1</v>
      </c>
      <c r="E40" s="19" t="s">
        <v>1526</v>
      </c>
      <c r="F40" s="22" t="n">
        <v>100</v>
      </c>
      <c r="G40" s="22" t="n">
        <v>100</v>
      </c>
      <c r="H40" s="19" t="s">
        <v>1527</v>
      </c>
      <c r="I40" s="22" t="n">
        <v>400</v>
      </c>
      <c r="J40" s="22" t="n">
        <v>1400</v>
      </c>
      <c r="K40" s="46" t="n">
        <f aca="false">IFERROR(AVERAGE(I40:J40)/G40,"")</f>
        <v>9</v>
      </c>
      <c r="L40" s="19" t="s">
        <v>23</v>
      </c>
      <c r="M40" s="19" t="s">
        <v>1528</v>
      </c>
      <c r="N40" s="19" t="s">
        <v>94</v>
      </c>
    </row>
    <row r="41" customFormat="false" ht="64.9" hidden="false" customHeight="false" outlineLevel="0" collapsed="false">
      <c r="A41" s="19" t="s">
        <v>1567</v>
      </c>
      <c r="B41" s="19" t="s">
        <v>2049</v>
      </c>
      <c r="C41" s="19" t="s">
        <v>30</v>
      </c>
      <c r="D41" s="45" t="n">
        <v>1</v>
      </c>
      <c r="E41" s="19" t="s">
        <v>1526</v>
      </c>
      <c r="F41" s="22" t="n">
        <v>200</v>
      </c>
      <c r="G41" s="22" t="n">
        <v>200</v>
      </c>
      <c r="H41" s="19" t="s">
        <v>1572</v>
      </c>
      <c r="I41" s="22" t="n">
        <v>500</v>
      </c>
      <c r="J41" s="22" t="n">
        <v>1800</v>
      </c>
      <c r="K41" s="46" t="n">
        <f aca="false">IFERROR(AVERAGE(I41:J41)/G41,"")</f>
        <v>5.75</v>
      </c>
      <c r="L41" s="19" t="s">
        <v>23</v>
      </c>
      <c r="M41" s="19" t="s">
        <v>1573</v>
      </c>
      <c r="N41" s="19" t="s">
        <v>94</v>
      </c>
    </row>
    <row r="42" customFormat="false" ht="52.2" hidden="false" customHeight="false" outlineLevel="0" collapsed="false">
      <c r="A42" s="19" t="s">
        <v>1639</v>
      </c>
      <c r="B42" s="19" t="s">
        <v>1641</v>
      </c>
      <c r="C42" s="19" t="s">
        <v>30</v>
      </c>
      <c r="D42" s="45" t="n">
        <v>1</v>
      </c>
      <c r="E42" s="19" t="s">
        <v>165</v>
      </c>
      <c r="F42" s="22" t="n">
        <v>100</v>
      </c>
      <c r="G42" s="22" t="n">
        <v>100</v>
      </c>
      <c r="H42" s="19" t="s">
        <v>1644</v>
      </c>
      <c r="I42" s="22" t="n">
        <v>900</v>
      </c>
      <c r="J42" s="22" t="n">
        <v>1900</v>
      </c>
      <c r="K42" s="46" t="n">
        <f aca="false">IFERROR(AVERAGE(I42:J42)/G42,"")</f>
        <v>14</v>
      </c>
      <c r="L42" s="19" t="s">
        <v>23</v>
      </c>
      <c r="M42" s="19" t="s">
        <v>1645</v>
      </c>
      <c r="N42" s="19" t="s">
        <v>94</v>
      </c>
    </row>
    <row r="43" customFormat="false" ht="77.6" hidden="false" customHeight="false" outlineLevel="0" collapsed="false">
      <c r="A43" s="19" t="s">
        <v>1690</v>
      </c>
      <c r="B43" s="19" t="s">
        <v>1003</v>
      </c>
      <c r="C43" s="19" t="s">
        <v>30</v>
      </c>
      <c r="D43" s="45" t="n">
        <v>1</v>
      </c>
      <c r="E43" s="19" t="s">
        <v>165</v>
      </c>
      <c r="F43" s="22" t="n">
        <v>100</v>
      </c>
      <c r="G43" s="22" t="n">
        <v>100</v>
      </c>
      <c r="H43" s="19" t="s">
        <v>1695</v>
      </c>
      <c r="I43" s="22" t="n">
        <v>700</v>
      </c>
      <c r="J43" s="22" t="n">
        <v>2000</v>
      </c>
      <c r="K43" s="46" t="n">
        <f aca="false">IFERROR(AVERAGE(I43:J43)/G43,"")</f>
        <v>13.5</v>
      </c>
      <c r="L43" s="19" t="s">
        <v>23</v>
      </c>
      <c r="M43" s="19" t="s">
        <v>1696</v>
      </c>
      <c r="N43" s="19" t="s">
        <v>94</v>
      </c>
    </row>
    <row r="44" customFormat="false" ht="77.6" hidden="false" customHeight="false" outlineLevel="0" collapsed="false">
      <c r="A44" s="19" t="s">
        <v>1824</v>
      </c>
      <c r="B44" s="19" t="s">
        <v>2050</v>
      </c>
      <c r="C44" s="19" t="s">
        <v>30</v>
      </c>
      <c r="D44" s="45" t="n">
        <v>2</v>
      </c>
      <c r="E44" s="19" t="s">
        <v>165</v>
      </c>
      <c r="F44" s="22" t="n">
        <v>150</v>
      </c>
      <c r="G44" s="22" t="n">
        <v>300</v>
      </c>
      <c r="H44" s="19" t="s">
        <v>1829</v>
      </c>
      <c r="I44" s="22" t="n">
        <v>500</v>
      </c>
      <c r="J44" s="22" t="n">
        <v>2100</v>
      </c>
      <c r="K44" s="46" t="n">
        <f aca="false">IFERROR(AVERAGE(I44:J44)/G44,"")</f>
        <v>4.33333333333333</v>
      </c>
      <c r="L44" s="19" t="s">
        <v>23</v>
      </c>
      <c r="M44" s="19" t="s">
        <v>1830</v>
      </c>
      <c r="N44" s="19" t="s">
        <v>94</v>
      </c>
    </row>
    <row r="45" customFormat="false" ht="77.6" hidden="false" customHeight="false" outlineLevel="0" collapsed="false">
      <c r="A45" s="19" t="s">
        <v>1851</v>
      </c>
      <c r="B45" s="19" t="s">
        <v>2051</v>
      </c>
      <c r="C45" s="19" t="s">
        <v>30</v>
      </c>
      <c r="D45" s="45" t="n">
        <v>65</v>
      </c>
      <c r="E45" s="19" t="s">
        <v>165</v>
      </c>
      <c r="F45" s="22" t="n">
        <v>2</v>
      </c>
      <c r="G45" s="22" t="n">
        <v>130</v>
      </c>
      <c r="H45" s="19" t="s">
        <v>1856</v>
      </c>
      <c r="I45" s="22" t="n">
        <v>520</v>
      </c>
      <c r="J45" s="22" t="n">
        <v>1070</v>
      </c>
      <c r="K45" s="46" t="n">
        <f aca="false">IFERROR(AVERAGE(I45:J45)/G45,"")</f>
        <v>6.11538461538462</v>
      </c>
      <c r="L45" s="19" t="s">
        <v>23</v>
      </c>
      <c r="M45" s="19" t="s">
        <v>1857</v>
      </c>
      <c r="N45" s="19" t="s">
        <v>94</v>
      </c>
    </row>
  </sheetData>
  <autoFilter ref="A4:N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
    <col collapsed="false" customWidth="true" hidden="false" outlineLevel="0" max="3" min="3" style="0" width="34"/>
    <col collapsed="false" customWidth="true" hidden="false" outlineLevel="0" max="4" min="4" style="0" width="36"/>
    <col collapsed="false" customWidth="true" hidden="false" outlineLevel="0" max="5" min="5" style="0" width="40"/>
    <col collapsed="false" customWidth="true" hidden="false" outlineLevel="0" max="7" min="6" style="0" width="13"/>
    <col collapsed="false" customWidth="true" hidden="false" outlineLevel="0" max="8" min="8" style="0" width="10"/>
    <col collapsed="false" customWidth="true" hidden="false" outlineLevel="0" max="9" min="9" style="0" width="44"/>
    <col collapsed="false" customWidth="true" hidden="false" outlineLevel="0" max="10" min="10" style="0" width="40"/>
    <col collapsed="false" customWidth="true" hidden="false" outlineLevel="0" max="11" min="11" style="0" width="12"/>
  </cols>
  <sheetData>
    <row r="1" customFormat="false" ht="17.35" hidden="false" customHeight="false" outlineLevel="0" collapsed="false">
      <c r="A1" s="1" t="s">
        <v>2052</v>
      </c>
      <c r="B1" s="2"/>
      <c r="C1" s="2"/>
      <c r="D1" s="2"/>
      <c r="E1" s="2"/>
      <c r="F1" s="2"/>
      <c r="G1" s="2"/>
      <c r="H1" s="2"/>
      <c r="I1" s="2"/>
      <c r="J1" s="2"/>
      <c r="K1" s="2"/>
    </row>
    <row r="2" customFormat="false" ht="15" hidden="false" customHeight="false" outlineLevel="0" collapsed="false">
      <c r="A2" s="3" t="s">
        <v>2053</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4" customFormat="false" ht="36" hidden="false" customHeight="true" outlineLevel="0" collapsed="false">
      <c r="A4" s="17" t="s">
        <v>2054</v>
      </c>
      <c r="B4" s="17" t="s">
        <v>64</v>
      </c>
      <c r="C4" s="17" t="s">
        <v>2055</v>
      </c>
      <c r="D4" s="17" t="s">
        <v>2056</v>
      </c>
      <c r="E4" s="17" t="s">
        <v>1958</v>
      </c>
      <c r="F4" s="17" t="s">
        <v>25</v>
      </c>
      <c r="G4" s="17" t="s">
        <v>26</v>
      </c>
      <c r="H4" s="17" t="s">
        <v>47</v>
      </c>
      <c r="I4" s="17" t="s">
        <v>76</v>
      </c>
      <c r="J4" s="17" t="s">
        <v>1920</v>
      </c>
      <c r="K4" s="17" t="s">
        <v>80</v>
      </c>
    </row>
    <row r="5" customFormat="false" ht="26.85" hidden="false" customHeight="false" outlineLevel="0" collapsed="false">
      <c r="A5" s="19" t="s">
        <v>84</v>
      </c>
      <c r="B5" s="19" t="s">
        <v>84</v>
      </c>
      <c r="C5" s="19" t="s">
        <v>107</v>
      </c>
      <c r="D5" s="19" t="s">
        <v>108</v>
      </c>
      <c r="E5" s="19" t="s">
        <v>109</v>
      </c>
      <c r="F5" s="22" t="n">
        <v>0</v>
      </c>
      <c r="G5" s="22" t="n">
        <v>0</v>
      </c>
      <c r="H5" s="19" t="s">
        <v>21</v>
      </c>
      <c r="I5" s="19" t="s">
        <v>110</v>
      </c>
      <c r="J5" s="19" t="s">
        <v>111</v>
      </c>
      <c r="K5" s="19" t="s">
        <v>94</v>
      </c>
    </row>
    <row r="6" customFormat="false" ht="115.65" hidden="false" customHeight="false" outlineLevel="0" collapsed="false">
      <c r="A6" s="19" t="s">
        <v>170</v>
      </c>
      <c r="B6" s="19" t="s">
        <v>113</v>
      </c>
      <c r="C6" s="19" t="s">
        <v>173</v>
      </c>
      <c r="D6" s="19" t="s">
        <v>174</v>
      </c>
      <c r="E6" s="19" t="s">
        <v>175</v>
      </c>
      <c r="F6" s="22" t="n">
        <v>8000</v>
      </c>
      <c r="G6" s="22" t="n">
        <v>18000</v>
      </c>
      <c r="H6" s="19" t="s">
        <v>21</v>
      </c>
      <c r="I6" s="19" t="s">
        <v>176</v>
      </c>
      <c r="J6" s="19" t="s">
        <v>177</v>
      </c>
      <c r="K6" s="19" t="s">
        <v>94</v>
      </c>
    </row>
    <row r="7" customFormat="false" ht="64.9" hidden="false" customHeight="false" outlineLevel="0" collapsed="false">
      <c r="A7" s="19" t="s">
        <v>179</v>
      </c>
      <c r="B7" s="19" t="s">
        <v>113</v>
      </c>
      <c r="C7" s="19" t="s">
        <v>181</v>
      </c>
      <c r="D7" s="19" t="s">
        <v>182</v>
      </c>
      <c r="E7" s="19" t="s">
        <v>183</v>
      </c>
      <c r="F7" s="22" t="n">
        <v>0</v>
      </c>
      <c r="G7" s="22" t="n">
        <v>0</v>
      </c>
      <c r="H7" s="19" t="s">
        <v>21</v>
      </c>
      <c r="I7" s="19" t="s">
        <v>184</v>
      </c>
      <c r="J7" s="19" t="s">
        <v>185</v>
      </c>
      <c r="K7" s="19" t="s">
        <v>94</v>
      </c>
    </row>
    <row r="8" customFormat="false" ht="128.35" hidden="false" customHeight="false" outlineLevel="0" collapsed="false">
      <c r="A8" s="19" t="s">
        <v>214</v>
      </c>
      <c r="B8" s="19" t="s">
        <v>213</v>
      </c>
      <c r="C8" s="19" t="s">
        <v>217</v>
      </c>
      <c r="D8" s="19" t="s">
        <v>218</v>
      </c>
      <c r="E8" s="19" t="s">
        <v>219</v>
      </c>
      <c r="F8" s="22" t="n">
        <v>0</v>
      </c>
      <c r="G8" s="22" t="n">
        <v>30000</v>
      </c>
      <c r="H8" s="19" t="s">
        <v>21</v>
      </c>
      <c r="I8" s="19" t="s">
        <v>220</v>
      </c>
      <c r="J8" s="19" t="s">
        <v>221</v>
      </c>
      <c r="K8" s="19" t="s">
        <v>94</v>
      </c>
    </row>
    <row r="9" customFormat="false" ht="141" hidden="false" customHeight="false" outlineLevel="0" collapsed="false">
      <c r="A9" s="19" t="s">
        <v>223</v>
      </c>
      <c r="B9" s="19" t="s">
        <v>213</v>
      </c>
      <c r="C9" s="19" t="s">
        <v>226</v>
      </c>
      <c r="D9" s="19" t="s">
        <v>227</v>
      </c>
      <c r="E9" s="19" t="s">
        <v>229</v>
      </c>
      <c r="F9" s="22" t="n">
        <v>0</v>
      </c>
      <c r="G9" s="22" t="n">
        <v>22000</v>
      </c>
      <c r="H9" s="19" t="s">
        <v>21</v>
      </c>
      <c r="I9" s="19" t="s">
        <v>230</v>
      </c>
      <c r="J9" s="19" t="s">
        <v>231</v>
      </c>
      <c r="K9" s="19" t="s">
        <v>211</v>
      </c>
    </row>
    <row r="10" customFormat="false" ht="102.95" hidden="false" customHeight="false" outlineLevel="0" collapsed="false">
      <c r="A10" s="19" t="s">
        <v>242</v>
      </c>
      <c r="B10" s="19" t="s">
        <v>213</v>
      </c>
      <c r="C10" s="19" t="s">
        <v>245</v>
      </c>
      <c r="D10" s="19" t="s">
        <v>246</v>
      </c>
      <c r="E10" s="19" t="s">
        <v>247</v>
      </c>
      <c r="F10" s="22" t="n">
        <v>8000</v>
      </c>
      <c r="G10" s="22" t="n">
        <v>18000</v>
      </c>
      <c r="H10" s="19" t="s">
        <v>21</v>
      </c>
      <c r="I10" s="19" t="s">
        <v>248</v>
      </c>
      <c r="J10" s="19" t="s">
        <v>249</v>
      </c>
      <c r="K10" s="19" t="s">
        <v>94</v>
      </c>
    </row>
    <row r="11" customFormat="false" ht="64.9" hidden="false" customHeight="false" outlineLevel="0" collapsed="false">
      <c r="A11" s="19" t="s">
        <v>269</v>
      </c>
      <c r="B11" s="19" t="s">
        <v>213</v>
      </c>
      <c r="C11" s="19" t="s">
        <v>272</v>
      </c>
      <c r="D11" s="19" t="s">
        <v>273</v>
      </c>
      <c r="E11" s="19" t="s">
        <v>274</v>
      </c>
      <c r="F11" s="22" t="n">
        <v>0</v>
      </c>
      <c r="G11" s="22" t="n">
        <v>0</v>
      </c>
      <c r="H11" s="19" t="s">
        <v>21</v>
      </c>
      <c r="I11" s="19" t="s">
        <v>275</v>
      </c>
      <c r="J11" s="19" t="s">
        <v>276</v>
      </c>
      <c r="K11" s="19" t="s">
        <v>94</v>
      </c>
    </row>
    <row r="12" customFormat="false" ht="52.2" hidden="false" customHeight="false" outlineLevel="0" collapsed="false">
      <c r="A12" s="19" t="s">
        <v>278</v>
      </c>
      <c r="B12" s="19" t="s">
        <v>213</v>
      </c>
      <c r="C12" s="19" t="s">
        <v>281</v>
      </c>
      <c r="D12" s="19" t="s">
        <v>282</v>
      </c>
      <c r="E12" s="19" t="s">
        <v>283</v>
      </c>
      <c r="F12" s="22" t="n">
        <v>0</v>
      </c>
      <c r="G12" s="22" t="n">
        <v>24000</v>
      </c>
      <c r="H12" s="19" t="s">
        <v>21</v>
      </c>
      <c r="I12" s="19" t="s">
        <v>284</v>
      </c>
      <c r="J12" s="19" t="s">
        <v>285</v>
      </c>
      <c r="K12" s="19" t="s">
        <v>94</v>
      </c>
    </row>
    <row r="13" customFormat="false" ht="52.2" hidden="false" customHeight="false" outlineLevel="0" collapsed="false">
      <c r="A13" s="19" t="s">
        <v>287</v>
      </c>
      <c r="B13" s="19" t="s">
        <v>213</v>
      </c>
      <c r="C13" s="19" t="s">
        <v>290</v>
      </c>
      <c r="D13" s="19" t="s">
        <v>291</v>
      </c>
      <c r="E13" s="19" t="s">
        <v>292</v>
      </c>
      <c r="F13" s="22" t="n">
        <v>1500</v>
      </c>
      <c r="G13" s="22" t="n">
        <v>6345</v>
      </c>
      <c r="H13" s="19" t="s">
        <v>21</v>
      </c>
      <c r="I13" s="19" t="s">
        <v>293</v>
      </c>
      <c r="J13" s="19" t="s">
        <v>294</v>
      </c>
      <c r="K13" s="19" t="s">
        <v>94</v>
      </c>
    </row>
    <row r="14" customFormat="false" ht="90.25" hidden="false" customHeight="false" outlineLevel="0" collapsed="false">
      <c r="A14" s="19" t="s">
        <v>296</v>
      </c>
      <c r="B14" s="19" t="s">
        <v>213</v>
      </c>
      <c r="C14" s="19" t="s">
        <v>299</v>
      </c>
      <c r="D14" s="19" t="s">
        <v>300</v>
      </c>
      <c r="E14" s="19" t="s">
        <v>301</v>
      </c>
      <c r="F14" s="22" t="n">
        <v>35000</v>
      </c>
      <c r="G14" s="22" t="n">
        <v>70000</v>
      </c>
      <c r="H14" s="19" t="s">
        <v>21</v>
      </c>
      <c r="I14" s="19" t="s">
        <v>302</v>
      </c>
      <c r="J14" s="19" t="s">
        <v>303</v>
      </c>
      <c r="K14" s="19" t="s">
        <v>94</v>
      </c>
    </row>
    <row r="15" customFormat="false" ht="102.95" hidden="false" customHeight="false" outlineLevel="0" collapsed="false">
      <c r="A15" s="19" t="s">
        <v>363</v>
      </c>
      <c r="B15" s="19" t="s">
        <v>354</v>
      </c>
      <c r="C15" s="19" t="s">
        <v>366</v>
      </c>
      <c r="D15" s="19" t="s">
        <v>367</v>
      </c>
      <c r="E15" s="19" t="s">
        <v>368</v>
      </c>
      <c r="F15" s="22" t="n">
        <v>1000</v>
      </c>
      <c r="G15" s="22" t="n">
        <v>20000</v>
      </c>
      <c r="H15" s="19" t="s">
        <v>21</v>
      </c>
      <c r="I15" s="19" t="s">
        <v>369</v>
      </c>
      <c r="J15" s="19" t="s">
        <v>370</v>
      </c>
      <c r="K15" s="19" t="s">
        <v>211</v>
      </c>
    </row>
    <row r="16" customFormat="false" ht="179.1" hidden="false" customHeight="false" outlineLevel="0" collapsed="false">
      <c r="A16" s="19" t="s">
        <v>391</v>
      </c>
      <c r="B16" s="19" t="s">
        <v>390</v>
      </c>
      <c r="C16" s="19" t="s">
        <v>394</v>
      </c>
      <c r="D16" s="19" t="s">
        <v>395</v>
      </c>
      <c r="E16" s="19" t="s">
        <v>396</v>
      </c>
      <c r="F16" s="22" t="n">
        <v>8000</v>
      </c>
      <c r="G16" s="22" t="n">
        <v>32000</v>
      </c>
      <c r="H16" s="19" t="s">
        <v>21</v>
      </c>
      <c r="I16" s="19" t="s">
        <v>397</v>
      </c>
      <c r="J16" s="19" t="s">
        <v>398</v>
      </c>
      <c r="K16" s="19" t="s">
        <v>94</v>
      </c>
    </row>
    <row r="17" customFormat="false" ht="90.25" hidden="false" customHeight="false" outlineLevel="0" collapsed="false">
      <c r="A17" s="19" t="s">
        <v>487</v>
      </c>
      <c r="B17" s="19" t="s">
        <v>113</v>
      </c>
      <c r="C17" s="19" t="s">
        <v>490</v>
      </c>
      <c r="D17" s="19" t="s">
        <v>491</v>
      </c>
      <c r="E17" s="19" t="s">
        <v>492</v>
      </c>
      <c r="F17" s="22" t="n">
        <v>1538.64</v>
      </c>
      <c r="G17" s="22" t="n">
        <v>3846.6</v>
      </c>
      <c r="H17" s="19" t="s">
        <v>22</v>
      </c>
      <c r="I17" s="19" t="s">
        <v>493</v>
      </c>
      <c r="J17" s="19" t="s">
        <v>494</v>
      </c>
      <c r="K17" s="19" t="s">
        <v>94</v>
      </c>
    </row>
    <row r="18" customFormat="false" ht="90.25" hidden="false" customHeight="false" outlineLevel="0" collapsed="false">
      <c r="A18" s="19" t="s">
        <v>592</v>
      </c>
      <c r="B18" s="19" t="s">
        <v>213</v>
      </c>
      <c r="C18" s="19" t="s">
        <v>595</v>
      </c>
      <c r="D18" s="19" t="s">
        <v>596</v>
      </c>
      <c r="E18" s="19" t="s">
        <v>597</v>
      </c>
      <c r="F18" s="22" t="n">
        <v>0</v>
      </c>
      <c r="G18" s="22" t="n">
        <v>10000</v>
      </c>
      <c r="H18" s="19" t="s">
        <v>22</v>
      </c>
      <c r="I18" s="19" t="s">
        <v>598</v>
      </c>
      <c r="J18" s="19" t="s">
        <v>599</v>
      </c>
      <c r="K18" s="19" t="s">
        <v>211</v>
      </c>
    </row>
    <row r="19" customFormat="false" ht="141" hidden="false" customHeight="false" outlineLevel="0" collapsed="false">
      <c r="A19" s="19" t="s">
        <v>601</v>
      </c>
      <c r="B19" s="19" t="s">
        <v>213</v>
      </c>
      <c r="C19" s="19" t="s">
        <v>604</v>
      </c>
      <c r="D19" s="19" t="s">
        <v>605</v>
      </c>
      <c r="E19" s="19" t="s">
        <v>606</v>
      </c>
      <c r="F19" s="22" t="n">
        <v>0</v>
      </c>
      <c r="G19" s="22" t="n">
        <v>13750</v>
      </c>
      <c r="H19" s="19" t="s">
        <v>22</v>
      </c>
      <c r="I19" s="19" t="s">
        <v>607</v>
      </c>
      <c r="J19" s="19" t="s">
        <v>608</v>
      </c>
      <c r="K19" s="19" t="s">
        <v>211</v>
      </c>
    </row>
    <row r="20" customFormat="false" ht="77.6" hidden="false" customHeight="false" outlineLevel="0" collapsed="false">
      <c r="A20" s="19" t="s">
        <v>681</v>
      </c>
      <c r="B20" s="19" t="s">
        <v>213</v>
      </c>
      <c r="C20" s="19" t="s">
        <v>684</v>
      </c>
      <c r="D20" s="19" t="s">
        <v>685</v>
      </c>
      <c r="E20" s="19" t="s">
        <v>686</v>
      </c>
      <c r="F20" s="22" t="n">
        <v>0</v>
      </c>
      <c r="G20" s="22" t="n">
        <v>0</v>
      </c>
      <c r="H20" s="19" t="s">
        <v>22</v>
      </c>
      <c r="I20" s="19" t="s">
        <v>687</v>
      </c>
      <c r="J20" s="19" t="s">
        <v>688</v>
      </c>
      <c r="K20" s="19" t="s">
        <v>94</v>
      </c>
    </row>
    <row r="21" customFormat="false" ht="64.9" hidden="false" customHeight="false" outlineLevel="0" collapsed="false">
      <c r="A21" s="19" t="s">
        <v>363</v>
      </c>
      <c r="B21" s="19" t="s">
        <v>354</v>
      </c>
      <c r="C21" s="19" t="s">
        <v>914</v>
      </c>
      <c r="D21" s="19" t="s">
        <v>915</v>
      </c>
      <c r="E21" s="19" t="s">
        <v>916</v>
      </c>
      <c r="F21" s="22" t="n">
        <v>6000</v>
      </c>
      <c r="G21" s="22" t="n">
        <v>15000</v>
      </c>
      <c r="H21" s="19" t="s">
        <v>22</v>
      </c>
      <c r="I21" s="19" t="s">
        <v>917</v>
      </c>
      <c r="J21" s="19" t="s">
        <v>918</v>
      </c>
      <c r="K21" s="19" t="s">
        <v>94</v>
      </c>
    </row>
    <row r="22" customFormat="false" ht="153.7" hidden="false" customHeight="false" outlineLevel="0" collapsed="false">
      <c r="A22" s="19" t="s">
        <v>938</v>
      </c>
      <c r="B22" s="19" t="s">
        <v>354</v>
      </c>
      <c r="C22" s="19" t="s">
        <v>941</v>
      </c>
      <c r="D22" s="19" t="s">
        <v>942</v>
      </c>
      <c r="E22" s="19" t="s">
        <v>943</v>
      </c>
      <c r="F22" s="22" t="n">
        <v>0</v>
      </c>
      <c r="G22" s="22" t="n">
        <v>3000</v>
      </c>
      <c r="H22" s="19" t="s">
        <v>22</v>
      </c>
      <c r="I22" s="19" t="s">
        <v>944</v>
      </c>
      <c r="J22" s="19" t="s">
        <v>945</v>
      </c>
      <c r="K22" s="19" t="s">
        <v>94</v>
      </c>
    </row>
    <row r="23" customFormat="false" ht="90.25" hidden="false" customHeight="false" outlineLevel="0" collapsed="false">
      <c r="A23" s="19" t="s">
        <v>965</v>
      </c>
      <c r="B23" s="19" t="s">
        <v>354</v>
      </c>
      <c r="C23" s="19" t="s">
        <v>968</v>
      </c>
      <c r="D23" s="19" t="s">
        <v>969</v>
      </c>
      <c r="E23" s="19" t="s">
        <v>970</v>
      </c>
      <c r="F23" s="22" t="n">
        <v>0</v>
      </c>
      <c r="G23" s="22" t="n">
        <v>0</v>
      </c>
      <c r="H23" s="19" t="s">
        <v>22</v>
      </c>
      <c r="I23" s="19" t="s">
        <v>971</v>
      </c>
      <c r="J23" s="19" t="s">
        <v>972</v>
      </c>
      <c r="K23" s="19" t="s">
        <v>211</v>
      </c>
    </row>
    <row r="24" customFormat="false" ht="90.25" hidden="false" customHeight="false" outlineLevel="0" collapsed="false">
      <c r="A24" s="19" t="s">
        <v>974</v>
      </c>
      <c r="B24" s="19" t="s">
        <v>354</v>
      </c>
      <c r="C24" s="19" t="s">
        <v>977</v>
      </c>
      <c r="D24" s="19" t="s">
        <v>978</v>
      </c>
      <c r="E24" s="19" t="s">
        <v>979</v>
      </c>
      <c r="F24" s="22" t="n">
        <v>600</v>
      </c>
      <c r="G24" s="22" t="n">
        <v>3900</v>
      </c>
      <c r="H24" s="19" t="s">
        <v>22</v>
      </c>
      <c r="I24" s="19" t="s">
        <v>980</v>
      </c>
      <c r="J24" s="19" t="s">
        <v>981</v>
      </c>
      <c r="K24" s="19" t="s">
        <v>94</v>
      </c>
    </row>
    <row r="25" customFormat="false" ht="102.95" hidden="false" customHeight="false" outlineLevel="0" collapsed="false">
      <c r="A25" s="19" t="s">
        <v>992</v>
      </c>
      <c r="B25" s="19" t="s">
        <v>354</v>
      </c>
      <c r="C25" s="19" t="s">
        <v>995</v>
      </c>
      <c r="D25" s="19" t="s">
        <v>996</v>
      </c>
      <c r="E25" s="19" t="s">
        <v>997</v>
      </c>
      <c r="F25" s="22" t="n">
        <v>3100</v>
      </c>
      <c r="G25" s="22" t="n">
        <v>7000</v>
      </c>
      <c r="H25" s="19" t="s">
        <v>22</v>
      </c>
      <c r="I25" s="19" t="s">
        <v>998</v>
      </c>
      <c r="J25" s="19" t="s">
        <v>999</v>
      </c>
      <c r="K25" s="19" t="s">
        <v>211</v>
      </c>
    </row>
    <row r="26" customFormat="false" ht="64.9" hidden="false" customHeight="false" outlineLevel="0" collapsed="false">
      <c r="A26" s="19" t="s">
        <v>1010</v>
      </c>
      <c r="B26" s="19" t="s">
        <v>1010</v>
      </c>
      <c r="C26" s="19" t="s">
        <v>1013</v>
      </c>
      <c r="D26" s="19" t="s">
        <v>1014</v>
      </c>
      <c r="E26" s="19" t="s">
        <v>1015</v>
      </c>
      <c r="F26" s="22" t="n">
        <v>400</v>
      </c>
      <c r="G26" s="22" t="n">
        <v>900</v>
      </c>
      <c r="H26" s="19" t="s">
        <v>22</v>
      </c>
      <c r="I26" s="19" t="s">
        <v>1016</v>
      </c>
      <c r="J26" s="19" t="s">
        <v>1017</v>
      </c>
      <c r="K26" s="19" t="s">
        <v>94</v>
      </c>
    </row>
    <row r="27" customFormat="false" ht="77.6" hidden="false" customHeight="false" outlineLevel="0" collapsed="false">
      <c r="A27" s="19" t="s">
        <v>1019</v>
      </c>
      <c r="B27" s="19" t="s">
        <v>1010</v>
      </c>
      <c r="C27" s="19" t="s">
        <v>1022</v>
      </c>
      <c r="D27" s="19" t="s">
        <v>1023</v>
      </c>
      <c r="E27" s="19" t="s">
        <v>1024</v>
      </c>
      <c r="F27" s="22" t="n">
        <v>2200</v>
      </c>
      <c r="G27" s="22" t="n">
        <v>5400</v>
      </c>
      <c r="H27" s="19" t="s">
        <v>22</v>
      </c>
      <c r="I27" s="19" t="s">
        <v>1025</v>
      </c>
      <c r="J27" s="19" t="s">
        <v>1026</v>
      </c>
      <c r="K27" s="19" t="s">
        <v>94</v>
      </c>
    </row>
    <row r="28" customFormat="false" ht="102.95" hidden="false" customHeight="false" outlineLevel="0" collapsed="false">
      <c r="A28" s="19" t="s">
        <v>1028</v>
      </c>
      <c r="B28" s="19" t="s">
        <v>1028</v>
      </c>
      <c r="C28" s="19" t="s">
        <v>1031</v>
      </c>
      <c r="D28" s="19" t="s">
        <v>1032</v>
      </c>
      <c r="E28" s="19" t="s">
        <v>1033</v>
      </c>
      <c r="F28" s="22" t="n">
        <v>0</v>
      </c>
      <c r="G28" s="22" t="n">
        <v>0</v>
      </c>
      <c r="H28" s="19" t="s">
        <v>22</v>
      </c>
      <c r="I28" s="19" t="s">
        <v>1034</v>
      </c>
      <c r="J28" s="19" t="s">
        <v>1035</v>
      </c>
      <c r="K28" s="19" t="s">
        <v>94</v>
      </c>
    </row>
    <row r="29" customFormat="false" ht="39.55" hidden="false" customHeight="false" outlineLevel="0" collapsed="false">
      <c r="A29" s="19" t="s">
        <v>1037</v>
      </c>
      <c r="B29" s="19" t="s">
        <v>1028</v>
      </c>
      <c r="C29" s="19" t="s">
        <v>1040</v>
      </c>
      <c r="D29" s="19" t="s">
        <v>1041</v>
      </c>
      <c r="E29" s="19" t="s">
        <v>1042</v>
      </c>
      <c r="F29" s="22" t="n">
        <v>641.36</v>
      </c>
      <c r="G29" s="22" t="n">
        <v>1622.04</v>
      </c>
      <c r="H29" s="19" t="s">
        <v>22</v>
      </c>
      <c r="I29" s="19" t="s">
        <v>1043</v>
      </c>
      <c r="J29" s="19" t="s">
        <v>1044</v>
      </c>
      <c r="K29" s="19" t="s">
        <v>94</v>
      </c>
    </row>
    <row r="30" customFormat="false" ht="77.6" hidden="false" customHeight="false" outlineLevel="0" collapsed="false">
      <c r="A30" s="19" t="s">
        <v>391</v>
      </c>
      <c r="B30" s="19" t="s">
        <v>390</v>
      </c>
      <c r="C30" s="19" t="s">
        <v>1104</v>
      </c>
      <c r="D30" s="19" t="s">
        <v>1105</v>
      </c>
      <c r="E30" s="19" t="s">
        <v>1106</v>
      </c>
      <c r="F30" s="22" t="n">
        <v>3000</v>
      </c>
      <c r="G30" s="22" t="n">
        <v>6000</v>
      </c>
      <c r="H30" s="19" t="s">
        <v>22</v>
      </c>
      <c r="I30" s="19" t="s">
        <v>1107</v>
      </c>
      <c r="J30" s="19" t="s">
        <v>1108</v>
      </c>
      <c r="K30" s="19" t="s">
        <v>94</v>
      </c>
    </row>
    <row r="31" customFormat="false" ht="128.35" hidden="false" customHeight="false" outlineLevel="0" collapsed="false">
      <c r="A31" s="19" t="s">
        <v>1128</v>
      </c>
      <c r="B31" s="19" t="s">
        <v>400</v>
      </c>
      <c r="C31" s="19" t="s">
        <v>1131</v>
      </c>
      <c r="D31" s="19" t="s">
        <v>1132</v>
      </c>
      <c r="E31" s="19" t="s">
        <v>1133</v>
      </c>
      <c r="F31" s="22" t="n">
        <v>4500</v>
      </c>
      <c r="G31" s="22" t="n">
        <v>9000</v>
      </c>
      <c r="H31" s="19" t="s">
        <v>22</v>
      </c>
      <c r="I31" s="19" t="s">
        <v>1134</v>
      </c>
      <c r="J31" s="19" t="s">
        <v>1135</v>
      </c>
      <c r="K31" s="19" t="s">
        <v>211</v>
      </c>
    </row>
    <row r="32" customFormat="false" ht="102.95" hidden="false" customHeight="false" outlineLevel="0" collapsed="false">
      <c r="A32" s="19" t="s">
        <v>1137</v>
      </c>
      <c r="B32" s="19" t="s">
        <v>424</v>
      </c>
      <c r="C32" s="19" t="s">
        <v>1140</v>
      </c>
      <c r="D32" s="19" t="s">
        <v>1141</v>
      </c>
      <c r="E32" s="19" t="s">
        <v>1142</v>
      </c>
      <c r="F32" s="22" t="n">
        <v>0</v>
      </c>
      <c r="G32" s="22" t="n">
        <v>3000</v>
      </c>
      <c r="H32" s="19" t="s">
        <v>23</v>
      </c>
      <c r="I32" s="19" t="s">
        <v>1143</v>
      </c>
      <c r="J32" s="19" t="s">
        <v>1144</v>
      </c>
      <c r="K32" s="19" t="s">
        <v>211</v>
      </c>
    </row>
    <row r="33" customFormat="false" ht="77.6" hidden="false" customHeight="false" outlineLevel="0" collapsed="false">
      <c r="A33" s="19" t="s">
        <v>1175</v>
      </c>
      <c r="B33" s="19" t="s">
        <v>113</v>
      </c>
      <c r="C33" s="19" t="s">
        <v>1177</v>
      </c>
      <c r="D33" s="19" t="s">
        <v>1178</v>
      </c>
      <c r="E33" s="19" t="s">
        <v>1179</v>
      </c>
      <c r="F33" s="22" t="n">
        <v>0</v>
      </c>
      <c r="G33" s="22" t="n">
        <v>933.6</v>
      </c>
      <c r="H33" s="19" t="s">
        <v>23</v>
      </c>
      <c r="I33" s="19" t="s">
        <v>1180</v>
      </c>
      <c r="J33" s="19" t="s">
        <v>1181</v>
      </c>
      <c r="K33" s="19" t="s">
        <v>211</v>
      </c>
    </row>
    <row r="34" customFormat="false" ht="64.9" hidden="false" customHeight="false" outlineLevel="0" collapsed="false">
      <c r="A34" s="19" t="s">
        <v>1365</v>
      </c>
      <c r="B34" s="19" t="s">
        <v>213</v>
      </c>
      <c r="C34" s="19" t="s">
        <v>1368</v>
      </c>
      <c r="D34" s="19" t="s">
        <v>1369</v>
      </c>
      <c r="E34" s="19" t="s">
        <v>1370</v>
      </c>
      <c r="F34" s="22" t="n">
        <v>0</v>
      </c>
      <c r="G34" s="22" t="n">
        <v>1890</v>
      </c>
      <c r="H34" s="19" t="s">
        <v>23</v>
      </c>
      <c r="I34" s="19" t="s">
        <v>1371</v>
      </c>
      <c r="J34" s="19" t="s">
        <v>1372</v>
      </c>
      <c r="K34" s="19" t="s">
        <v>94</v>
      </c>
    </row>
    <row r="35" customFormat="false" ht="141" hidden="false" customHeight="false" outlineLevel="0" collapsed="false">
      <c r="A35" s="19" t="s">
        <v>1708</v>
      </c>
      <c r="B35" s="19" t="s">
        <v>1083</v>
      </c>
      <c r="C35" s="19" t="s">
        <v>1711</v>
      </c>
      <c r="D35" s="19" t="s">
        <v>1712</v>
      </c>
      <c r="E35" s="19" t="s">
        <v>1713</v>
      </c>
      <c r="F35" s="22" t="n">
        <v>0</v>
      </c>
      <c r="G35" s="22" t="n">
        <v>1500</v>
      </c>
      <c r="H35" s="19" t="s">
        <v>23</v>
      </c>
      <c r="I35" s="19" t="s">
        <v>1714</v>
      </c>
      <c r="J35" s="19" t="s">
        <v>1715</v>
      </c>
      <c r="K35" s="19" t="s">
        <v>211</v>
      </c>
    </row>
  </sheetData>
  <autoFilter ref="A4:K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6"/>
    <col collapsed="false" customWidth="true" hidden="false" outlineLevel="0" max="3" min="3" style="0" width="15"/>
    <col collapsed="false" customWidth="true" hidden="false" outlineLevel="0" max="4" min="4" style="0" width="32"/>
    <col collapsed="false" customWidth="true" hidden="false" outlineLevel="0" max="6" min="5" style="0" width="44"/>
    <col collapsed="false" customWidth="true" hidden="false" outlineLevel="0" max="8" min="7" style="0" width="13"/>
    <col collapsed="false" customWidth="true" hidden="false" outlineLevel="0" max="9" min="9" style="0" width="10"/>
    <col collapsed="false" customWidth="true" hidden="false" outlineLevel="0" max="10" min="10" style="0" width="40"/>
    <col collapsed="false" customWidth="true" hidden="false" outlineLevel="0" max="11" min="11" style="0" width="12"/>
  </cols>
  <sheetData>
    <row r="1" customFormat="false" ht="17.35" hidden="false" customHeight="false" outlineLevel="0" collapsed="false">
      <c r="A1" s="1" t="s">
        <v>2057</v>
      </c>
      <c r="B1" s="2"/>
      <c r="C1" s="2"/>
      <c r="D1" s="2"/>
      <c r="E1" s="2"/>
      <c r="F1" s="2"/>
      <c r="G1" s="2"/>
      <c r="H1" s="2"/>
      <c r="I1" s="2"/>
      <c r="J1" s="2"/>
      <c r="K1" s="2"/>
    </row>
    <row r="2" customFormat="false" ht="15" hidden="false" customHeight="false" outlineLevel="0" collapsed="false">
      <c r="A2" s="3" t="s">
        <v>2058</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4" customFormat="false" ht="36" hidden="false" customHeight="true" outlineLevel="0" collapsed="false">
      <c r="A4" s="17" t="s">
        <v>65</v>
      </c>
      <c r="B4" s="17" t="s">
        <v>64</v>
      </c>
      <c r="C4" s="17" t="s">
        <v>19</v>
      </c>
      <c r="D4" s="17" t="s">
        <v>68</v>
      </c>
      <c r="E4" s="17" t="s">
        <v>2056</v>
      </c>
      <c r="F4" s="17" t="s">
        <v>1958</v>
      </c>
      <c r="G4" s="17" t="s">
        <v>25</v>
      </c>
      <c r="H4" s="17" t="s">
        <v>26</v>
      </c>
      <c r="I4" s="17" t="s">
        <v>47</v>
      </c>
      <c r="J4" s="17" t="s">
        <v>1920</v>
      </c>
      <c r="K4" s="17" t="s">
        <v>80</v>
      </c>
    </row>
    <row r="5" customFormat="false" ht="39.55" hidden="false" customHeight="false" outlineLevel="0" collapsed="false">
      <c r="A5" s="19" t="s">
        <v>84</v>
      </c>
      <c r="B5" s="19" t="s">
        <v>84</v>
      </c>
      <c r="C5" s="19" t="s">
        <v>27</v>
      </c>
      <c r="D5" s="19" t="s">
        <v>87</v>
      </c>
      <c r="E5" s="19" t="s">
        <v>88</v>
      </c>
      <c r="F5" s="19" t="s">
        <v>89</v>
      </c>
      <c r="G5" s="22" t="n">
        <v>0</v>
      </c>
      <c r="H5" s="22" t="n">
        <v>0</v>
      </c>
      <c r="I5" s="19" t="s">
        <v>20</v>
      </c>
      <c r="J5" s="19" t="s">
        <v>91</v>
      </c>
      <c r="K5" s="19" t="s">
        <v>94</v>
      </c>
    </row>
    <row r="6" customFormat="false" ht="26.85" hidden="false" customHeight="false" outlineLevel="0" collapsed="false">
      <c r="A6" s="19" t="s">
        <v>84</v>
      </c>
      <c r="B6" s="19" t="s">
        <v>84</v>
      </c>
      <c r="C6" s="19" t="s">
        <v>27</v>
      </c>
      <c r="D6" s="19" t="s">
        <v>99</v>
      </c>
      <c r="E6" s="19" t="s">
        <v>100</v>
      </c>
      <c r="F6" s="19" t="s">
        <v>101</v>
      </c>
      <c r="G6" s="22" t="n">
        <v>0</v>
      </c>
      <c r="H6" s="22" t="n">
        <v>0</v>
      </c>
      <c r="I6" s="19" t="s">
        <v>21</v>
      </c>
      <c r="J6" s="19" t="s">
        <v>103</v>
      </c>
      <c r="K6" s="19" t="s">
        <v>94</v>
      </c>
    </row>
    <row r="7" customFormat="false" ht="128.35" hidden="false" customHeight="false" outlineLevel="0" collapsed="false">
      <c r="A7" s="19" t="s">
        <v>114</v>
      </c>
      <c r="B7" s="19" t="s">
        <v>113</v>
      </c>
      <c r="C7" s="19" t="s">
        <v>37</v>
      </c>
      <c r="D7" s="19" t="s">
        <v>117</v>
      </c>
      <c r="E7" s="19" t="s">
        <v>118</v>
      </c>
      <c r="F7" s="19" t="s">
        <v>120</v>
      </c>
      <c r="G7" s="22" t="n">
        <v>0</v>
      </c>
      <c r="H7" s="22" t="n">
        <v>-54005.32</v>
      </c>
      <c r="I7" s="19" t="s">
        <v>21</v>
      </c>
      <c r="J7" s="19" t="s">
        <v>122</v>
      </c>
      <c r="K7" s="19" t="s">
        <v>94</v>
      </c>
    </row>
    <row r="8" customFormat="false" ht="102.95" hidden="false" customHeight="false" outlineLevel="0" collapsed="false">
      <c r="A8" s="19" t="s">
        <v>152</v>
      </c>
      <c r="B8" s="19" t="s">
        <v>113</v>
      </c>
      <c r="C8" s="19" t="s">
        <v>34</v>
      </c>
      <c r="D8" s="19" t="s">
        <v>155</v>
      </c>
      <c r="E8" s="19" t="s">
        <v>156</v>
      </c>
      <c r="F8" s="19" t="s">
        <v>157</v>
      </c>
      <c r="G8" s="22" t="n">
        <v>3500</v>
      </c>
      <c r="H8" s="22" t="n">
        <v>7050</v>
      </c>
      <c r="I8" s="19" t="s">
        <v>21</v>
      </c>
      <c r="J8" s="19" t="s">
        <v>159</v>
      </c>
      <c r="K8" s="19" t="s">
        <v>94</v>
      </c>
    </row>
    <row r="9" customFormat="false" ht="52.2" hidden="false" customHeight="false" outlineLevel="0" collapsed="false">
      <c r="A9" s="19" t="s">
        <v>194</v>
      </c>
      <c r="B9" s="19" t="s">
        <v>113</v>
      </c>
      <c r="C9" s="19" t="s">
        <v>33</v>
      </c>
      <c r="D9" s="19" t="s">
        <v>197</v>
      </c>
      <c r="E9" s="19" t="s">
        <v>198</v>
      </c>
      <c r="F9" s="19" t="s">
        <v>199</v>
      </c>
      <c r="G9" s="22" t="n">
        <v>0</v>
      </c>
      <c r="H9" s="22" t="n">
        <v>0</v>
      </c>
      <c r="I9" s="19" t="s">
        <v>21</v>
      </c>
      <c r="J9" s="19" t="s">
        <v>201</v>
      </c>
      <c r="K9" s="19" t="s">
        <v>94</v>
      </c>
    </row>
    <row r="10" customFormat="false" ht="115.65" hidden="false" customHeight="false" outlineLevel="0" collapsed="false">
      <c r="A10" s="19" t="s">
        <v>203</v>
      </c>
      <c r="B10" s="19" t="s">
        <v>113</v>
      </c>
      <c r="C10" s="19" t="s">
        <v>34</v>
      </c>
      <c r="D10" s="19" t="s">
        <v>206</v>
      </c>
      <c r="E10" s="19" t="s">
        <v>207</v>
      </c>
      <c r="F10" s="19" t="s">
        <v>208</v>
      </c>
      <c r="G10" s="22" t="n">
        <v>0</v>
      </c>
      <c r="H10" s="22" t="n">
        <v>-73963.92</v>
      </c>
      <c r="I10" s="19" t="s">
        <v>21</v>
      </c>
      <c r="J10" s="19" t="s">
        <v>210</v>
      </c>
      <c r="K10" s="19" t="s">
        <v>211</v>
      </c>
    </row>
    <row r="11" customFormat="false" ht="64.9" hidden="false" customHeight="false" outlineLevel="0" collapsed="false">
      <c r="A11" s="19" t="s">
        <v>260</v>
      </c>
      <c r="B11" s="19" t="s">
        <v>213</v>
      </c>
      <c r="C11" s="19" t="s">
        <v>27</v>
      </c>
      <c r="D11" s="19" t="s">
        <v>263</v>
      </c>
      <c r="E11" s="19" t="s">
        <v>264</v>
      </c>
      <c r="F11" s="19" t="s">
        <v>265</v>
      </c>
      <c r="G11" s="22" t="n">
        <v>0</v>
      </c>
      <c r="H11" s="22" t="n">
        <v>-10348.8</v>
      </c>
      <c r="I11" s="19" t="s">
        <v>21</v>
      </c>
      <c r="J11" s="19" t="s">
        <v>267</v>
      </c>
      <c r="K11" s="19" t="s">
        <v>94</v>
      </c>
    </row>
    <row r="12" customFormat="false" ht="128.35" hidden="false" customHeight="false" outlineLevel="0" collapsed="false">
      <c r="A12" s="19" t="s">
        <v>354</v>
      </c>
      <c r="B12" s="19" t="s">
        <v>354</v>
      </c>
      <c r="C12" s="19" t="s">
        <v>33</v>
      </c>
      <c r="D12" s="19" t="s">
        <v>357</v>
      </c>
      <c r="E12" s="19" t="s">
        <v>358</v>
      </c>
      <c r="F12" s="19" t="s">
        <v>359</v>
      </c>
      <c r="G12" s="22" t="n">
        <v>0</v>
      </c>
      <c r="H12" s="22" t="n">
        <v>0</v>
      </c>
      <c r="I12" s="19" t="s">
        <v>21</v>
      </c>
      <c r="J12" s="19" t="s">
        <v>361</v>
      </c>
      <c r="K12" s="19" t="s">
        <v>94</v>
      </c>
    </row>
    <row r="13" customFormat="false" ht="102.95" hidden="false" customHeight="false" outlineLevel="0" collapsed="false">
      <c r="A13" s="19" t="s">
        <v>372</v>
      </c>
      <c r="B13" s="19" t="s">
        <v>354</v>
      </c>
      <c r="C13" s="19" t="s">
        <v>33</v>
      </c>
      <c r="D13" s="19" t="s">
        <v>375</v>
      </c>
      <c r="E13" s="19" t="s">
        <v>376</v>
      </c>
      <c r="F13" s="19" t="s">
        <v>377</v>
      </c>
      <c r="G13" s="22" t="n">
        <v>0</v>
      </c>
      <c r="H13" s="22" t="n">
        <v>2500</v>
      </c>
      <c r="I13" s="19" t="s">
        <v>21</v>
      </c>
      <c r="J13" s="19" t="s">
        <v>379</v>
      </c>
      <c r="K13" s="19" t="s">
        <v>211</v>
      </c>
    </row>
    <row r="14" customFormat="false" ht="64.9" hidden="false" customHeight="false" outlineLevel="0" collapsed="false">
      <c r="A14" s="19" t="s">
        <v>401</v>
      </c>
      <c r="B14" s="19" t="s">
        <v>400</v>
      </c>
      <c r="C14" s="19" t="s">
        <v>27</v>
      </c>
      <c r="D14" s="19" t="s">
        <v>404</v>
      </c>
      <c r="E14" s="19" t="s">
        <v>405</v>
      </c>
      <c r="F14" s="19" t="s">
        <v>406</v>
      </c>
      <c r="G14" s="22" t="n">
        <v>-12898.6</v>
      </c>
      <c r="H14" s="22" t="n">
        <v>-13019.6</v>
      </c>
      <c r="I14" s="19" t="s">
        <v>21</v>
      </c>
      <c r="J14" s="19" t="s">
        <v>408</v>
      </c>
      <c r="K14" s="19" t="s">
        <v>94</v>
      </c>
    </row>
    <row r="15" customFormat="false" ht="39.55" hidden="false" customHeight="false" outlineLevel="0" collapsed="false">
      <c r="A15" s="19" t="s">
        <v>84</v>
      </c>
      <c r="B15" s="19" t="s">
        <v>84</v>
      </c>
      <c r="C15" s="19" t="s">
        <v>27</v>
      </c>
      <c r="D15" s="19" t="s">
        <v>412</v>
      </c>
      <c r="E15" s="19" t="s">
        <v>413</v>
      </c>
      <c r="F15" s="19" t="s">
        <v>414</v>
      </c>
      <c r="G15" s="22" t="n">
        <v>-12.12</v>
      </c>
      <c r="H15" s="22" t="n">
        <v>-12.12</v>
      </c>
      <c r="I15" s="19" t="s">
        <v>22</v>
      </c>
      <c r="J15" s="19" t="s">
        <v>416</v>
      </c>
      <c r="K15" s="19" t="s">
        <v>94</v>
      </c>
    </row>
    <row r="16" customFormat="false" ht="52.2" hidden="false" customHeight="false" outlineLevel="0" collapsed="false">
      <c r="A16" s="19" t="s">
        <v>84</v>
      </c>
      <c r="B16" s="19" t="s">
        <v>84</v>
      </c>
      <c r="C16" s="19" t="s">
        <v>37</v>
      </c>
      <c r="D16" s="19" t="s">
        <v>419</v>
      </c>
      <c r="E16" s="19" t="s">
        <v>420</v>
      </c>
      <c r="F16" s="19" t="s">
        <v>421</v>
      </c>
      <c r="G16" s="22" t="n">
        <v>0</v>
      </c>
      <c r="H16" s="22" t="n">
        <v>0</v>
      </c>
      <c r="I16" s="19" t="s">
        <v>22</v>
      </c>
      <c r="J16" s="19" t="s">
        <v>423</v>
      </c>
      <c r="K16" s="19" t="s">
        <v>94</v>
      </c>
    </row>
    <row r="17" customFormat="false" ht="77.6" hidden="false" customHeight="false" outlineLevel="0" collapsed="false">
      <c r="A17" s="19" t="s">
        <v>443</v>
      </c>
      <c r="B17" s="19" t="s">
        <v>424</v>
      </c>
      <c r="C17" s="19" t="s">
        <v>33</v>
      </c>
      <c r="D17" s="19" t="s">
        <v>446</v>
      </c>
      <c r="E17" s="19" t="s">
        <v>447</v>
      </c>
      <c r="F17" s="19" t="s">
        <v>448</v>
      </c>
      <c r="G17" s="22" t="n">
        <v>0</v>
      </c>
      <c r="H17" s="22" t="n">
        <v>-2000</v>
      </c>
      <c r="I17" s="19" t="s">
        <v>22</v>
      </c>
      <c r="J17" s="19" t="s">
        <v>450</v>
      </c>
      <c r="K17" s="19" t="s">
        <v>94</v>
      </c>
    </row>
    <row r="18" customFormat="false" ht="77.6" hidden="false" customHeight="false" outlineLevel="0" collapsed="false">
      <c r="A18" s="19" t="s">
        <v>469</v>
      </c>
      <c r="B18" s="19" t="s">
        <v>113</v>
      </c>
      <c r="C18" s="19" t="s">
        <v>33</v>
      </c>
      <c r="D18" s="19" t="s">
        <v>472</v>
      </c>
      <c r="E18" s="19" t="s">
        <v>473</v>
      </c>
      <c r="F18" s="19" t="s">
        <v>474</v>
      </c>
      <c r="G18" s="22" t="n">
        <v>0</v>
      </c>
      <c r="H18" s="22" t="n">
        <v>0</v>
      </c>
      <c r="I18" s="19" t="s">
        <v>22</v>
      </c>
      <c r="J18" s="19" t="s">
        <v>476</v>
      </c>
      <c r="K18" s="19" t="s">
        <v>94</v>
      </c>
    </row>
    <row r="19" customFormat="false" ht="52.2" hidden="false" customHeight="false" outlineLevel="0" collapsed="false">
      <c r="A19" s="19" t="s">
        <v>478</v>
      </c>
      <c r="B19" s="19" t="s">
        <v>113</v>
      </c>
      <c r="C19" s="19" t="s">
        <v>33</v>
      </c>
      <c r="D19" s="19" t="s">
        <v>481</v>
      </c>
      <c r="E19" s="19" t="s">
        <v>482</v>
      </c>
      <c r="F19" s="19" t="s">
        <v>483</v>
      </c>
      <c r="G19" s="22" t="n">
        <v>0</v>
      </c>
      <c r="H19" s="22" t="n">
        <v>0</v>
      </c>
      <c r="I19" s="19" t="s">
        <v>22</v>
      </c>
      <c r="J19" s="19" t="s">
        <v>485</v>
      </c>
      <c r="K19" s="19" t="s">
        <v>94</v>
      </c>
    </row>
    <row r="20" customFormat="false" ht="102.95" hidden="false" customHeight="false" outlineLevel="0" collapsed="false">
      <c r="A20" s="19" t="s">
        <v>488</v>
      </c>
      <c r="B20" s="19" t="s">
        <v>113</v>
      </c>
      <c r="C20" s="19" t="s">
        <v>37</v>
      </c>
      <c r="D20" s="19" t="s">
        <v>497</v>
      </c>
      <c r="E20" s="19" t="s">
        <v>498</v>
      </c>
      <c r="F20" s="19" t="s">
        <v>499</v>
      </c>
      <c r="G20" s="22" t="n">
        <v>0</v>
      </c>
      <c r="H20" s="22" t="n">
        <v>0</v>
      </c>
      <c r="I20" s="19" t="s">
        <v>22</v>
      </c>
      <c r="J20" s="19" t="s">
        <v>501</v>
      </c>
      <c r="K20" s="19" t="s">
        <v>94</v>
      </c>
    </row>
    <row r="21" customFormat="false" ht="64.9" hidden="false" customHeight="false" outlineLevel="0" collapsed="false">
      <c r="A21" s="19" t="s">
        <v>503</v>
      </c>
      <c r="B21" s="19" t="s">
        <v>113</v>
      </c>
      <c r="C21" s="19" t="s">
        <v>34</v>
      </c>
      <c r="D21" s="19" t="s">
        <v>506</v>
      </c>
      <c r="E21" s="19" t="s">
        <v>507</v>
      </c>
      <c r="F21" s="19" t="s">
        <v>508</v>
      </c>
      <c r="G21" s="22" t="n">
        <v>0</v>
      </c>
      <c r="H21" s="22" t="n">
        <v>0</v>
      </c>
      <c r="I21" s="19" t="s">
        <v>22</v>
      </c>
      <c r="J21" s="19" t="s">
        <v>510</v>
      </c>
      <c r="K21" s="19" t="s">
        <v>94</v>
      </c>
    </row>
    <row r="22" customFormat="false" ht="77.6" hidden="false" customHeight="false" outlineLevel="0" collapsed="false">
      <c r="A22" s="19" t="s">
        <v>512</v>
      </c>
      <c r="B22" s="19" t="s">
        <v>113</v>
      </c>
      <c r="C22" s="19" t="s">
        <v>37</v>
      </c>
      <c r="D22" s="19" t="s">
        <v>515</v>
      </c>
      <c r="E22" s="19" t="s">
        <v>516</v>
      </c>
      <c r="F22" s="19" t="s">
        <v>517</v>
      </c>
      <c r="G22" s="22" t="n">
        <v>0</v>
      </c>
      <c r="H22" s="22" t="n">
        <v>0</v>
      </c>
      <c r="I22" s="19" t="s">
        <v>22</v>
      </c>
      <c r="J22" s="19" t="s">
        <v>519</v>
      </c>
      <c r="K22" s="19" t="s">
        <v>94</v>
      </c>
    </row>
    <row r="23" customFormat="false" ht="77.6" hidden="false" customHeight="false" outlineLevel="0" collapsed="false">
      <c r="A23" s="19" t="s">
        <v>521</v>
      </c>
      <c r="B23" s="19" t="s">
        <v>113</v>
      </c>
      <c r="C23" s="19" t="s">
        <v>33</v>
      </c>
      <c r="D23" s="19" t="s">
        <v>524</v>
      </c>
      <c r="E23" s="19" t="s">
        <v>525</v>
      </c>
      <c r="F23" s="19" t="s">
        <v>526</v>
      </c>
      <c r="G23" s="22" t="n">
        <v>0</v>
      </c>
      <c r="H23" s="22" t="n">
        <v>0</v>
      </c>
      <c r="I23" s="19" t="s">
        <v>22</v>
      </c>
      <c r="J23" s="19" t="s">
        <v>528</v>
      </c>
      <c r="K23" s="19" t="s">
        <v>94</v>
      </c>
    </row>
    <row r="24" customFormat="false" ht="52.2" hidden="false" customHeight="false" outlineLevel="0" collapsed="false">
      <c r="A24" s="19" t="s">
        <v>539</v>
      </c>
      <c r="B24" s="19" t="s">
        <v>113</v>
      </c>
      <c r="C24" s="19" t="s">
        <v>27</v>
      </c>
      <c r="D24" s="19" t="s">
        <v>541</v>
      </c>
      <c r="E24" s="19" t="s">
        <v>542</v>
      </c>
      <c r="F24" s="19" t="s">
        <v>543</v>
      </c>
      <c r="G24" s="22" t="n">
        <v>0</v>
      </c>
      <c r="H24" s="22" t="n">
        <v>0</v>
      </c>
      <c r="I24" s="19" t="s">
        <v>22</v>
      </c>
      <c r="J24" s="19" t="s">
        <v>545</v>
      </c>
      <c r="K24" s="19" t="s">
        <v>94</v>
      </c>
    </row>
    <row r="25" customFormat="false" ht="64.9" hidden="false" customHeight="false" outlineLevel="0" collapsed="false">
      <c r="A25" s="19" t="s">
        <v>547</v>
      </c>
      <c r="B25" s="19" t="s">
        <v>113</v>
      </c>
      <c r="C25" s="19" t="s">
        <v>27</v>
      </c>
      <c r="D25" s="19" t="s">
        <v>550</v>
      </c>
      <c r="E25" s="19" t="s">
        <v>551</v>
      </c>
      <c r="F25" s="19" t="s">
        <v>552</v>
      </c>
      <c r="G25" s="22" t="n">
        <v>2364.4</v>
      </c>
      <c r="H25" s="22" t="n">
        <v>2364.4</v>
      </c>
      <c r="I25" s="19" t="s">
        <v>22</v>
      </c>
      <c r="J25" s="19" t="s">
        <v>554</v>
      </c>
      <c r="K25" s="19" t="s">
        <v>94</v>
      </c>
    </row>
    <row r="26" customFormat="false" ht="90.25" hidden="false" customHeight="false" outlineLevel="0" collapsed="false">
      <c r="A26" s="19" t="s">
        <v>556</v>
      </c>
      <c r="B26" s="19" t="s">
        <v>113</v>
      </c>
      <c r="C26" s="19" t="s">
        <v>37</v>
      </c>
      <c r="D26" s="19" t="s">
        <v>559</v>
      </c>
      <c r="E26" s="19" t="s">
        <v>560</v>
      </c>
      <c r="F26" s="19" t="s">
        <v>561</v>
      </c>
      <c r="G26" s="22" t="n">
        <v>0</v>
      </c>
      <c r="H26" s="22" t="n">
        <v>-2866.51</v>
      </c>
      <c r="I26" s="19" t="s">
        <v>22</v>
      </c>
      <c r="J26" s="19" t="s">
        <v>563</v>
      </c>
      <c r="K26" s="19" t="s">
        <v>211</v>
      </c>
    </row>
    <row r="27" customFormat="false" ht="52.2" hidden="false" customHeight="false" outlineLevel="0" collapsed="false">
      <c r="A27" s="19" t="s">
        <v>565</v>
      </c>
      <c r="B27" s="19" t="s">
        <v>113</v>
      </c>
      <c r="C27" s="19" t="s">
        <v>37</v>
      </c>
      <c r="D27" s="19" t="s">
        <v>568</v>
      </c>
      <c r="E27" s="19" t="s">
        <v>569</v>
      </c>
      <c r="F27" s="19" t="s">
        <v>570</v>
      </c>
      <c r="G27" s="22" t="n">
        <v>0</v>
      </c>
      <c r="H27" s="22" t="n">
        <v>-1206.8</v>
      </c>
      <c r="I27" s="19" t="s">
        <v>22</v>
      </c>
      <c r="J27" s="19" t="s">
        <v>572</v>
      </c>
      <c r="K27" s="19" t="s">
        <v>94</v>
      </c>
    </row>
    <row r="28" customFormat="false" ht="102.95" hidden="false" customHeight="false" outlineLevel="0" collapsed="false">
      <c r="A28" s="19" t="s">
        <v>574</v>
      </c>
      <c r="B28" s="19" t="s">
        <v>113</v>
      </c>
      <c r="C28" s="19" t="s">
        <v>37</v>
      </c>
      <c r="D28" s="19" t="s">
        <v>577</v>
      </c>
      <c r="E28" s="19" t="s">
        <v>578</v>
      </c>
      <c r="F28" s="19" t="s">
        <v>579</v>
      </c>
      <c r="G28" s="22" t="n">
        <v>0</v>
      </c>
      <c r="H28" s="22" t="n">
        <v>-2000</v>
      </c>
      <c r="I28" s="19" t="s">
        <v>22</v>
      </c>
      <c r="J28" s="19" t="s">
        <v>581</v>
      </c>
      <c r="K28" s="19" t="s">
        <v>211</v>
      </c>
    </row>
    <row r="29" customFormat="false" ht="115.65" hidden="false" customHeight="false" outlineLevel="0" collapsed="false">
      <c r="A29" s="19" t="s">
        <v>610</v>
      </c>
      <c r="B29" s="19" t="s">
        <v>213</v>
      </c>
      <c r="C29" s="19" t="s">
        <v>33</v>
      </c>
      <c r="D29" s="19" t="s">
        <v>613</v>
      </c>
      <c r="E29" s="19" t="s">
        <v>614</v>
      </c>
      <c r="F29" s="19" t="s">
        <v>615</v>
      </c>
      <c r="G29" s="22" t="n">
        <v>0</v>
      </c>
      <c r="H29" s="22" t="n">
        <v>0</v>
      </c>
      <c r="I29" s="19" t="s">
        <v>22</v>
      </c>
      <c r="J29" s="19" t="s">
        <v>617</v>
      </c>
      <c r="K29" s="19" t="s">
        <v>94</v>
      </c>
    </row>
    <row r="30" customFormat="false" ht="64.9" hidden="false" customHeight="false" outlineLevel="0" collapsed="false">
      <c r="A30" s="19" t="s">
        <v>628</v>
      </c>
      <c r="B30" s="19" t="s">
        <v>213</v>
      </c>
      <c r="C30" s="19" t="s">
        <v>33</v>
      </c>
      <c r="D30" s="19" t="s">
        <v>631</v>
      </c>
      <c r="E30" s="19" t="s">
        <v>632</v>
      </c>
      <c r="F30" s="19" t="s">
        <v>633</v>
      </c>
      <c r="G30" s="22" t="n">
        <v>0</v>
      </c>
      <c r="H30" s="22" t="n">
        <v>14818</v>
      </c>
      <c r="I30" s="19" t="s">
        <v>22</v>
      </c>
      <c r="J30" s="19" t="s">
        <v>635</v>
      </c>
      <c r="K30" s="19" t="s">
        <v>94</v>
      </c>
    </row>
    <row r="31" customFormat="false" ht="77.6" hidden="false" customHeight="false" outlineLevel="0" collapsed="false">
      <c r="A31" s="19" t="s">
        <v>699</v>
      </c>
      <c r="B31" s="19" t="s">
        <v>213</v>
      </c>
      <c r="C31" s="19" t="s">
        <v>33</v>
      </c>
      <c r="D31" s="19" t="s">
        <v>702</v>
      </c>
      <c r="E31" s="19" t="s">
        <v>703</v>
      </c>
      <c r="F31" s="19" t="s">
        <v>704</v>
      </c>
      <c r="G31" s="22" t="n">
        <v>0</v>
      </c>
      <c r="H31" s="22" t="n">
        <v>-9798.54</v>
      </c>
      <c r="I31" s="19" t="s">
        <v>22</v>
      </c>
      <c r="J31" s="19" t="s">
        <v>706</v>
      </c>
      <c r="K31" s="19" t="s">
        <v>94</v>
      </c>
    </row>
    <row r="32" customFormat="false" ht="90.25" hidden="false" customHeight="false" outlineLevel="0" collapsed="false">
      <c r="A32" s="19" t="s">
        <v>717</v>
      </c>
      <c r="B32" s="19" t="s">
        <v>213</v>
      </c>
      <c r="C32" s="19" t="s">
        <v>34</v>
      </c>
      <c r="D32" s="19" t="s">
        <v>720</v>
      </c>
      <c r="E32" s="19" t="s">
        <v>721</v>
      </c>
      <c r="F32" s="19" t="s">
        <v>722</v>
      </c>
      <c r="G32" s="22" t="n">
        <v>200</v>
      </c>
      <c r="H32" s="22" t="n">
        <v>500</v>
      </c>
      <c r="I32" s="19" t="s">
        <v>22</v>
      </c>
      <c r="J32" s="19" t="s">
        <v>724</v>
      </c>
      <c r="K32" s="19" t="s">
        <v>94</v>
      </c>
    </row>
    <row r="33" customFormat="false" ht="77.6" hidden="false" customHeight="false" outlineLevel="0" collapsed="false">
      <c r="A33" s="19" t="s">
        <v>726</v>
      </c>
      <c r="B33" s="19" t="s">
        <v>213</v>
      </c>
      <c r="C33" s="19" t="s">
        <v>34</v>
      </c>
      <c r="D33" s="19" t="s">
        <v>728</v>
      </c>
      <c r="E33" s="19" t="s">
        <v>729</v>
      </c>
      <c r="F33" s="19" t="s">
        <v>730</v>
      </c>
      <c r="G33" s="22" t="n">
        <v>0</v>
      </c>
      <c r="H33" s="22" t="n">
        <v>6264</v>
      </c>
      <c r="I33" s="19" t="s">
        <v>22</v>
      </c>
      <c r="J33" s="19" t="s">
        <v>732</v>
      </c>
      <c r="K33" s="19" t="s">
        <v>211</v>
      </c>
    </row>
    <row r="34" customFormat="false" ht="39.55" hidden="false" customHeight="false" outlineLevel="0" collapsed="false">
      <c r="A34" s="19" t="s">
        <v>734</v>
      </c>
      <c r="B34" s="19" t="s">
        <v>213</v>
      </c>
      <c r="C34" s="19" t="s">
        <v>34</v>
      </c>
      <c r="D34" s="19" t="s">
        <v>737</v>
      </c>
      <c r="E34" s="19" t="s">
        <v>738</v>
      </c>
      <c r="F34" s="19" t="s">
        <v>739</v>
      </c>
      <c r="G34" s="22" t="n">
        <v>0</v>
      </c>
      <c r="H34" s="22" t="n">
        <v>0</v>
      </c>
      <c r="I34" s="19" t="s">
        <v>22</v>
      </c>
      <c r="J34" s="19" t="s">
        <v>741</v>
      </c>
      <c r="K34" s="19" t="s">
        <v>94</v>
      </c>
    </row>
    <row r="35" customFormat="false" ht="52.2" hidden="false" customHeight="false" outlineLevel="0" collapsed="false">
      <c r="A35" s="19" t="s">
        <v>743</v>
      </c>
      <c r="B35" s="19" t="s">
        <v>213</v>
      </c>
      <c r="C35" s="19" t="s">
        <v>27</v>
      </c>
      <c r="D35" s="19" t="s">
        <v>746</v>
      </c>
      <c r="E35" s="19" t="s">
        <v>747</v>
      </c>
      <c r="F35" s="19" t="s">
        <v>748</v>
      </c>
      <c r="G35" s="22" t="n">
        <v>0</v>
      </c>
      <c r="H35" s="22" t="n">
        <v>0</v>
      </c>
      <c r="I35" s="19" t="s">
        <v>22</v>
      </c>
      <c r="J35" s="19" t="s">
        <v>750</v>
      </c>
      <c r="K35" s="19" t="s">
        <v>94</v>
      </c>
    </row>
    <row r="36" customFormat="false" ht="77.6" hidden="false" customHeight="false" outlineLevel="0" collapsed="false">
      <c r="A36" s="19" t="s">
        <v>761</v>
      </c>
      <c r="B36" s="19" t="s">
        <v>213</v>
      </c>
      <c r="C36" s="19" t="s">
        <v>34</v>
      </c>
      <c r="D36" s="19" t="s">
        <v>764</v>
      </c>
      <c r="E36" s="19" t="s">
        <v>765</v>
      </c>
      <c r="F36" s="19" t="s">
        <v>766</v>
      </c>
      <c r="G36" s="22" t="n">
        <v>0</v>
      </c>
      <c r="H36" s="22" t="n">
        <v>-2635</v>
      </c>
      <c r="I36" s="19" t="s">
        <v>22</v>
      </c>
      <c r="J36" s="19" t="s">
        <v>768</v>
      </c>
      <c r="K36" s="19" t="s">
        <v>211</v>
      </c>
    </row>
    <row r="37" customFormat="false" ht="115.65" hidden="false" customHeight="false" outlineLevel="0" collapsed="false">
      <c r="A37" s="19" t="s">
        <v>778</v>
      </c>
      <c r="B37" s="19" t="s">
        <v>213</v>
      </c>
      <c r="C37" s="19" t="s">
        <v>37</v>
      </c>
      <c r="D37" s="19" t="s">
        <v>781</v>
      </c>
      <c r="E37" s="19" t="s">
        <v>782</v>
      </c>
      <c r="F37" s="19" t="s">
        <v>783</v>
      </c>
      <c r="G37" s="22" t="n">
        <v>0</v>
      </c>
      <c r="H37" s="22" t="n">
        <v>8800</v>
      </c>
      <c r="I37" s="19" t="s">
        <v>22</v>
      </c>
      <c r="J37" s="19" t="s">
        <v>785</v>
      </c>
      <c r="K37" s="19" t="s">
        <v>211</v>
      </c>
    </row>
    <row r="38" customFormat="false" ht="115.65" hidden="false" customHeight="false" outlineLevel="0" collapsed="false">
      <c r="A38" s="19" t="s">
        <v>804</v>
      </c>
      <c r="B38" s="19" t="s">
        <v>213</v>
      </c>
      <c r="C38" s="19" t="s">
        <v>33</v>
      </c>
      <c r="D38" s="19" t="s">
        <v>807</v>
      </c>
      <c r="E38" s="19" t="s">
        <v>808</v>
      </c>
      <c r="F38" s="19" t="s">
        <v>809</v>
      </c>
      <c r="G38" s="22" t="n">
        <v>0</v>
      </c>
      <c r="H38" s="22" t="n">
        <v>0</v>
      </c>
      <c r="I38" s="19" t="s">
        <v>22</v>
      </c>
      <c r="J38" s="19" t="s">
        <v>811</v>
      </c>
      <c r="K38" s="19" t="s">
        <v>94</v>
      </c>
    </row>
    <row r="39" customFormat="false" ht="115.65" hidden="false" customHeight="false" outlineLevel="0" collapsed="false">
      <c r="A39" s="19" t="s">
        <v>832</v>
      </c>
      <c r="B39" s="19" t="s">
        <v>822</v>
      </c>
      <c r="C39" s="19" t="s">
        <v>37</v>
      </c>
      <c r="D39" s="19" t="s">
        <v>835</v>
      </c>
      <c r="E39" s="19" t="s">
        <v>836</v>
      </c>
      <c r="F39" s="19" t="s">
        <v>837</v>
      </c>
      <c r="G39" s="22" t="n">
        <v>0</v>
      </c>
      <c r="H39" s="22" t="n">
        <v>-6784.05</v>
      </c>
      <c r="I39" s="19" t="s">
        <v>22</v>
      </c>
      <c r="J39" s="19" t="s">
        <v>839</v>
      </c>
      <c r="K39" s="19" t="s">
        <v>211</v>
      </c>
    </row>
    <row r="40" customFormat="false" ht="102.95" hidden="false" customHeight="false" outlineLevel="0" collapsed="false">
      <c r="A40" s="19" t="s">
        <v>850</v>
      </c>
      <c r="B40" s="19" t="s">
        <v>822</v>
      </c>
      <c r="C40" s="19" t="s">
        <v>37</v>
      </c>
      <c r="D40" s="19" t="s">
        <v>853</v>
      </c>
      <c r="E40" s="19" t="s">
        <v>854</v>
      </c>
      <c r="F40" s="19" t="s">
        <v>855</v>
      </c>
      <c r="G40" s="22" t="n">
        <v>0</v>
      </c>
      <c r="H40" s="22" t="n">
        <v>30000</v>
      </c>
      <c r="I40" s="19" t="s">
        <v>22</v>
      </c>
      <c r="J40" s="19" t="s">
        <v>857</v>
      </c>
      <c r="K40" s="19" t="s">
        <v>94</v>
      </c>
    </row>
    <row r="41" customFormat="false" ht="191.75" hidden="false" customHeight="false" outlineLevel="0" collapsed="false">
      <c r="A41" s="19" t="s">
        <v>876</v>
      </c>
      <c r="B41" s="19" t="s">
        <v>306</v>
      </c>
      <c r="C41" s="19" t="s">
        <v>35</v>
      </c>
      <c r="D41" s="19" t="s">
        <v>879</v>
      </c>
      <c r="E41" s="19" t="s">
        <v>880</v>
      </c>
      <c r="F41" s="19" t="s">
        <v>881</v>
      </c>
      <c r="G41" s="22" t="n">
        <v>0</v>
      </c>
      <c r="H41" s="22" t="n">
        <v>5066.5</v>
      </c>
      <c r="I41" s="19" t="s">
        <v>22</v>
      </c>
      <c r="J41" s="19" t="s">
        <v>883</v>
      </c>
      <c r="K41" s="19" t="s">
        <v>211</v>
      </c>
    </row>
    <row r="42" customFormat="false" ht="102.95" hidden="false" customHeight="false" outlineLevel="0" collapsed="false">
      <c r="A42" s="19" t="s">
        <v>920</v>
      </c>
      <c r="B42" s="19" t="s">
        <v>354</v>
      </c>
      <c r="C42" s="19" t="s">
        <v>37</v>
      </c>
      <c r="D42" s="19" t="s">
        <v>923</v>
      </c>
      <c r="E42" s="19" t="s">
        <v>924</v>
      </c>
      <c r="F42" s="19" t="s">
        <v>925</v>
      </c>
      <c r="G42" s="22" t="n">
        <v>0</v>
      </c>
      <c r="H42" s="22" t="n">
        <v>1986.19</v>
      </c>
      <c r="I42" s="19" t="s">
        <v>22</v>
      </c>
      <c r="J42" s="19" t="s">
        <v>927</v>
      </c>
      <c r="K42" s="19" t="s">
        <v>94</v>
      </c>
    </row>
    <row r="43" customFormat="false" ht="77.6" hidden="false" customHeight="false" outlineLevel="0" collapsed="false">
      <c r="A43" s="19" t="s">
        <v>956</v>
      </c>
      <c r="B43" s="19" t="s">
        <v>354</v>
      </c>
      <c r="C43" s="19" t="s">
        <v>37</v>
      </c>
      <c r="D43" s="19" t="s">
        <v>959</v>
      </c>
      <c r="E43" s="19" t="s">
        <v>960</v>
      </c>
      <c r="F43" s="19" t="s">
        <v>961</v>
      </c>
      <c r="G43" s="22" t="n">
        <v>0</v>
      </c>
      <c r="H43" s="22" t="n">
        <v>2401.35</v>
      </c>
      <c r="I43" s="19" t="s">
        <v>22</v>
      </c>
      <c r="J43" s="19" t="s">
        <v>963</v>
      </c>
      <c r="K43" s="19" t="s">
        <v>211</v>
      </c>
    </row>
    <row r="44" customFormat="false" ht="77.6" hidden="false" customHeight="false" outlineLevel="0" collapsed="false">
      <c r="A44" s="19" t="s">
        <v>983</v>
      </c>
      <c r="B44" s="19" t="s">
        <v>354</v>
      </c>
      <c r="C44" s="19" t="s">
        <v>36</v>
      </c>
      <c r="D44" s="19" t="s">
        <v>986</v>
      </c>
      <c r="E44" s="19" t="s">
        <v>987</v>
      </c>
      <c r="F44" s="19" t="s">
        <v>988</v>
      </c>
      <c r="G44" s="22" t="n">
        <v>-457.84</v>
      </c>
      <c r="H44" s="22" t="n">
        <v>-4821.36</v>
      </c>
      <c r="I44" s="19" t="s">
        <v>22</v>
      </c>
      <c r="J44" s="19" t="s">
        <v>990</v>
      </c>
      <c r="K44" s="19" t="s">
        <v>211</v>
      </c>
    </row>
    <row r="45" customFormat="false" ht="64.9" hidden="false" customHeight="false" outlineLevel="0" collapsed="false">
      <c r="A45" s="19" t="s">
        <v>1056</v>
      </c>
      <c r="B45" s="19" t="s">
        <v>1046</v>
      </c>
      <c r="C45" s="19" t="s">
        <v>37</v>
      </c>
      <c r="D45" s="19" t="s">
        <v>1059</v>
      </c>
      <c r="E45" s="19" t="s">
        <v>1060</v>
      </c>
      <c r="F45" s="19" t="s">
        <v>1061</v>
      </c>
      <c r="G45" s="22" t="n">
        <v>0</v>
      </c>
      <c r="H45" s="22" t="n">
        <v>600</v>
      </c>
      <c r="I45" s="19" t="s">
        <v>22</v>
      </c>
      <c r="J45" s="19" t="s">
        <v>1063</v>
      </c>
      <c r="K45" s="19" t="s">
        <v>94</v>
      </c>
    </row>
    <row r="46" customFormat="false" ht="64.9" hidden="false" customHeight="false" outlineLevel="0" collapsed="false">
      <c r="A46" s="19" t="s">
        <v>1065</v>
      </c>
      <c r="B46" s="19" t="s">
        <v>1046</v>
      </c>
      <c r="C46" s="19" t="s">
        <v>37</v>
      </c>
      <c r="D46" s="19" t="s">
        <v>1068</v>
      </c>
      <c r="E46" s="19" t="s">
        <v>1069</v>
      </c>
      <c r="F46" s="19" t="s">
        <v>1070</v>
      </c>
      <c r="G46" s="22" t="n">
        <v>0</v>
      </c>
      <c r="H46" s="22" t="n">
        <v>1349.18</v>
      </c>
      <c r="I46" s="19" t="s">
        <v>22</v>
      </c>
      <c r="J46" s="19" t="s">
        <v>1072</v>
      </c>
      <c r="K46" s="19" t="s">
        <v>94</v>
      </c>
    </row>
    <row r="47" customFormat="false" ht="115.65" hidden="false" customHeight="false" outlineLevel="0" collapsed="false">
      <c r="A47" s="19" t="s">
        <v>1084</v>
      </c>
      <c r="B47" s="19" t="s">
        <v>1083</v>
      </c>
      <c r="C47" s="19" t="s">
        <v>37</v>
      </c>
      <c r="D47" s="19" t="s">
        <v>1087</v>
      </c>
      <c r="E47" s="19" t="s">
        <v>1088</v>
      </c>
      <c r="F47" s="19" t="s">
        <v>1089</v>
      </c>
      <c r="G47" s="22" t="n">
        <v>0</v>
      </c>
      <c r="H47" s="22" t="n">
        <v>0</v>
      </c>
      <c r="I47" s="19" t="s">
        <v>22</v>
      </c>
      <c r="J47" s="19" t="s">
        <v>1091</v>
      </c>
      <c r="K47" s="19" t="s">
        <v>211</v>
      </c>
    </row>
    <row r="48" customFormat="false" ht="128.35" hidden="false" customHeight="false" outlineLevel="0" collapsed="false">
      <c r="A48" s="19" t="s">
        <v>1093</v>
      </c>
      <c r="B48" s="19" t="s">
        <v>1083</v>
      </c>
      <c r="C48" s="19" t="s">
        <v>33</v>
      </c>
      <c r="D48" s="19" t="s">
        <v>1096</v>
      </c>
      <c r="E48" s="19" t="s">
        <v>1097</v>
      </c>
      <c r="F48" s="19" t="s">
        <v>1098</v>
      </c>
      <c r="G48" s="22" t="n">
        <v>0</v>
      </c>
      <c r="H48" s="22" t="n">
        <v>-2627.62</v>
      </c>
      <c r="I48" s="19" t="s">
        <v>22</v>
      </c>
      <c r="J48" s="19" t="s">
        <v>1100</v>
      </c>
      <c r="K48" s="19" t="s">
        <v>94</v>
      </c>
    </row>
    <row r="49" customFormat="false" ht="115.65" hidden="false" customHeight="false" outlineLevel="0" collapsed="false">
      <c r="A49" s="19" t="s">
        <v>426</v>
      </c>
      <c r="B49" s="19" t="s">
        <v>424</v>
      </c>
      <c r="C49" s="19" t="s">
        <v>37</v>
      </c>
      <c r="D49" s="19" t="s">
        <v>1147</v>
      </c>
      <c r="E49" s="19" t="s">
        <v>1148</v>
      </c>
      <c r="F49" s="19" t="s">
        <v>1149</v>
      </c>
      <c r="G49" s="22" t="n">
        <v>0</v>
      </c>
      <c r="H49" s="22" t="n">
        <v>0</v>
      </c>
      <c r="I49" s="19" t="s">
        <v>23</v>
      </c>
      <c r="J49" s="19" t="s">
        <v>1151</v>
      </c>
      <c r="K49" s="19" t="s">
        <v>94</v>
      </c>
    </row>
    <row r="50" customFormat="false" ht="115.65" hidden="false" customHeight="false" outlineLevel="0" collapsed="false">
      <c r="A50" s="19" t="s">
        <v>113</v>
      </c>
      <c r="B50" s="19" t="s">
        <v>113</v>
      </c>
      <c r="C50" s="19" t="s">
        <v>27</v>
      </c>
      <c r="D50" s="19" t="s">
        <v>1155</v>
      </c>
      <c r="E50" s="19" t="s">
        <v>1156</v>
      </c>
      <c r="F50" s="19" t="s">
        <v>1157</v>
      </c>
      <c r="G50" s="22" t="n">
        <v>-1.85</v>
      </c>
      <c r="H50" s="22" t="n">
        <v>-1.85</v>
      </c>
      <c r="I50" s="19" t="s">
        <v>23</v>
      </c>
      <c r="J50" s="19" t="s">
        <v>1159</v>
      </c>
      <c r="K50" s="19" t="s">
        <v>94</v>
      </c>
    </row>
    <row r="51" customFormat="false" ht="102.95" hidden="false" customHeight="false" outlineLevel="0" collapsed="false">
      <c r="A51" s="19" t="s">
        <v>1161</v>
      </c>
      <c r="B51" s="19" t="s">
        <v>113</v>
      </c>
      <c r="C51" s="19" t="s">
        <v>34</v>
      </c>
      <c r="D51" s="19" t="s">
        <v>1169</v>
      </c>
      <c r="E51" s="19" t="s">
        <v>1170</v>
      </c>
      <c r="F51" s="19" t="s">
        <v>1171</v>
      </c>
      <c r="G51" s="22" t="n">
        <v>0</v>
      </c>
      <c r="H51" s="22" t="n">
        <v>0</v>
      </c>
      <c r="I51" s="19" t="s">
        <v>23</v>
      </c>
      <c r="J51" s="19" t="s">
        <v>1173</v>
      </c>
      <c r="K51" s="19" t="s">
        <v>94</v>
      </c>
    </row>
    <row r="52" customFormat="false" ht="90.25" hidden="false" customHeight="false" outlineLevel="0" collapsed="false">
      <c r="A52" s="19" t="s">
        <v>1183</v>
      </c>
      <c r="B52" s="19" t="s">
        <v>113</v>
      </c>
      <c r="C52" s="19" t="s">
        <v>34</v>
      </c>
      <c r="D52" s="19" t="s">
        <v>1185</v>
      </c>
      <c r="E52" s="19" t="s">
        <v>1186</v>
      </c>
      <c r="F52" s="19" t="s">
        <v>1187</v>
      </c>
      <c r="G52" s="22" t="n">
        <v>0</v>
      </c>
      <c r="H52" s="22" t="n">
        <v>0</v>
      </c>
      <c r="I52" s="19" t="s">
        <v>23</v>
      </c>
      <c r="J52" s="19" t="s">
        <v>1189</v>
      </c>
      <c r="K52" s="19" t="s">
        <v>211</v>
      </c>
    </row>
    <row r="53" customFormat="false" ht="77.6" hidden="false" customHeight="false" outlineLevel="0" collapsed="false">
      <c r="A53" s="19" t="s">
        <v>1191</v>
      </c>
      <c r="B53" s="19" t="s">
        <v>113</v>
      </c>
      <c r="C53" s="19" t="s">
        <v>33</v>
      </c>
      <c r="D53" s="19" t="s">
        <v>1194</v>
      </c>
      <c r="E53" s="19" t="s">
        <v>1195</v>
      </c>
      <c r="F53" s="19" t="s">
        <v>1196</v>
      </c>
      <c r="G53" s="22" t="n">
        <v>0</v>
      </c>
      <c r="H53" s="22" t="n">
        <v>0</v>
      </c>
      <c r="I53" s="19" t="s">
        <v>23</v>
      </c>
      <c r="J53" s="19" t="s">
        <v>1198</v>
      </c>
      <c r="K53" s="19" t="s">
        <v>211</v>
      </c>
    </row>
    <row r="54" customFormat="false" ht="77.6" hidden="false" customHeight="false" outlineLevel="0" collapsed="false">
      <c r="A54" s="19" t="s">
        <v>583</v>
      </c>
      <c r="B54" s="19" t="s">
        <v>113</v>
      </c>
      <c r="C54" s="19" t="s">
        <v>37</v>
      </c>
      <c r="D54" s="19" t="s">
        <v>1201</v>
      </c>
      <c r="E54" s="19" t="s">
        <v>1202</v>
      </c>
      <c r="F54" s="19" t="s">
        <v>1203</v>
      </c>
      <c r="G54" s="22" t="n">
        <v>0</v>
      </c>
      <c r="H54" s="22" t="n">
        <v>0</v>
      </c>
      <c r="I54" s="19" t="s">
        <v>23</v>
      </c>
      <c r="J54" s="19" t="s">
        <v>1205</v>
      </c>
      <c r="K54" s="19" t="s">
        <v>94</v>
      </c>
    </row>
    <row r="55" customFormat="false" ht="90.25" hidden="false" customHeight="false" outlineLevel="0" collapsed="false">
      <c r="A55" s="19" t="s">
        <v>1207</v>
      </c>
      <c r="B55" s="19" t="s">
        <v>113</v>
      </c>
      <c r="C55" s="19" t="s">
        <v>33</v>
      </c>
      <c r="D55" s="19" t="s">
        <v>1210</v>
      </c>
      <c r="E55" s="19" t="s">
        <v>1211</v>
      </c>
      <c r="F55" s="19" t="s">
        <v>1212</v>
      </c>
      <c r="G55" s="22" t="n">
        <v>0</v>
      </c>
      <c r="H55" s="22" t="n">
        <v>-4936.75</v>
      </c>
      <c r="I55" s="19" t="s">
        <v>23</v>
      </c>
      <c r="J55" s="19" t="s">
        <v>1214</v>
      </c>
      <c r="K55" s="19" t="s">
        <v>94</v>
      </c>
    </row>
    <row r="56" customFormat="false" ht="115.65" hidden="false" customHeight="false" outlineLevel="0" collapsed="false">
      <c r="A56" s="19" t="s">
        <v>213</v>
      </c>
      <c r="B56" s="19" t="s">
        <v>213</v>
      </c>
      <c r="C56" s="19" t="s">
        <v>27</v>
      </c>
      <c r="D56" s="19" t="s">
        <v>1218</v>
      </c>
      <c r="E56" s="19" t="s">
        <v>1219</v>
      </c>
      <c r="F56" s="19" t="s">
        <v>1220</v>
      </c>
      <c r="G56" s="22" t="n">
        <v>-10.13</v>
      </c>
      <c r="H56" s="22" t="n">
        <v>-10.13</v>
      </c>
      <c r="I56" s="19" t="s">
        <v>23</v>
      </c>
      <c r="J56" s="19" t="s">
        <v>1222</v>
      </c>
      <c r="K56" s="19" t="s">
        <v>211</v>
      </c>
    </row>
    <row r="57" customFormat="false" ht="128.35" hidden="false" customHeight="false" outlineLevel="0" collapsed="false">
      <c r="A57" s="19" t="s">
        <v>1233</v>
      </c>
      <c r="B57" s="19" t="s">
        <v>213</v>
      </c>
      <c r="C57" s="19" t="s">
        <v>33</v>
      </c>
      <c r="D57" s="19" t="s">
        <v>1236</v>
      </c>
      <c r="E57" s="19" t="s">
        <v>1237</v>
      </c>
      <c r="F57" s="19" t="s">
        <v>1238</v>
      </c>
      <c r="G57" s="22" t="n">
        <v>0</v>
      </c>
      <c r="H57" s="22" t="n">
        <v>-1185.7</v>
      </c>
      <c r="I57" s="19" t="s">
        <v>23</v>
      </c>
      <c r="J57" s="19" t="s">
        <v>1240</v>
      </c>
      <c r="K57" s="19" t="s">
        <v>211</v>
      </c>
    </row>
    <row r="58" customFormat="false" ht="52.2" hidden="false" customHeight="false" outlineLevel="0" collapsed="false">
      <c r="A58" s="19" t="s">
        <v>1250</v>
      </c>
      <c r="B58" s="19" t="s">
        <v>213</v>
      </c>
      <c r="C58" s="19" t="s">
        <v>37</v>
      </c>
      <c r="D58" s="19" t="s">
        <v>1253</v>
      </c>
      <c r="E58" s="19" t="s">
        <v>1254</v>
      </c>
      <c r="F58" s="19" t="s">
        <v>1255</v>
      </c>
      <c r="G58" s="22" t="n">
        <v>0</v>
      </c>
      <c r="H58" s="22" t="n">
        <v>1872</v>
      </c>
      <c r="I58" s="19" t="s">
        <v>23</v>
      </c>
      <c r="J58" s="19" t="s">
        <v>1257</v>
      </c>
      <c r="K58" s="19" t="s">
        <v>94</v>
      </c>
    </row>
    <row r="59" customFormat="false" ht="153.7" hidden="false" customHeight="false" outlineLevel="0" collapsed="false">
      <c r="A59" s="19" t="s">
        <v>1259</v>
      </c>
      <c r="B59" s="19" t="s">
        <v>213</v>
      </c>
      <c r="C59" s="19" t="s">
        <v>33</v>
      </c>
      <c r="D59" s="19" t="s">
        <v>1262</v>
      </c>
      <c r="E59" s="19" t="s">
        <v>1263</v>
      </c>
      <c r="F59" s="19" t="s">
        <v>1264</v>
      </c>
      <c r="G59" s="22" t="n">
        <v>0</v>
      </c>
      <c r="H59" s="22" t="n">
        <v>0</v>
      </c>
      <c r="I59" s="19" t="s">
        <v>23</v>
      </c>
      <c r="J59" s="19" t="s">
        <v>1266</v>
      </c>
      <c r="K59" s="19" t="s">
        <v>94</v>
      </c>
    </row>
    <row r="60" customFormat="false" ht="52.2" hidden="false" customHeight="false" outlineLevel="0" collapsed="false">
      <c r="A60" s="19" t="s">
        <v>1277</v>
      </c>
      <c r="B60" s="19" t="s">
        <v>213</v>
      </c>
      <c r="C60" s="19" t="s">
        <v>37</v>
      </c>
      <c r="D60" s="19" t="s">
        <v>1280</v>
      </c>
      <c r="E60" s="19" t="s">
        <v>1281</v>
      </c>
      <c r="F60" s="19" t="s">
        <v>1282</v>
      </c>
      <c r="G60" s="22" t="n">
        <v>0</v>
      </c>
      <c r="H60" s="22" t="n">
        <v>6250</v>
      </c>
      <c r="I60" s="19" t="s">
        <v>23</v>
      </c>
      <c r="J60" s="19" t="s">
        <v>1284</v>
      </c>
      <c r="K60" s="19" t="s">
        <v>94</v>
      </c>
    </row>
    <row r="61" customFormat="false" ht="64.9" hidden="false" customHeight="false" outlineLevel="0" collapsed="false">
      <c r="A61" s="19" t="s">
        <v>1286</v>
      </c>
      <c r="B61" s="19" t="s">
        <v>213</v>
      </c>
      <c r="C61" s="19" t="s">
        <v>37</v>
      </c>
      <c r="D61" s="19" t="s">
        <v>1289</v>
      </c>
      <c r="E61" s="19" t="s">
        <v>1290</v>
      </c>
      <c r="F61" s="19" t="s">
        <v>1291</v>
      </c>
      <c r="G61" s="22" t="n">
        <v>0</v>
      </c>
      <c r="H61" s="22" t="n">
        <v>0</v>
      </c>
      <c r="I61" s="19" t="s">
        <v>23</v>
      </c>
      <c r="J61" s="19" t="s">
        <v>1293</v>
      </c>
      <c r="K61" s="19" t="s">
        <v>94</v>
      </c>
    </row>
    <row r="62" customFormat="false" ht="64.9" hidden="false" customHeight="false" outlineLevel="0" collapsed="false">
      <c r="A62" s="19" t="s">
        <v>1295</v>
      </c>
      <c r="B62" s="19" t="s">
        <v>213</v>
      </c>
      <c r="C62" s="19" t="s">
        <v>37</v>
      </c>
      <c r="D62" s="19" t="s">
        <v>1298</v>
      </c>
      <c r="E62" s="19" t="s">
        <v>1299</v>
      </c>
      <c r="F62" s="19" t="s">
        <v>1300</v>
      </c>
      <c r="G62" s="22" t="n">
        <v>0</v>
      </c>
      <c r="H62" s="22" t="n">
        <v>0</v>
      </c>
      <c r="I62" s="19" t="s">
        <v>23</v>
      </c>
      <c r="J62" s="19" t="s">
        <v>1302</v>
      </c>
      <c r="K62" s="19" t="s">
        <v>211</v>
      </c>
    </row>
    <row r="63" customFormat="false" ht="39.55" hidden="false" customHeight="false" outlineLevel="0" collapsed="false">
      <c r="A63" s="19" t="s">
        <v>1401</v>
      </c>
      <c r="B63" s="19" t="s">
        <v>213</v>
      </c>
      <c r="C63" s="19" t="s">
        <v>27</v>
      </c>
      <c r="D63" s="19" t="s">
        <v>1404</v>
      </c>
      <c r="E63" s="19" t="s">
        <v>1405</v>
      </c>
      <c r="F63" s="19" t="s">
        <v>1406</v>
      </c>
      <c r="G63" s="22" t="n">
        <v>0</v>
      </c>
      <c r="H63" s="22" t="n">
        <v>0</v>
      </c>
      <c r="I63" s="19" t="s">
        <v>23</v>
      </c>
      <c r="J63" s="19" t="s">
        <v>1408</v>
      </c>
      <c r="K63" s="19" t="s">
        <v>94</v>
      </c>
    </row>
    <row r="64" customFormat="false" ht="102.95" hidden="false" customHeight="false" outlineLevel="0" collapsed="false">
      <c r="A64" s="19" t="s">
        <v>1437</v>
      </c>
      <c r="B64" s="19" t="s">
        <v>822</v>
      </c>
      <c r="C64" s="19" t="s">
        <v>37</v>
      </c>
      <c r="D64" s="19" t="s">
        <v>1440</v>
      </c>
      <c r="E64" s="19" t="s">
        <v>1441</v>
      </c>
      <c r="F64" s="19" t="s">
        <v>1442</v>
      </c>
      <c r="G64" s="22" t="n">
        <v>0</v>
      </c>
      <c r="H64" s="22" t="n">
        <v>-678</v>
      </c>
      <c r="I64" s="19" t="s">
        <v>23</v>
      </c>
      <c r="J64" s="19" t="s">
        <v>1444</v>
      </c>
      <c r="K64" s="19" t="s">
        <v>211</v>
      </c>
    </row>
    <row r="65" customFormat="false" ht="77.6" hidden="false" customHeight="false" outlineLevel="0" collapsed="false">
      <c r="A65" s="19" t="s">
        <v>1446</v>
      </c>
      <c r="B65" s="19" t="s">
        <v>822</v>
      </c>
      <c r="C65" s="19" t="s">
        <v>37</v>
      </c>
      <c r="D65" s="19" t="s">
        <v>1449</v>
      </c>
      <c r="E65" s="19" t="s">
        <v>1450</v>
      </c>
      <c r="F65" s="19" t="s">
        <v>1451</v>
      </c>
      <c r="G65" s="22" t="n">
        <v>0</v>
      </c>
      <c r="H65" s="22" t="n">
        <v>-255</v>
      </c>
      <c r="I65" s="19" t="s">
        <v>23</v>
      </c>
      <c r="J65" s="19" t="s">
        <v>1453</v>
      </c>
      <c r="K65" s="19" t="s">
        <v>94</v>
      </c>
    </row>
    <row r="66" customFormat="false" ht="39.55" hidden="false" customHeight="false" outlineLevel="0" collapsed="false">
      <c r="A66" s="19" t="s">
        <v>850</v>
      </c>
      <c r="B66" s="19" t="s">
        <v>822</v>
      </c>
      <c r="C66" s="19" t="s">
        <v>34</v>
      </c>
      <c r="D66" s="19" t="s">
        <v>1455</v>
      </c>
      <c r="E66" s="19" t="s">
        <v>1456</v>
      </c>
      <c r="F66" s="19" t="s">
        <v>1457</v>
      </c>
      <c r="G66" s="22" t="n">
        <v>0</v>
      </c>
      <c r="H66" s="22" t="n">
        <v>0</v>
      </c>
      <c r="I66" s="19" t="s">
        <v>23</v>
      </c>
      <c r="J66" s="19" t="s">
        <v>1459</v>
      </c>
      <c r="K66" s="19" t="s">
        <v>94</v>
      </c>
    </row>
    <row r="67" customFormat="false" ht="39.55" hidden="false" customHeight="false" outlineLevel="0" collapsed="false">
      <c r="A67" s="19" t="s">
        <v>1513</v>
      </c>
      <c r="B67" s="19" t="s">
        <v>306</v>
      </c>
      <c r="C67" s="19" t="s">
        <v>33</v>
      </c>
      <c r="D67" s="19" t="s">
        <v>1516</v>
      </c>
      <c r="E67" s="19" t="s">
        <v>1517</v>
      </c>
      <c r="F67" s="19" t="s">
        <v>1518</v>
      </c>
      <c r="G67" s="22" t="n">
        <v>0</v>
      </c>
      <c r="H67" s="22" t="n">
        <v>0</v>
      </c>
      <c r="I67" s="19" t="s">
        <v>23</v>
      </c>
      <c r="J67" s="19" t="s">
        <v>1520</v>
      </c>
      <c r="K67" s="19" t="s">
        <v>94</v>
      </c>
    </row>
    <row r="68" customFormat="false" ht="64.9" hidden="false" customHeight="false" outlineLevel="0" collapsed="false">
      <c r="A68" s="19" t="s">
        <v>1531</v>
      </c>
      <c r="B68" s="19" t="s">
        <v>317</v>
      </c>
      <c r="C68" s="19" t="s">
        <v>33</v>
      </c>
      <c r="D68" s="19" t="s">
        <v>1534</v>
      </c>
      <c r="E68" s="19" t="s">
        <v>1535</v>
      </c>
      <c r="F68" s="19" t="s">
        <v>1536</v>
      </c>
      <c r="G68" s="22" t="n">
        <v>0</v>
      </c>
      <c r="H68" s="22" t="n">
        <v>0</v>
      </c>
      <c r="I68" s="19" t="s">
        <v>23</v>
      </c>
      <c r="J68" s="19" t="s">
        <v>1538</v>
      </c>
      <c r="K68" s="19" t="s">
        <v>94</v>
      </c>
    </row>
    <row r="69" customFormat="false" ht="64.9" hidden="false" customHeight="false" outlineLevel="0" collapsed="false">
      <c r="A69" s="19" t="s">
        <v>1540</v>
      </c>
      <c r="B69" s="19" t="s">
        <v>317</v>
      </c>
      <c r="C69" s="19" t="s">
        <v>33</v>
      </c>
      <c r="D69" s="19" t="s">
        <v>1543</v>
      </c>
      <c r="E69" s="19" t="s">
        <v>1544</v>
      </c>
      <c r="F69" s="19" t="s">
        <v>1545</v>
      </c>
      <c r="G69" s="22" t="n">
        <v>0</v>
      </c>
      <c r="H69" s="22" t="n">
        <v>0</v>
      </c>
      <c r="I69" s="19" t="s">
        <v>23</v>
      </c>
      <c r="J69" s="19" t="s">
        <v>1547</v>
      </c>
      <c r="K69" s="19" t="s">
        <v>94</v>
      </c>
    </row>
    <row r="70" customFormat="false" ht="77.6" hidden="false" customHeight="false" outlineLevel="0" collapsed="false">
      <c r="A70" s="19" t="s">
        <v>1558</v>
      </c>
      <c r="B70" s="19" t="s">
        <v>317</v>
      </c>
      <c r="C70" s="19" t="s">
        <v>33</v>
      </c>
      <c r="D70" s="19" t="s">
        <v>1561</v>
      </c>
      <c r="E70" s="19" t="s">
        <v>1562</v>
      </c>
      <c r="F70" s="19" t="s">
        <v>1563</v>
      </c>
      <c r="G70" s="22" t="n">
        <v>0</v>
      </c>
      <c r="H70" s="22" t="n">
        <v>0</v>
      </c>
      <c r="I70" s="19" t="s">
        <v>23</v>
      </c>
      <c r="J70" s="19" t="s">
        <v>1565</v>
      </c>
      <c r="K70" s="19" t="s">
        <v>94</v>
      </c>
    </row>
    <row r="71" customFormat="false" ht="77.6" hidden="false" customHeight="false" outlineLevel="0" collapsed="false">
      <c r="A71" s="19" t="s">
        <v>1576</v>
      </c>
      <c r="B71" s="19" t="s">
        <v>354</v>
      </c>
      <c r="C71" s="19" t="s">
        <v>27</v>
      </c>
      <c r="D71" s="19" t="s">
        <v>1579</v>
      </c>
      <c r="E71" s="19" t="s">
        <v>1580</v>
      </c>
      <c r="F71" s="19" t="s">
        <v>1581</v>
      </c>
      <c r="G71" s="22" t="n">
        <v>0</v>
      </c>
      <c r="H71" s="22" t="n">
        <v>400</v>
      </c>
      <c r="I71" s="19" t="s">
        <v>23</v>
      </c>
      <c r="J71" s="19" t="s">
        <v>1583</v>
      </c>
      <c r="K71" s="19" t="s">
        <v>94</v>
      </c>
    </row>
    <row r="72" customFormat="false" ht="77.6" hidden="false" customHeight="false" outlineLevel="0" collapsed="false">
      <c r="A72" s="19" t="s">
        <v>1594</v>
      </c>
      <c r="B72" s="19" t="s">
        <v>354</v>
      </c>
      <c r="C72" s="19" t="s">
        <v>37</v>
      </c>
      <c r="D72" s="19" t="s">
        <v>1597</v>
      </c>
      <c r="E72" s="19" t="s">
        <v>1598</v>
      </c>
      <c r="F72" s="19" t="s">
        <v>1599</v>
      </c>
      <c r="G72" s="22" t="n">
        <v>0</v>
      </c>
      <c r="H72" s="22" t="n">
        <v>0</v>
      </c>
      <c r="I72" s="19" t="s">
        <v>23</v>
      </c>
      <c r="J72" s="19" t="s">
        <v>1601</v>
      </c>
      <c r="K72" s="19" t="s">
        <v>94</v>
      </c>
    </row>
    <row r="73" customFormat="false" ht="52.2" hidden="false" customHeight="false" outlineLevel="0" collapsed="false">
      <c r="A73" s="19" t="s">
        <v>1603</v>
      </c>
      <c r="B73" s="19" t="s">
        <v>354</v>
      </c>
      <c r="C73" s="19" t="s">
        <v>27</v>
      </c>
      <c r="D73" s="19" t="s">
        <v>1606</v>
      </c>
      <c r="E73" s="19" t="s">
        <v>1607</v>
      </c>
      <c r="F73" s="19" t="s">
        <v>1608</v>
      </c>
      <c r="G73" s="22" t="n">
        <v>0</v>
      </c>
      <c r="H73" s="22" t="n">
        <v>0</v>
      </c>
      <c r="I73" s="19" t="s">
        <v>23</v>
      </c>
      <c r="J73" s="19" t="s">
        <v>1610</v>
      </c>
      <c r="K73" s="19" t="s">
        <v>94</v>
      </c>
    </row>
    <row r="74" customFormat="false" ht="128.35" hidden="false" customHeight="false" outlineLevel="0" collapsed="false">
      <c r="A74" s="19" t="s">
        <v>1612</v>
      </c>
      <c r="B74" s="19" t="s">
        <v>354</v>
      </c>
      <c r="C74" s="19" t="s">
        <v>37</v>
      </c>
      <c r="D74" s="19" t="s">
        <v>1615</v>
      </c>
      <c r="E74" s="19" t="s">
        <v>1616</v>
      </c>
      <c r="F74" s="19" t="s">
        <v>1617</v>
      </c>
      <c r="G74" s="22" t="n">
        <v>0</v>
      </c>
      <c r="H74" s="22" t="n">
        <v>3599.5</v>
      </c>
      <c r="I74" s="19" t="s">
        <v>23</v>
      </c>
      <c r="J74" s="19" t="s">
        <v>1619</v>
      </c>
      <c r="K74" s="19" t="s">
        <v>211</v>
      </c>
    </row>
    <row r="75" customFormat="false" ht="77.6" hidden="false" customHeight="false" outlineLevel="0" collapsed="false">
      <c r="A75" s="19" t="s">
        <v>1621</v>
      </c>
      <c r="B75" s="19" t="s">
        <v>354</v>
      </c>
      <c r="C75" s="19" t="s">
        <v>37</v>
      </c>
      <c r="D75" s="19" t="s">
        <v>1624</v>
      </c>
      <c r="E75" s="19" t="s">
        <v>1625</v>
      </c>
      <c r="F75" s="19" t="s">
        <v>1626</v>
      </c>
      <c r="G75" s="22" t="n">
        <v>0</v>
      </c>
      <c r="H75" s="22" t="n">
        <v>0</v>
      </c>
      <c r="I75" s="19" t="s">
        <v>23</v>
      </c>
      <c r="J75" s="19" t="s">
        <v>1628</v>
      </c>
      <c r="K75" s="19" t="s">
        <v>94</v>
      </c>
    </row>
    <row r="76" customFormat="false" ht="39.55" hidden="false" customHeight="false" outlineLevel="0" collapsed="false">
      <c r="A76" s="19" t="s">
        <v>1630</v>
      </c>
      <c r="B76" s="19" t="s">
        <v>354</v>
      </c>
      <c r="C76" s="19" t="s">
        <v>33</v>
      </c>
      <c r="D76" s="19" t="s">
        <v>1633</v>
      </c>
      <c r="E76" s="19" t="s">
        <v>1634</v>
      </c>
      <c r="F76" s="19" t="s">
        <v>1635</v>
      </c>
      <c r="G76" s="22" t="n">
        <v>-172.1</v>
      </c>
      <c r="H76" s="22" t="n">
        <v>-222.1</v>
      </c>
      <c r="I76" s="19" t="s">
        <v>23</v>
      </c>
      <c r="J76" s="19" t="s">
        <v>1637</v>
      </c>
      <c r="K76" s="19" t="s">
        <v>211</v>
      </c>
    </row>
    <row r="77" customFormat="false" ht="90.25" hidden="false" customHeight="false" outlineLevel="0" collapsed="false">
      <c r="A77" s="19" t="s">
        <v>1048</v>
      </c>
      <c r="B77" s="19" t="s">
        <v>1046</v>
      </c>
      <c r="C77" s="19" t="s">
        <v>37</v>
      </c>
      <c r="D77" s="19" t="s">
        <v>1649</v>
      </c>
      <c r="E77" s="19" t="s">
        <v>1650</v>
      </c>
      <c r="F77" s="19" t="s">
        <v>1651</v>
      </c>
      <c r="G77" s="22" t="n">
        <v>0</v>
      </c>
      <c r="H77" s="22" t="n">
        <v>1863.93</v>
      </c>
      <c r="I77" s="19" t="s">
        <v>23</v>
      </c>
      <c r="J77" s="19" t="s">
        <v>1653</v>
      </c>
      <c r="K77" s="19" t="s">
        <v>211</v>
      </c>
    </row>
    <row r="78" customFormat="false" ht="64.9" hidden="false" customHeight="false" outlineLevel="0" collapsed="false">
      <c r="A78" s="19" t="s">
        <v>1655</v>
      </c>
      <c r="B78" s="19" t="s">
        <v>1046</v>
      </c>
      <c r="C78" s="19" t="s">
        <v>37</v>
      </c>
      <c r="D78" s="19" t="s">
        <v>1657</v>
      </c>
      <c r="E78" s="19" t="s">
        <v>1658</v>
      </c>
      <c r="F78" s="19" t="s">
        <v>1659</v>
      </c>
      <c r="G78" s="22" t="n">
        <v>0</v>
      </c>
      <c r="H78" s="22" t="n">
        <v>761.11</v>
      </c>
      <c r="I78" s="19" t="s">
        <v>23</v>
      </c>
      <c r="J78" s="19" t="s">
        <v>1661</v>
      </c>
      <c r="K78" s="19" t="s">
        <v>211</v>
      </c>
    </row>
    <row r="79" customFormat="false" ht="64.9" hidden="false" customHeight="false" outlineLevel="0" collapsed="false">
      <c r="A79" s="19" t="s">
        <v>1681</v>
      </c>
      <c r="B79" s="19" t="s">
        <v>1046</v>
      </c>
      <c r="C79" s="19" t="s">
        <v>37</v>
      </c>
      <c r="D79" s="19" t="s">
        <v>1684</v>
      </c>
      <c r="E79" s="19" t="s">
        <v>1685</v>
      </c>
      <c r="F79" s="19" t="s">
        <v>1686</v>
      </c>
      <c r="G79" s="22" t="n">
        <v>0</v>
      </c>
      <c r="H79" s="22" t="n">
        <v>-500</v>
      </c>
      <c r="I79" s="19" t="s">
        <v>23</v>
      </c>
      <c r="J79" s="19" t="s">
        <v>1688</v>
      </c>
      <c r="K79" s="19" t="s">
        <v>211</v>
      </c>
    </row>
    <row r="80" customFormat="false" ht="39.55" hidden="false" customHeight="false" outlineLevel="0" collapsed="false">
      <c r="A80" s="19" t="s">
        <v>1699</v>
      </c>
      <c r="B80" s="19" t="s">
        <v>1046</v>
      </c>
      <c r="C80" s="19" t="s">
        <v>27</v>
      </c>
      <c r="D80" s="19" t="s">
        <v>1702</v>
      </c>
      <c r="E80" s="19" t="s">
        <v>1703</v>
      </c>
      <c r="F80" s="19" t="s">
        <v>1704</v>
      </c>
      <c r="G80" s="22" t="n">
        <v>0</v>
      </c>
      <c r="H80" s="22" t="n">
        <v>0</v>
      </c>
      <c r="I80" s="19" t="s">
        <v>23</v>
      </c>
      <c r="J80" s="19" t="s">
        <v>1706</v>
      </c>
      <c r="K80" s="19" t="s">
        <v>94</v>
      </c>
    </row>
    <row r="81" customFormat="false" ht="64.9" hidden="false" customHeight="false" outlineLevel="0" collapsed="false">
      <c r="A81" s="19" t="s">
        <v>1717</v>
      </c>
      <c r="B81" s="19" t="s">
        <v>1083</v>
      </c>
      <c r="C81" s="19" t="s">
        <v>27</v>
      </c>
      <c r="D81" s="19" t="s">
        <v>1720</v>
      </c>
      <c r="E81" s="19" t="s">
        <v>1721</v>
      </c>
      <c r="F81" s="19" t="s">
        <v>1722</v>
      </c>
      <c r="G81" s="22" t="n">
        <v>0</v>
      </c>
      <c r="H81" s="22" t="n">
        <v>0</v>
      </c>
      <c r="I81" s="19" t="s">
        <v>23</v>
      </c>
      <c r="J81" s="19" t="s">
        <v>1724</v>
      </c>
      <c r="K81" s="19" t="s">
        <v>211</v>
      </c>
    </row>
    <row r="82" customFormat="false" ht="64.9" hidden="false" customHeight="false" outlineLevel="0" collapsed="false">
      <c r="A82" s="19" t="s">
        <v>1718</v>
      </c>
      <c r="B82" s="19" t="s">
        <v>1083</v>
      </c>
      <c r="C82" s="19" t="s">
        <v>27</v>
      </c>
      <c r="D82" s="19" t="s">
        <v>1727</v>
      </c>
      <c r="E82" s="19" t="s">
        <v>1728</v>
      </c>
      <c r="F82" s="19" t="s">
        <v>1729</v>
      </c>
      <c r="G82" s="22" t="n">
        <v>0</v>
      </c>
      <c r="H82" s="22" t="n">
        <v>0</v>
      </c>
      <c r="I82" s="19" t="s">
        <v>23</v>
      </c>
      <c r="J82" s="19" t="s">
        <v>1731</v>
      </c>
      <c r="K82" s="19" t="s">
        <v>211</v>
      </c>
    </row>
    <row r="83" customFormat="false" ht="128.35" hidden="false" customHeight="false" outlineLevel="0" collapsed="false">
      <c r="A83" s="19" t="s">
        <v>1742</v>
      </c>
      <c r="B83" s="19" t="s">
        <v>1083</v>
      </c>
      <c r="C83" s="19" t="s">
        <v>33</v>
      </c>
      <c r="D83" s="19" t="s">
        <v>1745</v>
      </c>
      <c r="E83" s="19" t="s">
        <v>1746</v>
      </c>
      <c r="F83" s="19" t="s">
        <v>1747</v>
      </c>
      <c r="G83" s="22" t="n">
        <v>0</v>
      </c>
      <c r="H83" s="22" t="n">
        <v>0</v>
      </c>
      <c r="I83" s="19" t="s">
        <v>23</v>
      </c>
      <c r="J83" s="19" t="s">
        <v>1749</v>
      </c>
      <c r="K83" s="19" t="s">
        <v>94</v>
      </c>
    </row>
    <row r="84" customFormat="false" ht="115.65" hidden="false" customHeight="false" outlineLevel="0" collapsed="false">
      <c r="A84" s="19" t="s">
        <v>1751</v>
      </c>
      <c r="B84" s="19" t="s">
        <v>1083</v>
      </c>
      <c r="C84" s="19" t="s">
        <v>27</v>
      </c>
      <c r="D84" s="19" t="s">
        <v>1754</v>
      </c>
      <c r="E84" s="19" t="s">
        <v>1755</v>
      </c>
      <c r="F84" s="19" t="s">
        <v>1756</v>
      </c>
      <c r="G84" s="22" t="n">
        <v>0</v>
      </c>
      <c r="H84" s="22" t="n">
        <v>0</v>
      </c>
      <c r="I84" s="19" t="s">
        <v>23</v>
      </c>
      <c r="J84" s="19" t="s">
        <v>1758</v>
      </c>
      <c r="K84" s="19" t="s">
        <v>94</v>
      </c>
    </row>
    <row r="85" customFormat="false" ht="64.9" hidden="false" customHeight="false" outlineLevel="0" collapsed="false">
      <c r="A85" s="19" t="s">
        <v>1760</v>
      </c>
      <c r="B85" s="19" t="s">
        <v>1083</v>
      </c>
      <c r="C85" s="19" t="s">
        <v>27</v>
      </c>
      <c r="D85" s="19" t="s">
        <v>1763</v>
      </c>
      <c r="E85" s="19" t="s">
        <v>1764</v>
      </c>
      <c r="F85" s="19" t="s">
        <v>1765</v>
      </c>
      <c r="G85" s="22" t="n">
        <v>0</v>
      </c>
      <c r="H85" s="22" t="n">
        <v>0</v>
      </c>
      <c r="I85" s="19" t="s">
        <v>23</v>
      </c>
      <c r="J85" s="19" t="s">
        <v>1767</v>
      </c>
      <c r="K85" s="19" t="s">
        <v>94</v>
      </c>
    </row>
    <row r="86" customFormat="false" ht="64.9" hidden="false" customHeight="false" outlineLevel="0" collapsed="false">
      <c r="A86" s="19" t="s">
        <v>1769</v>
      </c>
      <c r="B86" s="19" t="s">
        <v>1083</v>
      </c>
      <c r="C86" s="19" t="s">
        <v>27</v>
      </c>
      <c r="D86" s="19" t="s">
        <v>1772</v>
      </c>
      <c r="E86" s="19" t="s">
        <v>1773</v>
      </c>
      <c r="F86" s="19" t="s">
        <v>1774</v>
      </c>
      <c r="G86" s="22" t="n">
        <v>0</v>
      </c>
      <c r="H86" s="22" t="n">
        <v>0</v>
      </c>
      <c r="I86" s="19" t="s">
        <v>23</v>
      </c>
      <c r="J86" s="19" t="s">
        <v>1776</v>
      </c>
      <c r="K86" s="19" t="s">
        <v>211</v>
      </c>
    </row>
    <row r="87" customFormat="false" ht="77.6" hidden="false" customHeight="false" outlineLevel="0" collapsed="false">
      <c r="A87" s="19" t="s">
        <v>1778</v>
      </c>
      <c r="B87" s="19" t="s">
        <v>1083</v>
      </c>
      <c r="C87" s="19" t="s">
        <v>27</v>
      </c>
      <c r="D87" s="19" t="s">
        <v>1781</v>
      </c>
      <c r="E87" s="19" t="s">
        <v>1782</v>
      </c>
      <c r="F87" s="19" t="s">
        <v>1783</v>
      </c>
      <c r="G87" s="22" t="n">
        <v>0</v>
      </c>
      <c r="H87" s="22" t="n">
        <v>0</v>
      </c>
      <c r="I87" s="19" t="s">
        <v>23</v>
      </c>
      <c r="J87" s="19" t="s">
        <v>1785</v>
      </c>
      <c r="K87" s="19" t="s">
        <v>94</v>
      </c>
    </row>
    <row r="88" customFormat="false" ht="102.95" hidden="false" customHeight="false" outlineLevel="0" collapsed="false">
      <c r="A88" s="19" t="s">
        <v>1787</v>
      </c>
      <c r="B88" s="19" t="s">
        <v>1083</v>
      </c>
      <c r="C88" s="19" t="s">
        <v>27</v>
      </c>
      <c r="D88" s="19" t="s">
        <v>1790</v>
      </c>
      <c r="E88" s="19" t="s">
        <v>1791</v>
      </c>
      <c r="F88" s="19" t="s">
        <v>1792</v>
      </c>
      <c r="G88" s="22" t="n">
        <v>0</v>
      </c>
      <c r="H88" s="22" t="n">
        <v>0</v>
      </c>
      <c r="I88" s="19" t="s">
        <v>23</v>
      </c>
      <c r="J88" s="19" t="s">
        <v>1794</v>
      </c>
      <c r="K88" s="19" t="s">
        <v>94</v>
      </c>
    </row>
    <row r="89" customFormat="false" ht="115.65" hidden="false" customHeight="false" outlineLevel="0" collapsed="false">
      <c r="A89" s="19" t="s">
        <v>1805</v>
      </c>
      <c r="B89" s="19" t="s">
        <v>1083</v>
      </c>
      <c r="C89" s="19" t="s">
        <v>27</v>
      </c>
      <c r="D89" s="19" t="s">
        <v>1808</v>
      </c>
      <c r="E89" s="19" t="s">
        <v>1809</v>
      </c>
      <c r="F89" s="19" t="s">
        <v>1810</v>
      </c>
      <c r="G89" s="22" t="n">
        <v>127.87</v>
      </c>
      <c r="H89" s="22" t="n">
        <v>127.87</v>
      </c>
      <c r="I89" s="19" t="s">
        <v>23</v>
      </c>
      <c r="J89" s="19" t="s">
        <v>1812</v>
      </c>
      <c r="K89" s="19" t="s">
        <v>94</v>
      </c>
    </row>
    <row r="90" customFormat="false" ht="128.35" hidden="false" customHeight="false" outlineLevel="0" collapsed="false">
      <c r="A90" s="19" t="s">
        <v>1815</v>
      </c>
      <c r="B90" s="19" t="s">
        <v>1814</v>
      </c>
      <c r="C90" s="19" t="s">
        <v>37</v>
      </c>
      <c r="D90" s="19" t="s">
        <v>1818</v>
      </c>
      <c r="E90" s="19" t="s">
        <v>1819</v>
      </c>
      <c r="F90" s="19" t="s">
        <v>1820</v>
      </c>
      <c r="G90" s="22" t="n">
        <v>0</v>
      </c>
      <c r="H90" s="22" t="n">
        <v>2000</v>
      </c>
      <c r="I90" s="19" t="s">
        <v>23</v>
      </c>
      <c r="J90" s="19" t="s">
        <v>1822</v>
      </c>
      <c r="K90" s="19" t="s">
        <v>211</v>
      </c>
    </row>
    <row r="91" customFormat="false" ht="77.6" hidden="false" customHeight="false" outlineLevel="0" collapsed="false">
      <c r="A91" s="19" t="s">
        <v>1833</v>
      </c>
      <c r="B91" s="19" t="s">
        <v>390</v>
      </c>
      <c r="C91" s="19" t="s">
        <v>33</v>
      </c>
      <c r="D91" s="19" t="s">
        <v>1836</v>
      </c>
      <c r="E91" s="19" t="s">
        <v>1837</v>
      </c>
      <c r="F91" s="19" t="s">
        <v>1838</v>
      </c>
      <c r="G91" s="22" t="n">
        <v>0</v>
      </c>
      <c r="H91" s="22" t="n">
        <v>0</v>
      </c>
      <c r="I91" s="19" t="s">
        <v>23</v>
      </c>
      <c r="J91" s="19" t="s">
        <v>1840</v>
      </c>
      <c r="K91" s="19" t="s">
        <v>94</v>
      </c>
    </row>
    <row r="92" customFormat="false" ht="90.25" hidden="false" customHeight="false" outlineLevel="0" collapsed="false">
      <c r="A92" s="19" t="s">
        <v>1860</v>
      </c>
      <c r="B92" s="19" t="s">
        <v>400</v>
      </c>
      <c r="C92" s="19" t="s">
        <v>37</v>
      </c>
      <c r="D92" s="19" t="s">
        <v>1863</v>
      </c>
      <c r="E92" s="19" t="s">
        <v>1864</v>
      </c>
      <c r="F92" s="19" t="s">
        <v>1865</v>
      </c>
      <c r="G92" s="22" t="n">
        <v>0</v>
      </c>
      <c r="H92" s="22" t="n">
        <v>-1990.63</v>
      </c>
      <c r="I92" s="19" t="s">
        <v>23</v>
      </c>
      <c r="J92" s="19" t="s">
        <v>1867</v>
      </c>
      <c r="K92" s="19" t="s">
        <v>211</v>
      </c>
    </row>
    <row r="93" customFormat="false" ht="115.65" hidden="false" customHeight="false" outlineLevel="0" collapsed="false">
      <c r="A93" s="19" t="s">
        <v>1869</v>
      </c>
      <c r="B93" s="19" t="s">
        <v>400</v>
      </c>
      <c r="C93" s="19" t="s">
        <v>37</v>
      </c>
      <c r="D93" s="19" t="s">
        <v>1872</v>
      </c>
      <c r="E93" s="19" t="s">
        <v>1873</v>
      </c>
      <c r="F93" s="19" t="s">
        <v>1874</v>
      </c>
      <c r="G93" s="22" t="n">
        <v>0</v>
      </c>
      <c r="H93" s="22" t="n">
        <v>4800</v>
      </c>
      <c r="I93" s="19" t="s">
        <v>23</v>
      </c>
      <c r="J93" s="19" t="s">
        <v>1876</v>
      </c>
      <c r="K93" s="19" t="s">
        <v>211</v>
      </c>
    </row>
  </sheetData>
  <autoFilter ref="A4:K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40"/>
    <col collapsed="false" customWidth="true" hidden="false" outlineLevel="0" max="4" min="4" style="0" width="10"/>
    <col collapsed="false" customWidth="true" hidden="false" outlineLevel="0" max="5" min="5" style="0" width="90"/>
  </cols>
  <sheetData>
    <row r="1" customFormat="false" ht="17.35" hidden="false" customHeight="false" outlineLevel="0" collapsed="false">
      <c r="A1" s="1" t="s">
        <v>2059</v>
      </c>
      <c r="B1" s="2"/>
      <c r="C1" s="2"/>
      <c r="D1" s="2"/>
      <c r="E1" s="2"/>
    </row>
    <row r="2" customFormat="false" ht="15" hidden="false" customHeight="false" outlineLevel="0" collapsed="false">
      <c r="A2" s="3" t="s">
        <v>2060</v>
      </c>
      <c r="B2" s="2"/>
      <c r="C2" s="2"/>
      <c r="D2" s="2"/>
      <c r="E2" s="2"/>
    </row>
    <row r="3" customFormat="false" ht="15" hidden="false" customHeight="false" outlineLevel="0" collapsed="false">
      <c r="A3" s="2"/>
      <c r="B3" s="2"/>
      <c r="C3" s="2"/>
      <c r="D3" s="2"/>
      <c r="E3" s="2"/>
    </row>
    <row r="4" customFormat="false" ht="36" hidden="false" customHeight="true" outlineLevel="0" collapsed="false">
      <c r="A4" s="17" t="s">
        <v>65</v>
      </c>
      <c r="B4" s="17" t="s">
        <v>19</v>
      </c>
      <c r="C4" s="17" t="s">
        <v>2061</v>
      </c>
      <c r="D4" s="17" t="s">
        <v>79</v>
      </c>
      <c r="E4" s="17" t="s">
        <v>2062</v>
      </c>
    </row>
    <row r="5" customFormat="false" ht="52.2" hidden="false" customHeight="false" outlineLevel="0" collapsed="false">
      <c r="A5" s="19" t="s">
        <v>390</v>
      </c>
      <c r="B5" s="19" t="s">
        <v>28</v>
      </c>
      <c r="C5" s="19" t="s">
        <v>2063</v>
      </c>
      <c r="D5" s="19" t="s">
        <v>93</v>
      </c>
      <c r="E5" s="19" t="s">
        <v>2064</v>
      </c>
    </row>
    <row r="6" customFormat="false" ht="64.9" hidden="false" customHeight="false" outlineLevel="0" collapsed="false">
      <c r="A6" s="19" t="s">
        <v>2065</v>
      </c>
      <c r="B6" s="19" t="s">
        <v>29</v>
      </c>
      <c r="C6" s="19" t="s">
        <v>2066</v>
      </c>
      <c r="D6" s="19" t="s">
        <v>93</v>
      </c>
      <c r="E6" s="19" t="s">
        <v>2067</v>
      </c>
    </row>
    <row r="7" customFormat="false" ht="64.9" hidden="false" customHeight="false" outlineLevel="0" collapsed="false">
      <c r="A7" s="19" t="s">
        <v>2068</v>
      </c>
      <c r="B7" s="19" t="s">
        <v>34</v>
      </c>
      <c r="C7" s="19" t="s">
        <v>2069</v>
      </c>
      <c r="D7" s="19" t="s">
        <v>93</v>
      </c>
      <c r="E7" s="19" t="s">
        <v>2070</v>
      </c>
    </row>
    <row r="8" customFormat="false" ht="64.9" hidden="false" customHeight="false" outlineLevel="0" collapsed="false">
      <c r="A8" s="19" t="s">
        <v>2071</v>
      </c>
      <c r="B8" s="19" t="s">
        <v>36</v>
      </c>
      <c r="C8" s="19" t="s">
        <v>2072</v>
      </c>
      <c r="D8" s="19" t="s">
        <v>124</v>
      </c>
      <c r="E8" s="19" t="s">
        <v>2073</v>
      </c>
    </row>
    <row r="9" customFormat="false" ht="52.2" hidden="false" customHeight="false" outlineLevel="0" collapsed="false">
      <c r="A9" s="19" t="s">
        <v>2074</v>
      </c>
      <c r="B9" s="19" t="s">
        <v>32</v>
      </c>
      <c r="C9" s="19" t="s">
        <v>2075</v>
      </c>
      <c r="D9" s="19" t="s">
        <v>124</v>
      </c>
      <c r="E9" s="19" t="s">
        <v>2076</v>
      </c>
    </row>
    <row r="10" customFormat="false" ht="39.55" hidden="false" customHeight="false" outlineLevel="0" collapsed="false">
      <c r="A10" s="19" t="s">
        <v>2077</v>
      </c>
      <c r="B10" s="19" t="s">
        <v>37</v>
      </c>
      <c r="C10" s="19" t="s">
        <v>2078</v>
      </c>
      <c r="D10" s="19" t="s">
        <v>93</v>
      </c>
      <c r="E10" s="19" t="s">
        <v>2079</v>
      </c>
    </row>
    <row r="11" customFormat="false" ht="64.9" hidden="false" customHeight="false" outlineLevel="0" collapsed="false">
      <c r="A11" s="19" t="s">
        <v>2080</v>
      </c>
      <c r="B11" s="19" t="s">
        <v>30</v>
      </c>
      <c r="C11" s="19" t="s">
        <v>2081</v>
      </c>
      <c r="D11" s="19" t="s">
        <v>124</v>
      </c>
      <c r="E11" s="19" t="s">
        <v>2082</v>
      </c>
    </row>
    <row r="12" customFormat="false" ht="52.2" hidden="false" customHeight="false" outlineLevel="0" collapsed="false">
      <c r="A12" s="19" t="s">
        <v>2080</v>
      </c>
      <c r="B12" s="19" t="s">
        <v>37</v>
      </c>
      <c r="C12" s="19" t="s">
        <v>2083</v>
      </c>
      <c r="D12" s="19" t="s">
        <v>93</v>
      </c>
      <c r="E12" s="19" t="s">
        <v>2084</v>
      </c>
    </row>
    <row r="13" customFormat="false" ht="64.9" hidden="false" customHeight="false" outlineLevel="0" collapsed="false">
      <c r="A13" s="19" t="s">
        <v>2085</v>
      </c>
      <c r="B13" s="19" t="s">
        <v>36</v>
      </c>
      <c r="C13" s="19" t="s">
        <v>2086</v>
      </c>
      <c r="D13" s="19" t="s">
        <v>124</v>
      </c>
      <c r="E13" s="19" t="s">
        <v>2087</v>
      </c>
    </row>
  </sheetData>
  <autoFilter ref="A4:E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2026-10-09T12:39:31Z</dcterms:created>
  <dc:creator>openpyxl</dc:creator>
  <dc:description/>
  <dc:language>en-US</dc:language>
  <cp:lastModifiedBy/>
  <dcterms:modified xsi:type="dcterms:W3CDTF">2026-10-09T12:39:34Z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